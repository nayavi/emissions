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xml"/>
  <Override PartName="/xl/charts/chart5.xml" ContentType="application/vnd.openxmlformats-officedocument.drawingml.chart+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jphilpin\Desktop\Incinerator Reports\"/>
    </mc:Choice>
  </mc:AlternateContent>
  <xr:revisionPtr revIDLastSave="0" documentId="8_{F432F3E4-ADF6-4CCC-A393-B8ECC6EB9696}" xr6:coauthVersionLast="47" xr6:coauthVersionMax="47" xr10:uidLastSave="{00000000-0000-0000-0000-000000000000}"/>
  <bookViews>
    <workbookView xWindow="-98" yWindow="-98" windowWidth="25996" windowHeight="10395" tabRatio="900" xr2:uid="{00000000-000D-0000-FFFF-FFFF00000000}"/>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Residue Quality " sheetId="21" r:id="rId11"/>
    <sheet name="Water" sheetId="22" r:id="rId12"/>
    <sheet name="Air (periodic)" sheetId="23" r:id="rId13"/>
    <sheet name="Air (CEMS)" sheetId="24" r:id="rId14"/>
    <sheet name="HCl" sheetId="13" r:id="rId15"/>
    <sheet name="SO2" sheetId="25" r:id="rId16"/>
    <sheet name="NOx" sheetId="26" r:id="rId17"/>
    <sheet name="TOC" sheetId="27" r:id="rId18"/>
    <sheet name="Particulates" sheetId="28" r:id="rId19"/>
    <sheet name="CO 0.5hourly" sheetId="29" r:id="rId20"/>
    <sheet name="CO 95% 10 min" sheetId="30" r:id="rId21"/>
    <sheet name="NH3" sheetId="31" r:id="rId22"/>
  </sheets>
  <definedNames>
    <definedName name="_xlnm.Print_Area" localSheetId="13">'Air (CEMS)'!$A$1:$M$31</definedName>
    <definedName name="_xlnm.Print_Area" localSheetId="12">'Air (periodic)'!$A$1:$J$41</definedName>
    <definedName name="_xlnm.Print_Area" localSheetId="19">'CO 0.5hourly'!$A$1:$G$52</definedName>
    <definedName name="_xlnm.Print_Area" localSheetId="20">'CO 95% 10 min'!$A$1:$H$52</definedName>
    <definedName name="_xlnm.Print_Area" localSheetId="1">Contents!$A$1:$J$47</definedName>
    <definedName name="_xlnm.Print_Area" localSheetId="0">'Cover Page'!$A$1:$J$55</definedName>
    <definedName name="_xlnm.Print_Area" localSheetId="6">'Energy Form 1'!$A$1:$I$29</definedName>
    <definedName name="_xlnm.Print_Area" localSheetId="2">'Facility Info'!$A$1:$I$54</definedName>
    <definedName name="_xlnm.Print_Area" localSheetId="14">HCl!$A$1:$G$52</definedName>
    <definedName name="_xlnm.Print_Area" localSheetId="8">Improvements!$A$1:$J$48</definedName>
    <definedName name="_xlnm.Print_Area" localSheetId="21">'NH3'!$A$1:$G$52</definedName>
    <definedName name="_xlnm.Print_Area" localSheetId="16">NOx!$A$1:$G$52</definedName>
    <definedName name="_xlnm.Print_Area" localSheetId="3">'Operational Data'!$A$1:$H$65</definedName>
    <definedName name="_xlnm.Print_Area" localSheetId="4">'Operational Summary'!$A$1:$I$52</definedName>
    <definedName name="_xlnm.Print_Area" localSheetId="18">Particulates!$A$1:$G$52</definedName>
    <definedName name="_xlnm.Print_Area" localSheetId="5">'Perf. Form 1'!$A$1:$J$56</definedName>
    <definedName name="_xlnm.Print_Area" localSheetId="7">'Permit Compliance'!$A$1:$J$35</definedName>
    <definedName name="_xlnm.Print_Area" localSheetId="9">'Public Liasion'!$A$1:$J$29</definedName>
    <definedName name="_xlnm.Print_Area" localSheetId="10">'Residue Quality '!$A$1:$G$41</definedName>
    <definedName name="_xlnm.Print_Area" localSheetId="15">'SO2'!$A$1:$G$52</definedName>
    <definedName name="_xlnm.Print_Area" localSheetId="17">TOC!$A$1:$G$52</definedName>
    <definedName name="_xlnm.Print_Area" localSheetId="11">Water!$A$1:$J$30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8" l="1"/>
  <c r="G3" i="8"/>
  <c r="B5" i="7"/>
  <c r="G3" i="7"/>
  <c r="E13" i="29"/>
  <c r="F17" i="9"/>
  <c r="F11" i="9"/>
  <c r="F12" i="9"/>
  <c r="F13" i="9"/>
  <c r="F14" i="9"/>
  <c r="F15" i="9"/>
  <c r="F16" i="9"/>
  <c r="F10" i="9"/>
  <c r="C11" i="9"/>
  <c r="C17" i="9" s="1"/>
  <c r="C12" i="9"/>
  <c r="C13" i="9"/>
  <c r="C14" i="9"/>
  <c r="C15" i="9"/>
  <c r="C16" i="9"/>
  <c r="C10" i="9"/>
  <c r="E8" i="31"/>
  <c r="E9" i="31" s="1"/>
  <c r="E10" i="31" s="1"/>
  <c r="I21" i="7"/>
  <c r="I22" i="7"/>
  <c r="I23" i="7"/>
  <c r="I19" i="7"/>
  <c r="I14" i="7"/>
  <c r="I15" i="7"/>
  <c r="C18" i="6" l="1"/>
  <c r="C21" i="6" s="1"/>
  <c r="H61" i="6" l="1"/>
  <c r="G13" i="6" l="1"/>
  <c r="H13" i="6" s="1"/>
  <c r="G45" i="6"/>
  <c r="E36" i="7" s="1"/>
  <c r="J3" i="31" l="1"/>
  <c r="J3" i="30"/>
  <c r="J3" i="29"/>
  <c r="J3" i="28"/>
  <c r="J3" i="27"/>
  <c r="J3" i="26"/>
  <c r="J3" i="25"/>
  <c r="J3" i="13"/>
  <c r="G19" i="6" l="1"/>
  <c r="G57" i="6" l="1"/>
  <c r="G59" i="6" l="1"/>
  <c r="G65" i="6"/>
  <c r="G64" i="6"/>
  <c r="H64" i="6" s="1"/>
  <c r="G63" i="6"/>
  <c r="G61" i="6"/>
  <c r="G53" i="6"/>
  <c r="G54" i="6"/>
  <c r="G55" i="6"/>
  <c r="G56" i="6"/>
  <c r="G60" i="6"/>
  <c r="G58" i="6" l="1"/>
  <c r="D18" i="6"/>
  <c r="D21" i="6" s="1"/>
  <c r="E18" i="6"/>
  <c r="E21" i="6" s="1"/>
  <c r="F18" i="6"/>
  <c r="F21" i="6" s="1"/>
  <c r="G21" i="6" l="1"/>
  <c r="E1" i="31"/>
  <c r="A1" i="31"/>
  <c r="E1" i="30"/>
  <c r="A1" i="30"/>
  <c r="E1" i="29"/>
  <c r="A1" i="29"/>
  <c r="E1" i="28"/>
  <c r="A1" i="28"/>
  <c r="E1" i="27"/>
  <c r="A1" i="27"/>
  <c r="E1" i="26"/>
  <c r="A1" i="26"/>
  <c r="E1" i="25"/>
  <c r="A1" i="25"/>
  <c r="E1" i="13"/>
  <c r="A1" i="13"/>
  <c r="I1" i="24"/>
  <c r="A1" i="24"/>
  <c r="E1" i="23"/>
  <c r="A1" i="23"/>
  <c r="E1" i="22"/>
  <c r="A1" i="22"/>
  <c r="E1" i="21"/>
  <c r="A1" i="21"/>
  <c r="E1" i="11"/>
  <c r="A1" i="11"/>
  <c r="E1" i="10"/>
  <c r="A1" i="10"/>
  <c r="E1" i="9"/>
  <c r="A1" i="9"/>
  <c r="E1" i="6"/>
  <c r="A1" i="6"/>
  <c r="E1" i="5"/>
  <c r="A1" i="5"/>
  <c r="E1" i="4"/>
  <c r="A1" i="4"/>
  <c r="E1" i="3"/>
  <c r="A1" i="3"/>
  <c r="O79" i="31"/>
  <c r="N79" i="31"/>
  <c r="M79" i="31"/>
  <c r="L79" i="31"/>
  <c r="O64" i="31"/>
  <c r="N64" i="31"/>
  <c r="M64" i="31"/>
  <c r="L64" i="31"/>
  <c r="O49" i="31"/>
  <c r="N49" i="31"/>
  <c r="M49" i="31"/>
  <c r="L49" i="31"/>
  <c r="O34" i="31"/>
  <c r="N34" i="31"/>
  <c r="M34" i="31"/>
  <c r="L34" i="31"/>
  <c r="O19" i="31"/>
  <c r="N19" i="31"/>
  <c r="M19" i="31"/>
  <c r="L19" i="31"/>
  <c r="E11" i="31"/>
  <c r="E12" i="31" s="1"/>
  <c r="E13" i="31" s="1"/>
  <c r="E14" i="31" s="1"/>
  <c r="E15" i="31" s="1"/>
  <c r="E16" i="31" s="1"/>
  <c r="E17" i="31" s="1"/>
  <c r="E18" i="31" s="1"/>
  <c r="B8" i="31"/>
  <c r="B9" i="31" s="1"/>
  <c r="B10" i="31" s="1"/>
  <c r="B11" i="31" s="1"/>
  <c r="B12" i="31" s="1"/>
  <c r="B13" i="31" s="1"/>
  <c r="B14" i="31" s="1"/>
  <c r="B15" i="31" s="1"/>
  <c r="B16" i="31" s="1"/>
  <c r="B17" i="31" s="1"/>
  <c r="B18" i="31" s="1"/>
  <c r="A6" i="31"/>
  <c r="J51" i="31" s="1"/>
  <c r="Q79" i="30"/>
  <c r="P79" i="30"/>
  <c r="O79" i="30"/>
  <c r="M79" i="30"/>
  <c r="Q64" i="30"/>
  <c r="P64" i="30"/>
  <c r="O64" i="30"/>
  <c r="M64" i="30"/>
  <c r="Q49" i="30"/>
  <c r="P49" i="30"/>
  <c r="O49" i="30"/>
  <c r="M49" i="30"/>
  <c r="Q34" i="30"/>
  <c r="P34" i="30"/>
  <c r="O34" i="30"/>
  <c r="M34" i="30"/>
  <c r="Q19" i="30"/>
  <c r="P19" i="30"/>
  <c r="O19" i="30"/>
  <c r="M19" i="30"/>
  <c r="B8" i="30"/>
  <c r="B9" i="30" s="1"/>
  <c r="B10" i="30" s="1"/>
  <c r="B11" i="30" s="1"/>
  <c r="B12" i="30" s="1"/>
  <c r="B13" i="30" s="1"/>
  <c r="B14" i="30" s="1"/>
  <c r="B15" i="30" s="1"/>
  <c r="B16" i="30" s="1"/>
  <c r="B17" i="30" s="1"/>
  <c r="B18" i="30" s="1"/>
  <c r="A6" i="30"/>
  <c r="K66" i="30" s="1"/>
  <c r="E8" i="29"/>
  <c r="E9" i="29" s="1"/>
  <c r="E10" i="29" s="1"/>
  <c r="E11" i="29" s="1"/>
  <c r="E12" i="29" s="1"/>
  <c r="E14" i="29" s="1"/>
  <c r="E15" i="29" s="1"/>
  <c r="E16" i="29" s="1"/>
  <c r="E17" i="29" s="1"/>
  <c r="E18" i="29" s="1"/>
  <c r="B8" i="29"/>
  <c r="B9" i="29" s="1"/>
  <c r="B10" i="29" s="1"/>
  <c r="B11" i="29" s="1"/>
  <c r="B12" i="29" s="1"/>
  <c r="B13" i="29" s="1"/>
  <c r="B14" i="29" s="1"/>
  <c r="B15" i="29" s="1"/>
  <c r="B16" i="29" s="1"/>
  <c r="B17" i="29" s="1"/>
  <c r="B18" i="29" s="1"/>
  <c r="O79" i="29"/>
  <c r="N79" i="29"/>
  <c r="M79" i="29"/>
  <c r="L79" i="29"/>
  <c r="O64" i="29"/>
  <c r="N64" i="29"/>
  <c r="M64" i="29"/>
  <c r="L64" i="29"/>
  <c r="O49" i="29"/>
  <c r="N49" i="29"/>
  <c r="M49" i="29"/>
  <c r="L49" i="29"/>
  <c r="O34" i="29"/>
  <c r="N34" i="29"/>
  <c r="M34" i="29"/>
  <c r="L34" i="29"/>
  <c r="O19" i="29"/>
  <c r="N19" i="29"/>
  <c r="M19" i="29"/>
  <c r="L19" i="29"/>
  <c r="A6" i="29"/>
  <c r="J66" i="29" s="1"/>
  <c r="O79" i="28"/>
  <c r="N79" i="28"/>
  <c r="M79" i="28"/>
  <c r="L79" i="28"/>
  <c r="O64" i="28"/>
  <c r="N64" i="28"/>
  <c r="M64" i="28"/>
  <c r="L64" i="28"/>
  <c r="O49" i="28"/>
  <c r="N49" i="28"/>
  <c r="M49" i="28"/>
  <c r="L49" i="28"/>
  <c r="O34" i="28"/>
  <c r="N34" i="28"/>
  <c r="M34" i="28"/>
  <c r="L34" i="28"/>
  <c r="O19" i="28"/>
  <c r="N19" i="28"/>
  <c r="M19" i="28"/>
  <c r="L19" i="28"/>
  <c r="A6" i="28"/>
  <c r="J66" i="28" s="1"/>
  <c r="O79" i="27"/>
  <c r="N79" i="27"/>
  <c r="M79" i="27"/>
  <c r="L79" i="27"/>
  <c r="O64" i="27"/>
  <c r="N64" i="27"/>
  <c r="M64" i="27"/>
  <c r="L64" i="27"/>
  <c r="O49" i="27"/>
  <c r="N49" i="27"/>
  <c r="M49" i="27"/>
  <c r="L49" i="27"/>
  <c r="O34" i="27"/>
  <c r="N34" i="27"/>
  <c r="M34" i="27"/>
  <c r="L34" i="27"/>
  <c r="O19" i="27"/>
  <c r="N19" i="27"/>
  <c r="M19" i="27"/>
  <c r="L19" i="27"/>
  <c r="A6" i="27"/>
  <c r="J66" i="27" s="1"/>
  <c r="O79" i="26"/>
  <c r="N79" i="26"/>
  <c r="M79" i="26"/>
  <c r="L79" i="26"/>
  <c r="O64" i="26"/>
  <c r="N64" i="26"/>
  <c r="M64" i="26"/>
  <c r="L64" i="26"/>
  <c r="O49" i="26"/>
  <c r="N49" i="26"/>
  <c r="M49" i="26"/>
  <c r="L49" i="26"/>
  <c r="O34" i="26"/>
  <c r="N34" i="26"/>
  <c r="M34" i="26"/>
  <c r="L34" i="26"/>
  <c r="O19" i="26"/>
  <c r="N19" i="26"/>
  <c r="M19" i="26"/>
  <c r="L19" i="26"/>
  <c r="A6" i="26"/>
  <c r="J66" i="26" s="1"/>
  <c r="O79" i="25"/>
  <c r="N79" i="25"/>
  <c r="M79" i="25"/>
  <c r="L79" i="25"/>
  <c r="O64" i="25"/>
  <c r="N64" i="25"/>
  <c r="M64" i="25"/>
  <c r="L64" i="25"/>
  <c r="O49" i="25"/>
  <c r="N49" i="25"/>
  <c r="M49" i="25"/>
  <c r="L49" i="25"/>
  <c r="O34" i="25"/>
  <c r="N34" i="25"/>
  <c r="M34" i="25"/>
  <c r="L34" i="25"/>
  <c r="O19" i="25"/>
  <c r="N19" i="25"/>
  <c r="M19" i="25"/>
  <c r="L19" i="25"/>
  <c r="A6" i="25"/>
  <c r="J66" i="25" s="1"/>
  <c r="O79" i="13"/>
  <c r="N79" i="13"/>
  <c r="M79" i="13"/>
  <c r="L79" i="13"/>
  <c r="O64" i="13"/>
  <c r="N64" i="13"/>
  <c r="M64" i="13"/>
  <c r="L64" i="13"/>
  <c r="O49" i="13"/>
  <c r="N49" i="13"/>
  <c r="M49" i="13"/>
  <c r="L49" i="13"/>
  <c r="O34" i="13"/>
  <c r="N34" i="13"/>
  <c r="M34" i="13"/>
  <c r="L34" i="13"/>
  <c r="O19" i="13"/>
  <c r="N19" i="13"/>
  <c r="M19" i="13"/>
  <c r="L19" i="13"/>
  <c r="A6" i="13"/>
  <c r="J66" i="13" s="1"/>
  <c r="I20" i="7" l="1"/>
  <c r="I13" i="7"/>
  <c r="I12" i="7"/>
  <c r="H45" i="6"/>
  <c r="J36" i="27"/>
  <c r="J66" i="31"/>
  <c r="J21" i="29"/>
  <c r="J21" i="28"/>
  <c r="J21" i="27"/>
  <c r="J21" i="26"/>
  <c r="J21" i="25"/>
  <c r="J36" i="13"/>
  <c r="J51" i="13"/>
  <c r="J21" i="13"/>
  <c r="J6" i="13"/>
  <c r="J21" i="31"/>
  <c r="J6" i="31"/>
  <c r="J36" i="31"/>
  <c r="K6" i="30"/>
  <c r="K36" i="30"/>
  <c r="K51" i="30"/>
  <c r="K21" i="30"/>
  <c r="J36" i="29"/>
  <c r="J51" i="29"/>
  <c r="J6" i="29"/>
  <c r="J36" i="28"/>
  <c r="J51" i="28"/>
  <c r="J6" i="28"/>
  <c r="J51" i="27"/>
  <c r="J6" i="27"/>
  <c r="J51" i="26"/>
  <c r="J36" i="26"/>
  <c r="J6" i="26"/>
  <c r="J36" i="25"/>
  <c r="J51" i="25"/>
  <c r="J6" i="25"/>
  <c r="D28" i="6"/>
  <c r="E28" i="6"/>
  <c r="F28" i="6"/>
  <c r="C28" i="6"/>
  <c r="G7" i="8"/>
  <c r="D7" i="8"/>
  <c r="A3" i="8"/>
  <c r="A1" i="8"/>
  <c r="G24" i="7"/>
  <c r="E24" i="7"/>
  <c r="I24" i="7" s="1"/>
  <c r="G16" i="7"/>
  <c r="E16" i="7"/>
  <c r="I16" i="7" s="1"/>
  <c r="A3" i="7"/>
  <c r="A1" i="7"/>
  <c r="A9" i="7" s="1"/>
  <c r="H65" i="6"/>
  <c r="H63" i="6"/>
  <c r="B53" i="6"/>
  <c r="G50" i="6"/>
  <c r="G49" i="6"/>
  <c r="G48" i="6"/>
  <c r="H48" i="6" s="1"/>
  <c r="G47" i="6"/>
  <c r="H47" i="6" s="1"/>
  <c r="G46" i="6"/>
  <c r="H46" i="6" s="1"/>
  <c r="G44" i="6"/>
  <c r="H44" i="6" s="1"/>
  <c r="G43" i="6"/>
  <c r="H43" i="6" s="1"/>
  <c r="G42" i="6"/>
  <c r="H42" i="6" s="1"/>
  <c r="G39" i="6"/>
  <c r="H39" i="6" s="1"/>
  <c r="G38" i="6"/>
  <c r="H38" i="6" s="1"/>
  <c r="G37" i="6"/>
  <c r="H37" i="6" s="1"/>
  <c r="G36" i="6"/>
  <c r="H36" i="6" s="1"/>
  <c r="G35" i="6"/>
  <c r="H35" i="6" s="1"/>
  <c r="G34" i="6"/>
  <c r="H34" i="6" s="1"/>
  <c r="G30" i="6"/>
  <c r="G29" i="6"/>
  <c r="H29" i="6" s="1"/>
  <c r="G27" i="6"/>
  <c r="G26" i="6"/>
  <c r="H26" i="6" s="1"/>
  <c r="G25" i="6"/>
  <c r="G24" i="6"/>
  <c r="H24" i="6" s="1"/>
  <c r="G20" i="6"/>
  <c r="H20" i="6" s="1"/>
  <c r="G15" i="6"/>
  <c r="H15" i="6" s="1"/>
  <c r="G14" i="6"/>
  <c r="G12" i="6"/>
  <c r="G11" i="6"/>
  <c r="G10" i="6"/>
  <c r="G9" i="6"/>
  <c r="G8" i="6"/>
  <c r="D14" i="8" l="1"/>
  <c r="H30" i="6"/>
  <c r="D11" i="8"/>
  <c r="H27" i="6"/>
  <c r="D12" i="8"/>
  <c r="H25" i="6"/>
  <c r="E34" i="7"/>
  <c r="H34" i="7" s="1"/>
  <c r="H36" i="7"/>
  <c r="E38" i="7"/>
  <c r="H38" i="7" s="1"/>
  <c r="E37" i="7"/>
  <c r="H37" i="7" s="1"/>
  <c r="G25" i="7"/>
  <c r="G18" i="6"/>
  <c r="H21" i="6" s="1"/>
  <c r="G28" i="6"/>
  <c r="E25" i="7"/>
  <c r="I25" i="7" s="1"/>
  <c r="E35" i="7"/>
  <c r="H35" i="7" s="1"/>
  <c r="D10" i="8"/>
  <c r="G10" i="8"/>
  <c r="A32" i="7"/>
  <c r="A44" i="7" s="1"/>
  <c r="H12" i="6" l="1"/>
  <c r="H8" i="6"/>
  <c r="H19" i="6"/>
  <c r="H10" i="6"/>
  <c r="G11" i="8"/>
  <c r="G12" i="8"/>
  <c r="H14" i="6"/>
  <c r="G14" i="8"/>
  <c r="H11" i="6"/>
  <c r="H9"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tc={1A3CF8DB-F2C1-4D61-A856-82D467AA4E68}</author>
    <author>tc={CD6814F3-1C7D-4EDF-83A2-B31A487345A0}</author>
    <author>tc={B59FA4B0-6240-4256-B6F1-06EADEEB0795}</author>
    <author>tc={0571A721-24C3-4E13-B9A6-D5198F41273C}</author>
    <author>tc={99453FFE-68D7-45B6-ABB2-25063594F758}</author>
    <author>tc={2878B854-4393-475B-8148-8ACA1E24BC24}</author>
    <author>tc={A665BEFB-4CCC-482D-8D52-C9A8EB6A4D80}</author>
    <author>tc={759A8417-9894-49D6-902B-3C9EF46E6FE8}</author>
    <author>tc={DE698C34-7DB3-479E-94A8-FD78E75C625D}</author>
  </authors>
  <commentList>
    <comment ref="A19" authorId="0" shapeId="0" xr:uid="{1A3CF8DB-F2C1-4D61-A856-82D467AA4E68}">
      <text>
        <t>[Threaded comment]
Your version of Excel allows you to read this threaded comment; however, any edits to it will get removed if the file is opened in a newer version of Excel. Learn more: https://go.microsoft.com/fwlink/?linkid=870924
Comment:
    Ask Ian Dunne; or Jon Philpin. Link to Waste Recovery section below</t>
      </text>
    </comment>
    <comment ref="A26" authorId="1" shapeId="0" xr:uid="{CD6814F3-1C7D-4EDF-83A2-B31A487345A0}">
      <text>
        <t>[Threaded comment]
Your version of Excel allows you to read this threaded comment; however, any edits to it will get removed if the file is opened in a newer version of Excel. Learn more: https://go.microsoft.com/fwlink/?linkid=870924
Comment:
    Could quantify as Gen-EXp+Import ?</t>
      </text>
    </comment>
    <comment ref="A42" authorId="2" shapeId="0" xr:uid="{B59FA4B0-6240-4256-B6F1-06EADEEB0795}">
      <text>
        <t>[Threaded comment]
Your version of Excel allows you to read this threaded comment; however, any edits to it will get removed if the file is opened in a newer version of Excel. Learn more: https://go.microsoft.com/fwlink/?linkid=870924
Comment:
    Add details from KPI Report  - actual meter reading</t>
      </text>
    </comment>
    <comment ref="A48" authorId="3" shapeId="0" xr:uid="{0571A721-24C3-4E13-B9A6-D5198F41273C}">
      <text>
        <t>[Threaded comment]
Your version of Excel allows you to read this threaded comment; however, any edits to it will get removed if the file is opened in a newer version of Excel. Learn more: https://go.microsoft.com/fwlink/?linkid=870924
Comment:
    Include EDG and Mobile Plant Fuel Oil usage ? Check with Ian D</t>
      </text>
    </comment>
    <comment ref="A49" authorId="4" shapeId="0" xr:uid="{99453FFE-68D7-45B6-ABB2-25063594F758}">
      <text>
        <t>[Threaded comment]
Your version of Excel allows you to read this threaded comment; however, any edits to it will get removed if the file is opened in a newer version of Excel. Learn more: https://go.microsoft.com/fwlink/?linkid=870924
Comment:
    From KPI Report</t>
      </text>
    </comment>
    <comment ref="A53" authorId="5" shapeId="0" xr:uid="{2878B854-4393-475B-8148-8ACA1E24BC24}">
      <text>
        <t>[Threaded comment]
Your version of Excel allows you to read this threaded comment; however, any edits to it will get removed if the file is opened in a newer version of Excel. Learn more: https://go.microsoft.com/fwlink/?linkid=870924
Comment:
    Gasifiers hrs</t>
      </text>
    </comment>
    <comment ref="A58" authorId="6" shapeId="0" xr:uid="{A665BEFB-4CCC-482D-8D52-C9A8EB6A4D80}">
      <text>
        <t>[Threaded comment]
Your version of Excel allows you to read this threaded comment; however, any edits to it will get removed if the file is opened in a newer version of Excel. Learn more: https://go.microsoft.com/fwlink/?linkid=870924
Comment:
    Gasifier hrs - #1 Line</t>
      </text>
    </comment>
    <comment ref="A62" authorId="7" shapeId="0" xr:uid="{759A8417-9894-49D6-902B-3C9EF46E6FE8}">
      <text>
        <t>[Threaded comment]
Your version of Excel allows you to read this threaded comment; however, any edits to it will get removed if the file is opened in a newer version of Excel. Learn more: https://go.microsoft.com/fwlink/?linkid=870924
Comment:
    Standard, average, design figure ?</t>
      </text>
    </comment>
    <comment ref="A63" authorId="8" shapeId="0" xr:uid="{DE698C34-7DB3-479E-94A8-FD78E75C625D}">
      <text>
        <t>[Threaded comment]
Your version of Excel allows you to read this threaded comment; however, any edits to it will get removed if the file is opened in a newer version of Excel. Learn more: https://go.microsoft.com/fwlink/?linkid=870924
Comment:
    5th December CO Exceedance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tc={45AA8A76-8115-406A-AC95-C44882A70134}</author>
    <author>tc={1C558304-5093-4CB8-B0AE-FE64885C9D93}</author>
  </authors>
  <commentList>
    <comment ref="A7" authorId="0" shapeId="0" xr:uid="{45AA8A76-8115-406A-AC95-C44882A70134}">
      <text>
        <t>[Threaded comment]
Your version of Excel allows you to read this threaded comment; however, any edits to it will get removed if the file is opened in a newer version of Excel. Learn more: https://go.microsoft.com/fwlink/?linkid=870924
Comment:
    Insert reporting dates</t>
      </text>
    </comment>
    <comment ref="A47" authorId="1" shapeId="0" xr:uid="{1C558304-5093-4CB8-B0AE-FE64885C9D93}">
      <text>
        <t>[Threaded comment]
Your version of Excel allows you to read this threaded comment; however, any edits to it will get removed if the file is opened in a newer version of Excel. Learn more: https://go.microsoft.com/fwlink/?linkid=870924
Comment:
    Copy from previous lines....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tc={0F105778-B554-4736-8C03-33CE331011ED}</author>
  </authors>
  <commentList>
    <comment ref="A8" authorId="0" shapeId="0" xr:uid="{0F105778-B554-4736-8C03-33CE331011ED}">
      <text>
        <t>[Threaded comment]
Your version of Excel allows you to read this threaded comment; however, any edits to it will get removed if the file is opened in a newer version of Excel. Learn more: https://go.microsoft.com/fwlink/?linkid=870924
Comment:
    From Permit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tc={B2267A78-61EE-4140-9366-02064FB09CA6}</author>
  </authors>
  <commentList>
    <comment ref="D30" authorId="0" shapeId="0" xr:uid="{B2267A78-61EE-4140-9366-02064FB09CA6}">
      <text>
        <t>[Threaded comment]
Your version of Excel allows you to read this threaded comment; however, any edits to it will get removed if the file is opened in a newer version of Excel. Learn more: https://go.microsoft.com/fwlink/?linkid=870924
Comment:
    Socotec reports</t>
      </text>
    </comment>
  </commentList>
</comments>
</file>

<file path=xl/sharedStrings.xml><?xml version="1.0" encoding="utf-8"?>
<sst xmlns="http://schemas.openxmlformats.org/spreadsheetml/2006/main" count="1571" uniqueCount="415">
  <si>
    <t>Add company logo</t>
  </si>
  <si>
    <t xml:space="preserve">Version 20.6 </t>
  </si>
  <si>
    <t>Add photo</t>
  </si>
  <si>
    <t>Notes:</t>
  </si>
  <si>
    <t>This template may require adjustments by individual operators to meet specific reporting requirements as defined in the site Permit(s)</t>
  </si>
  <si>
    <t>Annual Performance Report 2022</t>
  </si>
  <si>
    <t>Permit EPR/GP3509PX</t>
  </si>
  <si>
    <t>Birmingham Bio Power</t>
  </si>
  <si>
    <t>Year:</t>
  </si>
  <si>
    <t>Address:</t>
  </si>
  <si>
    <t>Fordrough, Yardley, Birmingham, B25 8DW</t>
  </si>
  <si>
    <t xml:space="preserve">Tel: </t>
  </si>
  <si>
    <t>0207 762 3106</t>
  </si>
  <si>
    <t xml:space="preserve">Email: </t>
  </si>
  <si>
    <t>kevin.johnson@equans.com</t>
  </si>
  <si>
    <t>Prepared by:</t>
  </si>
  <si>
    <t>Position:</t>
  </si>
  <si>
    <t>Approved by:</t>
  </si>
  <si>
    <t>Kevin Johnson</t>
  </si>
  <si>
    <t>Plant Manager</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</si>
  <si>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</si>
  <si>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</si>
  <si>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</si>
  <si>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</si>
  <si>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</si>
  <si>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</si>
  <si>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</si>
  <si>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</si>
  <si>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</si>
  <si>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Summary</t>
  </si>
  <si>
    <t>Operational Data</t>
  </si>
  <si>
    <t>Performance Form 1</t>
  </si>
  <si>
    <t>Energy Form 1</t>
  </si>
  <si>
    <t>Permit Compliance</t>
  </si>
  <si>
    <t>Improvements</t>
  </si>
  <si>
    <t>Public Liasion</t>
  </si>
  <si>
    <t>Residue Quality - Optional</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</si>
  <si>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</si>
  <si>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</si>
  <si>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</si>
  <si>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</si>
  <si>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</si>
  <si>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</si>
  <si>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</si>
  <si>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</si>
  <si>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</si>
  <si>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</si>
  <si>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</si>
  <si>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</si>
  <si>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</si>
  <si>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</si>
  <si>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</si>
  <si>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</si>
  <si>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</si>
  <si>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</si>
  <si>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</si>
  <si>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The Birmingham Bio-Power plant in Tyseley provides 9MWe (net) of renewable electricity to the National Grid. This power is eligible for Renewable Obligations Certificates under the UK government's renewables incentive scheme. Power is raised by using an advanced gasification technology provided by Nexterra Systems Corp. of Canada to gasify waste wood, raise steam and drive an efficient steam turbine unit. All emissions from the gasification process are treated and continually monitored to meet exacting EU requirements. Birmingham Bio Power Limited developed the Resource Recovery Centre on an existing brownfield site owned by Webster and Horsefall located in the heart of Birmingham. This site was previously commercial industrial land used in the manufacturing activities of Webster and Horsfall and is being re-developed to include further industrial, commercial and offices units.</t>
  </si>
  <si>
    <t xml:space="preserve">Include summary of plant design, design capacity, no. of combustion lines, electrical and heat capacity and any other general information that descibes the facility, its location and purpose </t>
  </si>
  <si>
    <t>Summary of Operational Processes and Procedures</t>
  </si>
  <si>
    <t>Process Steps include: 
1. The incineration of non-hazardous waste in a waste co-incineration plant with a capacity exceeding 3 tonnes per hour. 
2. The gasification of waste wood with production and combustion of a gas known as synthetic gas or ‘syngas’.
3. Generation of 10.3 MW(e) electrical power using a steam turbine utilising energy recovered from the flue gases.
Fuel Management: The quantity of fuel stored is monitored by operations staff and a daily stock level estimated. Expected deliveries of fuel and expected consumption rates will be entered into a fuel stock spreadsheet and any adjustments made to future deliveries/power output forecasts.
Fuel Storage and Feeding: The waste wood fuel is stored on a fuel storage floor in a dedicated Fuel Delivery Hall . This floor allows the automatic feeding of waste wood using a series of reciprocating floor sections into the fuel infeed system. The rate of feeding is managed by the Gasifier PLC. The fuel feeding rate is adjusted automatically to ensure adequate fuel is sent into the available Gasifiers to satisfy the required steam demand. This is managed in the SCADA system which will provide the required mass feed rate to the Gasifier. This is calculated based upon the CV of the fuel (operator entered value based on measurements taken for each delivery), the required steam rate (operator entered value) and current efficiency of the plant (operator adjustable value). The fuel is fed by a series of chain, belt and screw conveyors into the four gasifiers via individual metering bin/conveyors.
Gasification: The temperature, pressure and oxygen levels in the Gasifier are automatically controlled by the Gasifier PLC to maintain optimum operating conditions to create the syngas which is then utilised in the Thermal Oxidation stage. The ash removal system is automatically controlled by the Gasifier PLC to ensure the design conditions are met. The oxygen levels are managed by the recirculation of flue gases from after flue gas cleaning and the introduction of fresh air. By adjusting the oxygen levels the intensity of gasification is managed which in turn controls the temperature in the Gasifier.
Thermal Oxidiser: The temperature, pressure and oxygen levels in the Thermal Oxidiser are automatically controlled by the Gasifier PLC to maintain optimum operating conditions to oxidise the syngas and ensuring the flue gas temperature is kept above the required 850 C (EA Permit Requirement). Adjustments to the air flows and recirculated flue gas flows are made automatically by the control system. In the event of low temperatures (approx. 870 C) being detected, the gas burners are started automatically by the Gasifier PLC to ensure the temperature of the oxidation chamber is always maintained above 850 C.
HRSG Control: The steam temperature, steam pressure and water levels in the HRSG are automatically controlled by the Gasifier PLC to maintain optimum operating conditions for stable operation of the HRSG. The critical parameters are to ensure the level of water in the Steam drum is maintained and that the high pressure steam temperature is maintained in the correct range. Boiler chemicals are automatically added to the steam drum, and feed water to ensure the steam/condensate quality parameters are maintained in the correct range for the system and to prevent corrosion. The dose rates are typically reviewed on a daily basis and dose rates adjusted either on the pump (i.e. stroke length) or on the control system by adjusting a speed/frequency. An external service company may be utilised to provide a more detailed in depth review of chemical dosing control on a regular basis.
To purge unwanted chemicals, sludge s and solids, a continuous blowdown/purge is carried out from the steam drum/mud drum to meet the treatment programme.
Flue Gas Cleaning: The Flue Gas Cleaning system allows the efficient reduction of gaseous pollutants such as Sulphur Dioxide, Hydrogen Chloride and Hydrogen Fluoride. These gases are reduced by reacting them with powdered lime which is dosed into the flue gas flow. The rate of addition is controlled by the incoming pollutant levels, and the levels in the stack. It is essential that the daily average values specified in the EA permit are complied with. The rate of lime addition is controlled by the Flue gas cleaning PLC provided by Lodge Cottrell and interfacing to the Nexterra control system.
The added lime and solid pollutants (i.e. particulates) in the flue gas are substantially reduced by using a bag filter. As the quantity of particulates build up, the pressure drop increases. The bag filter is automatically cleaned utilising compressed air to keep this pressure drop at the required level (which reduces electrical power consumed in the ID Fan). The cleaning cycle is automatically controlled locally at the bag filter.
Nitrogen Dioxide and Nitrogen Monoxide (NOx) are also present as gases in the flue gas and are reduced by the controlled addition of Urea. A small quantity is continuously dosed, and the amount dosed is measured and automatically adjusted by the Gasification PLC to ensure the NOx levels in the discharge stack are below the required limits and that the ammonia level is also not too high.
The speed of the ID fan is controlled automatically to ensure the whole gasification system is kept under negative pressure. The pressure is measured in the Gasifier and the speed of the fan adjusted to meet the required value.
Fly ash is collected in the hopper of each of the filter bag houses. The ash is collected together and pneumatically conveyed to the Fly Ash Silo.
Steam Turbine Power Management: The turbine is operated fully automatically with the dedicated steam turbine PLC monitoring and controlling all the required parameters. The turbine takes all of the high pressure steam produced by the HRSG and generate electricity in the Generator. The high pressure steam main is controlled to a constant pressure by modulating the amount of steam taken by the Turbine. Typically the steam turbine electrical power output will vary slightly as different fuel is introduced into the Gasifier.
Air Cooled Condenser (ACC): The Air Cooled Condenser (ACC) condenses the low pressure steam from the steam turbine exhaust to ensure the efficient conversion of steam to electrical power. The flow of ambient air which cools and condenses the steam is varied by varying the speed of the fans on the ACC. The required steam vacuum on the turbine exhaust is derived from the ambient air temperature to void using more electricity in the ACC beyond the increase in efficiency from the Turbine.
Condensate Cycle: An essential part of the power generation process is the continuous main condensate cycle. Condensate flows from the ACC into the condensate collection tank from where it is pumped forward (whilst leaving a continuous level in the tank) to the deaerator above the boiler feed water vessel. Control valves allow enough water forward, whilst ensuring the heat exchangers are always being cooled in low flow conditions. The condensate tank temperature and pressure is approximately the same as the set point on the turbine exhaust (typically 0.08 Bar absolute). The condensate is heated on the way to the deaerator by various heat exchangers utilising waste heat from the vacuum system (removing air from the ACC), steam turbine sealing steam condenser and low pressure steam from the turbine. The condensate is heated further in the deaerator by medium pressure steam from the turbine to ensure all the oxygen is removed. Hot water from the deaerator flows into the feed water tank. The feed water is then pumped at high pressure by the Boiler Feed Water Pumps into the HRSG Steam Drum. Condensate lost from the cycle is replaced by treated (demineralised) water added into the deaerator as described below.
Process Water System: Towns water from the public supply is fed to Service Water Break Tank. From this tank it is distributed to the required users. The level in the service water break tank is kept at a constant level by the automatic addition of water.
Blow Down System: To remove unwanted minerals and salts from the HRSG, the mud drum is routinely blowdown. The hot, high pressure water flows into the Intermittent Blowdown Vessel. The water is used as attemeraption water in the flue gas treatment.
Demineralised Water System: Demineralised water is constantly required by the HRSG to replace water lost during the blowdown/mud drum purging. Town s water is treated in a packaged plant to produce demineralised water. The control of the package plant and all the relevant sequences, chemical dosing is undertaken by the Demin Water package PLC provided by Sheers and interfacing to the BOP control system. The demineralised water is stored in the treated water tank ready for use. When the level in the treated water tank drops as the water is used, more demineralised water is produced under automatic control. The demineralised water package is requested to start by the BOP PLC at a level setpoint and stop at another level setpoint. This is ensures the Demin. package operates at an optimum throughput. The mass of condensate in the condensate loop is monitored and maintained at a target setpoint by the addition of demin. Water. The demin water pumps are called to run when the blow sequence is operational to enable the demin water to be pre heated before entering the deaerator and for the blow down heat energy to be recovered.
Effluent System: Hot Water is generated at various parts of the process. These all flow into the Effluent Tank and further cooling water is added. The temperature in the Effluent Tank is controlled to ensure the effluent being discharged to the public sewer is less than 43 C. Water is recovered from around the site and some of the flow is reused for cooling the flue gas just prior to it entering the bag filter.
Compressed Air: There are lots of control valves in the plant which utilise compressed air for motive power. A centralised compressed air system is used to provide dried compressed air. The compressor running is managed by the on-board control package with the compressors and the drier system automatically switches between units and dries itself to a pre-set programme. Alarms and status messages will be generated and displayed on the SCADA.
Gasifier Ash Handling: The ash is removed continuously by the ash screws. The speed of these screws is controlled automatically by the Gasification PLC.
Fire Water: A standalone fire pump station and associated storage tank is provided. The system will start automatically in the event of a demand on the fire system. The package control panel will indicate the current status of the plant, alarms and events on the SCADA.
Fly Ash Handling: The dust and reacted/unreacted lime that is collected on the bag filters flows into the hoppers beneath each filter as they cleaned.
The fly ash is removed continuously into a pneumatic transport system which moves the fly ash generated into the Fly Ash Silo. The ash is removed by a bulk powder tanker for disposal at a suitable facility. The ash tanker is filled using the filling system fitted to the bottom of the silo which ensures no dust is lost to the environment as the tanker is filled.</t>
  </si>
  <si>
    <t>Include summary of key processes and procedures such as (but not limited to); waste reception, control rooms, grate, bed and bolier, energy &amp; heat  generation, cooling systems, residue management, emission controls, health and safety systems, maintenance</t>
  </si>
  <si>
    <t>Plant Size</t>
  </si>
  <si>
    <t>60000 ? Permit</t>
  </si>
  <si>
    <t>tonnes pa</t>
  </si>
  <si>
    <t>Permit</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</si>
  <si>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</si>
  <si>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</si>
  <si>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</si>
  <si>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</si>
  <si>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</si>
  <si>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</si>
  <si>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</si>
  <si>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</si>
  <si>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</si>
  <si>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</si>
  <si>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</si>
  <si>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</si>
  <si>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</si>
  <si>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</si>
  <si>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</si>
  <si>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</si>
  <si>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</si>
  <si>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</si>
  <si>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</si>
  <si>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</si>
  <si>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t>
  </si>
  <si>
    <t xml:space="preserve">Waste wood (biomass) </t>
  </si>
  <si>
    <t>Refuse Derived Fuel * - H'hold/LA</t>
  </si>
  <si>
    <t>Refuse Derived Fuel *  - C&amp;I</t>
  </si>
  <si>
    <t>Other [Please specify]</t>
  </si>
  <si>
    <t>Total waste received</t>
  </si>
  <si>
    <t xml:space="preserve">Rejected Waste </t>
  </si>
  <si>
    <t>Unprocessed waste transferred out</t>
  </si>
  <si>
    <t>Total waste combusted</t>
  </si>
  <si>
    <t>Energy Useage / Export</t>
  </si>
  <si>
    <t>KWh/te</t>
  </si>
  <si>
    <t>Power Generated</t>
  </si>
  <si>
    <t>MWh</t>
  </si>
  <si>
    <t>Power Exported</t>
  </si>
  <si>
    <t>Power Used on site</t>
  </si>
  <si>
    <t>Power Imported</t>
  </si>
  <si>
    <t>Parasitic Load</t>
  </si>
  <si>
    <t>Thermal Energy Produced **</t>
  </si>
  <si>
    <t>Thermal Energy Exported **</t>
  </si>
  <si>
    <t>R1 value</t>
  </si>
  <si>
    <t>Design / Operational / n/a</t>
  </si>
  <si>
    <t>Waste Disposal &amp; Recovery</t>
  </si>
  <si>
    <t>% inputs</t>
  </si>
  <si>
    <t>APC Residues - produced</t>
  </si>
  <si>
    <t>IBA - produced</t>
  </si>
  <si>
    <t>Metals recycling</t>
  </si>
  <si>
    <t>Oversize Stock</t>
  </si>
  <si>
    <t>Other</t>
  </si>
  <si>
    <t>Raw Material Usage</t>
  </si>
  <si>
    <t>kg or Ltr /te</t>
  </si>
  <si>
    <t>Mains Water</t>
  </si>
  <si>
    <t>ltrs</t>
  </si>
  <si>
    <t>Other Water</t>
  </si>
  <si>
    <t>Ammonia</t>
  </si>
  <si>
    <t>kgs</t>
  </si>
  <si>
    <t>Urea</t>
  </si>
  <si>
    <t>Activated Carbon</t>
  </si>
  <si>
    <t>Lime / hydrated lime</t>
  </si>
  <si>
    <t>Fuel oil</t>
  </si>
  <si>
    <t>Gas</t>
  </si>
  <si>
    <t>cf</t>
  </si>
  <si>
    <t xml:space="preserve">Summary </t>
  </si>
  <si>
    <t>Line/Unit</t>
  </si>
  <si>
    <t xml:space="preserve">Hrs in year </t>
  </si>
  <si>
    <t>Availability of waste combustion by line, hrs</t>
  </si>
  <si>
    <t xml:space="preserve"> x %</t>
  </si>
  <si>
    <t>x %</t>
  </si>
  <si>
    <t>Overall Availability, mean avg. of all lines, hrs</t>
  </si>
  <si>
    <t>Hours of turbine operations, hrs</t>
  </si>
  <si>
    <t>Hours of heat / steam export</t>
  </si>
  <si>
    <t>Net Calorific Value of waste</t>
  </si>
  <si>
    <t>MJ/kg</t>
  </si>
  <si>
    <t>-</t>
  </si>
  <si>
    <t>Abnormal Events</t>
  </si>
  <si>
    <t>qty.</t>
  </si>
  <si>
    <t>Abnormal operation</t>
  </si>
  <si>
    <t>hours</t>
  </si>
  <si>
    <t>Permit Breaches</t>
  </si>
  <si>
    <t>Summary of Plant Operations and Maintenance during the reporting year</t>
  </si>
  <si>
    <t xml:space="preserve">Include summary of key operational and/or mainteanance activity undertaken in the year, such as any major component upgrades and/or replacements </t>
  </si>
  <si>
    <t>Summary of Residue Handling for the reporting year</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</si>
  <si>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</si>
  <si>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</si>
  <si>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</si>
  <si>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</si>
  <si>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</si>
  <si>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</si>
  <si>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</si>
  <si>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</si>
  <si>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</si>
  <si>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</si>
  <si>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</si>
  <si>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</si>
  <si>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</si>
  <si>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</si>
  <si>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</si>
  <si>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</si>
  <si>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Augean</t>
  </si>
  <si>
    <t>IBA</t>
  </si>
  <si>
    <t>Total Hazardous Waste</t>
  </si>
  <si>
    <t>2) Non-Hazardous Wastes</t>
  </si>
  <si>
    <t>Ferrous Metal</t>
  </si>
  <si>
    <t xml:space="preserve">A&amp;A Recycling </t>
  </si>
  <si>
    <t>Process Water</t>
  </si>
  <si>
    <t>Total Non-Hazardous Waste</t>
  </si>
  <si>
    <t>TOTAL WASTE</t>
  </si>
  <si>
    <t>Operator’s comments :</t>
  </si>
  <si>
    <t>Annual Reporting of Water and Other Raw Material Usage</t>
  </si>
  <si>
    <t>Raw Material</t>
  </si>
  <si>
    <t>Usage</t>
  </si>
  <si>
    <t>Specific Useage</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</si>
  <si>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</si>
  <si>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</si>
  <si>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</si>
  <si>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</si>
  <si>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</si>
  <si>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</si>
  <si>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</si>
  <si>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</si>
  <si>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</si>
  <si>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</si>
  <si>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</si>
  <si>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</si>
  <si>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</si>
  <si>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</si>
  <si>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</si>
  <si>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</si>
  <si>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</si>
  <si>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</si>
  <si>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</si>
  <si>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</si>
  <si>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 xml:space="preserve">Signed: </t>
  </si>
  <si>
    <t>KRJohnson</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</si>
  <si>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</si>
  <si>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</si>
  <si>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</si>
  <si>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</si>
  <si>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</si>
  <si>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</si>
  <si>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</si>
  <si>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</si>
  <si>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</si>
  <si>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</si>
  <si>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</si>
  <si>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GWh</t>
  </si>
  <si>
    <t>Gas oil used for Front End Loader Bucket machine and Emergency Diesel Generator</t>
  </si>
  <si>
    <t>Summary of Permit Compliance</t>
  </si>
  <si>
    <t>Compliance with permit limits for continuously monitored pollutants</t>
  </si>
  <si>
    <t>The plant met its emission limits as shown in the table below:</t>
  </si>
  <si>
    <t>Substance</t>
  </si>
  <si>
    <t>Percentage time compliant during operation</t>
  </si>
  <si>
    <t>Number of 1/2</t>
  </si>
  <si>
    <t xml:space="preserve">Number of </t>
  </si>
  <si>
    <t>Half-hourly limit</t>
  </si>
  <si>
    <t>Daily limit</t>
  </si>
  <si>
    <t xml:space="preserve"> Hourly Breaches</t>
  </si>
  <si>
    <t>Daily Breaches</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</si>
  <si>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</si>
  <si>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</si>
  <si>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</si>
  <si>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</si>
  <si>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</si>
  <si>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Total organic carbon</t>
  </si>
  <si>
    <t>Hydrogen chloride</t>
  </si>
  <si>
    <t>Hydrogen fluoride</t>
  </si>
  <si>
    <t>Summary of any notifications or non-compliances under the permit</t>
  </si>
  <si>
    <t>Summary of notification or non-compliance [including Line/Reference]</t>
  </si>
  <si>
    <t xml:space="preserve">Reason </t>
  </si>
  <si>
    <t>Measures taken to prevent reoccurrence</t>
  </si>
  <si>
    <t>Summary of any complaints received and actions to taken to resolve them.</t>
  </si>
  <si>
    <t>Summary of complaint [including Line/Reference]</t>
  </si>
  <si>
    <t>Reason *</t>
  </si>
  <si>
    <t>* including whether substantiated by the operator or the EA</t>
  </si>
  <si>
    <t>Summary of Plant Improvements</t>
  </si>
  <si>
    <t>Summary of any efficiency improvements that have been completed within the year.</t>
  </si>
  <si>
    <t>Summary of any permit improvement conditions that have been completed within the year and the resulting environmental benefits.</t>
  </si>
  <si>
    <t>None</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</si>
  <si>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</si>
  <si>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</si>
  <si>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Details of Public &amp; Stakeholder Liasion</t>
  </si>
  <si>
    <t>Summary of events held during the reporting year.</t>
  </si>
  <si>
    <t>Description</t>
  </si>
  <si>
    <t>List of events planned for next year</t>
  </si>
  <si>
    <t>EA Site Visit</t>
  </si>
  <si>
    <t>If you wish to be involved in the public liasion programme, please contact _________________</t>
  </si>
  <si>
    <t>Residue Quality Monitoring Requirements</t>
  </si>
  <si>
    <t>Summary of monitoring undertaken and compliance</t>
  </si>
  <si>
    <t>Socotec IBA, APCR Monitoring (Monthly)</t>
  </si>
  <si>
    <t>Commentary on any specific events</t>
  </si>
  <si>
    <t>Date &amp; Event</t>
  </si>
  <si>
    <t>Residue Quality Monitoring Results</t>
  </si>
  <si>
    <t xml:space="preserve">Parameter (unit) </t>
  </si>
  <si>
    <t>Limit</t>
  </si>
  <si>
    <t xml:space="preserve">Normal Operation </t>
  </si>
  <si>
    <t xml:space="preserve">Bottom ash  </t>
  </si>
  <si>
    <t>Loss on Ignition (average %)</t>
  </si>
  <si>
    <t>&lt;5%</t>
  </si>
  <si>
    <t>Total Organic Carbon (average %)</t>
  </si>
  <si>
    <t>&lt;3%</t>
  </si>
  <si>
    <t>No. of Assessments Undertaken</t>
  </si>
  <si>
    <t>---</t>
  </si>
  <si>
    <t>No. of Hazardous Results</t>
  </si>
  <si>
    <t>Comments :</t>
  </si>
  <si>
    <t>Emissions to Water / Sewer</t>
  </si>
  <si>
    <t>Monitoring Frequency</t>
  </si>
  <si>
    <t>Target</t>
  </si>
  <si>
    <t>Max.</t>
  </si>
  <si>
    <t>Average</t>
  </si>
  <si>
    <t>Summary of monitoring undertaken, standards used and compliance</t>
  </si>
  <si>
    <t xml:space="preserve">MCERTS CEMS Complance Checks / QAL 2 </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</si>
  <si>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</si>
  <si>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</si>
  <si>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</si>
  <si>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</si>
  <si>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</si>
  <si>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</si>
  <si>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</si>
  <si>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</si>
  <si>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</si>
  <si>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</si>
  <si>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</si>
  <si>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</si>
  <si>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</si>
  <si>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</si>
  <si>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</si>
  <si>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</si>
  <si>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</si>
  <si>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</si>
  <si>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</si>
  <si>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</si>
  <si>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</si>
  <si>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</si>
  <si>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</si>
  <si>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</si>
  <si>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</si>
  <si>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</si>
  <si>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</si>
  <si>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</si>
  <si>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</si>
  <si>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</si>
  <si>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</si>
  <si>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</si>
  <si>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</si>
  <si>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</si>
  <si>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</si>
  <si>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</si>
  <si>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</si>
  <si>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</si>
  <si>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</si>
  <si>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Emissions to Air (continously monitored)</t>
  </si>
  <si>
    <t>Template may require adjustment for any bespoke monitoring requirements of permit</t>
  </si>
  <si>
    <t>CEMS Complaince and QAL 2 checks</t>
  </si>
  <si>
    <t>Report to 2 decimal places, i.e. xx.xx%</t>
  </si>
  <si>
    <t>Results of emissions to air that are continuously monitored (maximum and average values for each line)</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</si>
  <si>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</si>
  <si>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</si>
  <si>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</si>
  <si>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</si>
  <si>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</si>
  <si>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</si>
  <si>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</si>
  <si>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</si>
  <si>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</si>
  <si>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</si>
  <si>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</si>
  <si>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</si>
  <si>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</si>
  <si>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</si>
  <si>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</si>
  <si>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½ hourly mean *</t>
  </si>
  <si>
    <r>
      <t>150 mg/m</t>
    </r>
    <r>
      <rPr>
        <vertAlign val="superscript"/>
        <sz val="10"/>
        <color theme="1"/>
        <rFont val="Arial"/>
        <family val="2"/>
      </rPr>
      <t>3</t>
    </r>
    <r>
      <rPr>
        <sz val="10"/>
        <color theme="1"/>
        <rFont val="Arial"/>
        <family val="2"/>
      </rPr>
      <t xml:space="preserve"> *</t>
    </r>
  </si>
  <si>
    <t>95%ile 10-min avg *</t>
  </si>
  <si>
    <t xml:space="preserve"> Ammonia</t>
  </si>
  <si>
    <t>No limit set</t>
  </si>
  <si>
    <t>* = delete or amend as appropriate</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</si>
  <si>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</si>
  <si>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</si>
  <si>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</si>
  <si>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</si>
  <si>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</si>
  <si>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</si>
  <si>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</si>
  <si>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</si>
  <si>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</si>
  <si>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</si>
  <si>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</si>
  <si>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</si>
  <si>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</si>
  <si>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</si>
  <si>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</si>
  <si>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</si>
  <si>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</si>
  <si>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</si>
  <si>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</si>
  <si>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</si>
  <si>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</si>
  <si>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</si>
  <si>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</si>
  <si>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</si>
  <si>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</si>
  <si>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</si>
  <si>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</si>
  <si>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</si>
  <si>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</si>
  <si>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</si>
  <si>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</si>
  <si>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</si>
  <si>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</si>
  <si>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</si>
  <si>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</si>
  <si>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</si>
  <si>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</si>
  <si>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</si>
  <si>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</si>
  <si>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</si>
  <si>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</si>
  <si>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</si>
  <si>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</si>
  <si>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</si>
  <si>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</si>
  <si>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(half hourly)</t>
  </si>
  <si>
    <t>1/2 hourly CO ELV</t>
  </si>
  <si>
    <t>Daily CO ELV</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</si>
  <si>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</si>
  <si>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</si>
  <si>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</si>
  <si>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</si>
  <si>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</si>
  <si>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</si>
  <si>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</si>
  <si>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</si>
  <si>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N/A</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</si>
  <si>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</si>
  <si>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</si>
  <si>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</si>
  <si>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</si>
  <si>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</si>
  <si>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t>1/2 hourly NH3 ELV</t>
  </si>
  <si>
    <t>Daily NH3 ELV</t>
  </si>
  <si>
    <t xml:space="preserve">An indicated ELV value of zero in the table above means that no ammonia limit is set in the permit.  </t>
  </si>
  <si>
    <t xml:space="preserve">Routine running of plant where availability and reliability has generally improved during the year as a result of improved maintenance processes and plant investment works.
2022 Plant Availability:
Generation Export increased by 18%
Operational Hours increased by 14%
Planned Maintenance activities took place as follows: 
Major Shutdown - 14th May to 15th June Outage maintenance
Plant Gasifier Fan issues - 22nd June to 6th August - Replacement Fans installed
Routine Maintenance activities in line with OEM and Statutory requirements
Plant Improvement Projects included:
1. Ongoing improvements to fuel handling and conveying system in line with OEM recommendations
2. Auto control of SNCR Urea injection to reduce overall useage of Urea
Notifications:
26th December - High CO half-hourly ELV exceedance - Notification submitted and closed.
</t>
  </si>
  <si>
    <t xml:space="preserve">Fuel from A&amp;A and Woodwaste. Improvement in fuel quality. 42,884t of fuel processed in 2022.
Fuel source and waste destinations from tickets.
IBA disposed - 1,960t
APCR disposed - 850t
Oversize wood returned for re-processing - 310t
Ferrous &amp; Non Ferrous returns for disposal - 223t
</t>
  </si>
  <si>
    <t>EQUANS FM Ltd</t>
  </si>
  <si>
    <t>Loss of both O2 Sensor operations cause the plant fluctuations that cause instability in the process which resulted in high CO emissions.</t>
  </si>
  <si>
    <t>Main Stack S1 - CO Exceedance - 1/2 Hour 530mg/m3</t>
  </si>
  <si>
    <t>Oxygen Sensors are part of a “Oxidiser” routine cleaning schedule by the operations / maintenance team on a Monthly basis.
These routine will be reviewed and the frequency increased.
In addition communication to the team will be sent out regarding checking O2 sensor stability before any isolating the sensors and undertaking cleaning.</t>
  </si>
  <si>
    <t>Additional maintenance activities and improved plant monitoring processes resulting in better plant performance.
Update to SNCR Urea injection control to reduce overall usage of Urea and ensure accurate effective NOX control.</t>
  </si>
  <si>
    <t>Plant Improvement Projects included:
1. Ongoing improvements to fuel handling and conveying system in line with OEM recommendations
2. Auto control of SNCR Urea injection to reduce overall useage of Urea</t>
  </si>
  <si>
    <t>Rebecca Froggatt</t>
  </si>
  <si>
    <t>Technical Administrator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</si>
</sst>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_-* #,##0_-;\-* #,##0_-;_-* &quot;-&quot;??_-;_-@_-"/>
    <numFmt numFmtId="165" formatCode="0.0%"/>
    <numFmt numFmtId="166" formatCode="_-* #,##0.0_-;\-* #,##0.0_-;_-* &quot;-&quot;??_-;_-@_-"/>
    <numFmt numFmtId="167" formatCode="[$-F800]dddd\,\ mmmm\ dd\,\ yyyy"/>
    <numFmt numFmtId="168" formatCode="#,##0.0"/>
    <numFmt numFmtId="169" formatCode="0.0"/>
  </numFmts>
  <fonts count="40" x14ac:knownFonts="1">
    <font>
      <sz val="11"/>
      <color theme="1"/>
      <name val="Calibri"/>
      <family val="2"/>
      <scheme val="minor"/>
    </font>
    <font>
      <sz val="12"/>
      <color theme="1"/>
      <name val="Arial"/>
      <family val="2"/>
    </font>
    <font>
      <sz val="10"/>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u/>
      <sz val="11"/>
      <color theme="10"/>
      <name val="Calibri"/>
      <family val="2"/>
      <scheme val="minor"/>
    </font>
    <font>
      <sz val="8"/>
      <color theme="1"/>
      <name val="Arial"/>
      <family val="2"/>
    </font>
    <font>
      <sz val="10"/>
      <color rgb="FF000000"/>
      <name val="Arial"/>
      <family val="2"/>
    </font>
    <font>
      <b/>
      <sz val="12"/>
      <color rgb="FF000000"/>
      <name val="Arial"/>
      <family val="2"/>
    </font>
    <font>
      <i/>
      <sz val="16"/>
      <color rgb="FF0070C0"/>
      <name val="Monotype Corsiva"/>
      <family val="4"/>
    </font>
    <font>
      <sz val="16"/>
      <color rgb="FF0070C0"/>
      <name val="Monotype Corsiva"/>
      <family val="4"/>
    </font>
  </fonts>
  <fills count="10">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
      <patternFill patternType="solid">
        <fgColor rgb="FFEDEDED"/>
        <bgColor rgb="FF000000"/>
      </patternFill>
    </fill>
    <fill>
      <patternFill patternType="solid">
        <fgColor rgb="FFF2F2F2"/>
        <bgColor rgb="FF000000"/>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4">
    <xf numFmtId="0" fontId="0" fillId="0" borderId="0"/>
    <xf numFmtId="43" fontId="3" fillId="0" borderId="0" applyFont="0" applyFill="0" applyBorder="0" applyAlignment="0" applyProtection="0"/>
    <xf numFmtId="9" fontId="3" fillId="0" borderId="0" applyFont="0" applyFill="0" applyBorder="0" applyAlignment="0" applyProtection="0"/>
    <xf numFmtId="0" fontId="34" fillId="0" borderId="0" applyNumberFormat="0" applyFill="0" applyBorder="0" applyAlignment="0" applyProtection="0"/>
  </cellStyleXfs>
  <cellXfs count="383">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164" fontId="6" fillId="2" borderId="7" xfId="1" applyNumberFormat="1" applyFont="1" applyFill="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4" fillId="4" borderId="2" xfId="0" applyFont="1" applyFill="1" applyBorder="1" applyAlignment="1">
      <alignment horizontal="center" vertical="center" wrapText="1"/>
    </xf>
    <xf numFmtId="0" fontId="11" fillId="0" borderId="0" xfId="0" applyFont="1" applyAlignment="1">
      <alignment vertical="center"/>
    </xf>
    <xf numFmtId="0" fontId="14" fillId="4" borderId="6" xfId="0" applyFont="1" applyFill="1" applyBorder="1" applyAlignment="1">
      <alignment vertical="center" wrapText="1"/>
    </xf>
    <xf numFmtId="0" fontId="14" fillId="4" borderId="8" xfId="0" applyFont="1" applyFill="1" applyBorder="1" applyAlignment="1">
      <alignment vertical="center" wrapText="1"/>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14" fillId="4" borderId="2" xfId="0" applyFont="1" applyFill="1" applyBorder="1" applyAlignment="1">
      <alignment vertical="center" wrapText="1"/>
    </xf>
    <xf numFmtId="0" fontId="15" fillId="0" borderId="12" xfId="0" applyFont="1" applyBorder="1"/>
    <xf numFmtId="0" fontId="6" fillId="0" borderId="0" xfId="0" applyFont="1" applyAlignment="1">
      <alignment vertical="center"/>
    </xf>
    <xf numFmtId="0" fontId="10" fillId="0" borderId="2" xfId="0" applyFont="1" applyBorder="1" applyAlignment="1">
      <alignment horizontal="center" vertical="center" wrapText="1"/>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6" xfId="0" applyFont="1" applyBorder="1"/>
    <xf numFmtId="0" fontId="7" fillId="0" borderId="3" xfId="0" applyFont="1" applyBorder="1"/>
    <xf numFmtId="0" fontId="4" fillId="0" borderId="3" xfId="0" applyFont="1" applyBorder="1"/>
    <xf numFmtId="0" fontId="10" fillId="0" borderId="2" xfId="0" applyFont="1" applyBorder="1" applyAlignment="1">
      <alignment horizontal="center" vertical="center"/>
    </xf>
    <xf numFmtId="0" fontId="7" fillId="0" borderId="2" xfId="0" applyFont="1" applyBorder="1" applyAlignment="1">
      <alignment horizontal="center" vertical="center" wrapText="1"/>
    </xf>
    <xf numFmtId="0" fontId="16" fillId="0" borderId="0" xfId="0" applyFont="1"/>
    <xf numFmtId="0" fontId="17" fillId="0" borderId="2" xfId="0" applyFont="1"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2" xfId="0" applyFont="1" applyBorder="1" applyAlignment="1">
      <alignment horizontal="center" vertical="center"/>
    </xf>
    <xf numFmtId="0" fontId="6" fillId="0" borderId="2" xfId="0" applyFont="1" applyBorder="1"/>
    <xf numFmtId="0" fontId="19" fillId="0" borderId="2" xfId="0" applyFont="1" applyBorder="1" applyAlignment="1">
      <alignment horizontal="center"/>
    </xf>
    <xf numFmtId="0" fontId="6" fillId="5" borderId="2" xfId="0" applyFont="1" applyFill="1" applyBorder="1" applyAlignment="1">
      <alignment horizontal="center"/>
    </xf>
    <xf numFmtId="0" fontId="7" fillId="0" borderId="2" xfId="0" applyFont="1" applyBorder="1" applyAlignment="1">
      <alignment horizontal="left" vertical="center"/>
    </xf>
    <xf numFmtId="0" fontId="6" fillId="0" borderId="2" xfId="0" applyFont="1" applyBorder="1" applyAlignment="1">
      <alignment horizontal="left"/>
    </xf>
    <xf numFmtId="0" fontId="7" fillId="0" borderId="1" xfId="0" applyFont="1" applyBorder="1" applyAlignment="1">
      <alignment horizontal="center" vertical="center" wrapText="1"/>
    </xf>
    <xf numFmtId="0" fontId="7" fillId="0" borderId="0" xfId="0" applyFont="1" applyAlignment="1">
      <alignment vertical="center"/>
    </xf>
    <xf numFmtId="0" fontId="19" fillId="5" borderId="2" xfId="0" applyFont="1" applyFill="1" applyBorder="1" applyAlignment="1">
      <alignment horizontal="center"/>
    </xf>
    <xf numFmtId="0" fontId="6" fillId="0" borderId="8" xfId="0" applyFont="1" applyBorder="1" applyAlignment="1">
      <alignment horizontal="left"/>
    </xf>
    <xf numFmtId="0" fontId="21" fillId="0" borderId="0" xfId="0" applyFont="1"/>
    <xf numFmtId="0" fontId="6" fillId="0" borderId="9" xfId="0" applyFont="1" applyBorder="1"/>
    <xf numFmtId="0" fontId="22" fillId="0" borderId="0" xfId="0" applyFont="1"/>
    <xf numFmtId="0" fontId="23" fillId="0" borderId="0" xfId="0" applyFont="1"/>
    <xf numFmtId="0" fontId="24" fillId="0" borderId="0" xfId="0" applyFont="1"/>
    <xf numFmtId="0" fontId="7" fillId="0" borderId="0" xfId="0" applyFont="1" applyAlignment="1">
      <alignment horizontal="center"/>
    </xf>
    <xf numFmtId="0" fontId="26" fillId="0" borderId="0" xfId="0" applyFont="1"/>
    <xf numFmtId="0" fontId="27" fillId="0" borderId="0" xfId="0" applyFont="1"/>
    <xf numFmtId="0" fontId="28" fillId="0" borderId="0" xfId="0" applyFont="1"/>
    <xf numFmtId="0" fontId="23" fillId="0" borderId="0" xfId="0" applyFont="1" applyAlignment="1">
      <alignment horizontal="right"/>
    </xf>
    <xf numFmtId="0" fontId="29" fillId="0" borderId="0" xfId="0" applyFont="1"/>
    <xf numFmtId="0" fontId="30" fillId="0" borderId="0" xfId="0" applyFont="1"/>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7" fillId="0" borderId="13" xfId="0" applyFont="1" applyBorder="1" applyAlignment="1">
      <alignment horizontal="left" vertical="top" wrapText="1"/>
    </xf>
    <xf numFmtId="0" fontId="12" fillId="0" borderId="0" xfId="0" applyFont="1" applyAlignment="1">
      <alignment horizontal="center"/>
    </xf>
    <xf numFmtId="165" fontId="10" fillId="0" borderId="10" xfId="2" applyNumberFormat="1" applyFont="1" applyBorder="1" applyAlignment="1">
      <alignment horizontal="center"/>
    </xf>
    <xf numFmtId="0" fontId="12" fillId="5" borderId="0" xfId="0" applyFont="1" applyFill="1" applyAlignment="1">
      <alignment horizontal="center"/>
    </xf>
    <xf numFmtId="164" fontId="10" fillId="0" borderId="0" xfId="1" applyNumberFormat="1" applyFont="1" applyBorder="1" applyAlignment="1">
      <alignment horizontal="center"/>
    </xf>
    <xf numFmtId="164" fontId="10" fillId="2" borderId="12" xfId="1" applyNumberFormat="1" applyFont="1" applyFill="1" applyBorder="1" applyAlignment="1">
      <alignment horizontal="center"/>
    </xf>
    <xf numFmtId="0" fontId="10" fillId="0" borderId="9" xfId="0" applyFont="1" applyBorder="1" applyAlignment="1">
      <alignment vertical="center"/>
    </xf>
    <xf numFmtId="0" fontId="10" fillId="0" borderId="11" xfId="0" applyFont="1" applyBorder="1" applyAlignment="1">
      <alignment vertical="center"/>
    </xf>
    <xf numFmtId="0" fontId="1" fillId="0" borderId="0" xfId="0" applyFont="1"/>
    <xf numFmtId="0" fontId="2" fillId="2" borderId="9" xfId="0" applyFont="1" applyFill="1" applyBorder="1"/>
    <xf numFmtId="0" fontId="2" fillId="2" borderId="2" xfId="0" applyFont="1" applyFill="1" applyBorder="1" applyAlignment="1">
      <alignment horizontal="center" vertical="center" wrapText="1"/>
    </xf>
    <xf numFmtId="0" fontId="2" fillId="0" borderId="2" xfId="0" applyFont="1" applyBorder="1" applyAlignment="1">
      <alignment horizontal="left" vertical="center" wrapText="1"/>
    </xf>
    <xf numFmtId="17" fontId="1" fillId="0" borderId="0" xfId="0" applyNumberFormat="1" applyFont="1"/>
    <xf numFmtId="0" fontId="1" fillId="2" borderId="0" xfId="0" applyFont="1" applyFill="1"/>
    <xf numFmtId="0" fontId="1" fillId="0" borderId="0" xfId="0" applyFont="1" applyAlignment="1">
      <alignment horizontal="left"/>
    </xf>
    <xf numFmtId="0" fontId="1" fillId="0" borderId="4" xfId="0" applyFont="1" applyBorder="1"/>
    <xf numFmtId="0" fontId="1" fillId="0" borderId="5" xfId="0" applyFont="1" applyBorder="1"/>
    <xf numFmtId="0" fontId="2" fillId="2" borderId="2" xfId="0" applyFont="1" applyFill="1" applyBorder="1" applyAlignment="1">
      <alignment horizontal="center"/>
    </xf>
    <xf numFmtId="0" fontId="2" fillId="2" borderId="2" xfId="0" applyFont="1" applyFill="1" applyBorder="1" applyAlignment="1">
      <alignment horizontal="left"/>
    </xf>
    <xf numFmtId="0" fontId="2" fillId="2" borderId="2" xfId="0" applyFont="1" applyFill="1" applyBorder="1" applyAlignment="1">
      <alignment horizontal="center" vertical="top"/>
    </xf>
    <xf numFmtId="0" fontId="1" fillId="0" borderId="7" xfId="0" applyFont="1" applyBorder="1"/>
    <xf numFmtId="0" fontId="1" fillId="0" borderId="8" xfId="0" applyFont="1" applyBorder="1"/>
    <xf numFmtId="0" fontId="1" fillId="0" borderId="11" xfId="0" applyFont="1" applyBorder="1"/>
    <xf numFmtId="0" fontId="1" fillId="0" borderId="12" xfId="0" applyFont="1" applyBorder="1"/>
    <xf numFmtId="0" fontId="1" fillId="0" borderId="13" xfId="0" applyFont="1" applyBorder="1"/>
    <xf numFmtId="0" fontId="2" fillId="0" borderId="0" xfId="0" applyFont="1"/>
    <xf numFmtId="0" fontId="2" fillId="0" borderId="0" xfId="0" applyFont="1" applyAlignment="1">
      <alignment horizontal="center"/>
    </xf>
    <xf numFmtId="0" fontId="2" fillId="0" borderId="3" xfId="0" applyFont="1" applyBorder="1"/>
    <xf numFmtId="0" fontId="2" fillId="0" borderId="4"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vertical="center"/>
    </xf>
    <xf numFmtId="164" fontId="2" fillId="2" borderId="7" xfId="1" applyNumberFormat="1" applyFont="1" applyFill="1" applyBorder="1" applyAlignment="1">
      <alignment horizontal="center"/>
    </xf>
    <xf numFmtId="165" fontId="2" fillId="0" borderId="8" xfId="2" applyNumberFormat="1" applyFont="1" applyBorder="1" applyAlignment="1">
      <alignment horizontal="center"/>
    </xf>
    <xf numFmtId="0" fontId="2" fillId="0" borderId="9" xfId="0" applyFont="1" applyBorder="1" applyAlignment="1">
      <alignment vertical="center"/>
    </xf>
    <xf numFmtId="164" fontId="2" fillId="2" borderId="0" xfId="1" applyNumberFormat="1" applyFont="1" applyFill="1" applyBorder="1" applyAlignment="1">
      <alignment horizontal="center"/>
    </xf>
    <xf numFmtId="165" fontId="2" fillId="0" borderId="10" xfId="2" applyNumberFormat="1" applyFont="1" applyBorder="1" applyAlignment="1">
      <alignment horizontal="center"/>
    </xf>
    <xf numFmtId="0" fontId="2" fillId="7" borderId="9" xfId="0" applyFont="1" applyFill="1" applyBorder="1" applyAlignment="1">
      <alignment vertical="center"/>
    </xf>
    <xf numFmtId="165" fontId="2" fillId="0" borderId="10" xfId="2" applyNumberFormat="1" applyFont="1" applyFill="1" applyBorder="1" applyAlignment="1">
      <alignment horizontal="center"/>
    </xf>
    <xf numFmtId="0" fontId="2" fillId="0" borderId="12" xfId="0" applyFont="1" applyBorder="1" applyAlignment="1">
      <alignment horizontal="center" vertical="center" textRotation="90"/>
    </xf>
    <xf numFmtId="165" fontId="2" fillId="0" borderId="13" xfId="2" applyNumberFormat="1" applyFont="1" applyBorder="1" applyAlignment="1">
      <alignment horizontal="center"/>
    </xf>
    <xf numFmtId="0" fontId="2" fillId="0" borderId="7" xfId="0" applyFont="1" applyBorder="1" applyAlignment="1">
      <alignment horizontal="center"/>
    </xf>
    <xf numFmtId="0" fontId="2" fillId="0" borderId="8" xfId="0" applyFont="1" applyBorder="1" applyAlignment="1">
      <alignment horizontal="center"/>
    </xf>
    <xf numFmtId="0" fontId="2" fillId="0" borderId="6" xfId="0" applyFont="1" applyBorder="1"/>
    <xf numFmtId="164" fontId="2" fillId="0" borderId="8" xfId="0" applyNumberFormat="1" applyFont="1" applyBorder="1" applyAlignment="1">
      <alignment horizontal="center"/>
    </xf>
    <xf numFmtId="0" fontId="2" fillId="0" borderId="9" xfId="0" applyFont="1" applyBorder="1"/>
    <xf numFmtId="164" fontId="2" fillId="2" borderId="0" xfId="1" applyNumberFormat="1" applyFont="1" applyFill="1" applyAlignment="1">
      <alignment horizontal="center"/>
    </xf>
    <xf numFmtId="164" fontId="2" fillId="0" borderId="10" xfId="0" applyNumberFormat="1" applyFont="1" applyBorder="1" applyAlignment="1">
      <alignment horizontal="center"/>
    </xf>
    <xf numFmtId="166" fontId="2" fillId="2" borderId="0" xfId="1" applyNumberFormat="1" applyFont="1" applyFill="1" applyAlignment="1">
      <alignment horizontal="center"/>
    </xf>
    <xf numFmtId="0" fontId="2" fillId="0" borderId="0" xfId="0" applyFont="1" applyAlignment="1">
      <alignment horizontal="center" vertical="center"/>
    </xf>
    <xf numFmtId="165" fontId="2" fillId="0" borderId="0" xfId="2" applyNumberFormat="1" applyFont="1" applyAlignment="1">
      <alignment horizontal="center" vertical="center"/>
    </xf>
    <xf numFmtId="0" fontId="2" fillId="0" borderId="11" xfId="0" applyFont="1" applyBorder="1"/>
    <xf numFmtId="0" fontId="2" fillId="0" borderId="12" xfId="0" applyFont="1" applyBorder="1"/>
    <xf numFmtId="0" fontId="2" fillId="0" borderId="6" xfId="0" applyFont="1" applyBorder="1" applyAlignment="1">
      <alignment horizontal="center" vertical="center"/>
    </xf>
    <xf numFmtId="0" fontId="2" fillId="0" borderId="8" xfId="0" quotePrefix="1" applyFont="1" applyBorder="1" applyAlignment="1">
      <alignment horizontal="center"/>
    </xf>
    <xf numFmtId="0" fontId="2" fillId="2" borderId="11" xfId="0" applyFont="1" applyFill="1" applyBorder="1"/>
    <xf numFmtId="164" fontId="2" fillId="2" borderId="12" xfId="1" applyNumberFormat="1" applyFont="1" applyFill="1" applyBorder="1" applyAlignment="1">
      <alignment horizontal="center"/>
    </xf>
    <xf numFmtId="0" fontId="2" fillId="0" borderId="3" xfId="0" applyFont="1" applyBorder="1" applyAlignment="1">
      <alignment horizontal="center" vertical="center"/>
    </xf>
    <xf numFmtId="43" fontId="2" fillId="0" borderId="10" xfId="0" applyNumberFormat="1" applyFont="1" applyBorder="1" applyAlignment="1">
      <alignment horizontal="center" vertical="center"/>
    </xf>
    <xf numFmtId="43" fontId="2" fillId="5" borderId="10" xfId="0" applyNumberFormat="1" applyFont="1" applyFill="1" applyBorder="1" applyAlignment="1">
      <alignment horizontal="center" vertical="center"/>
    </xf>
    <xf numFmtId="0" fontId="2" fillId="2" borderId="12" xfId="0" applyFont="1" applyFill="1" applyBorder="1" applyAlignment="1">
      <alignment horizontal="center" vertical="center"/>
    </xf>
    <xf numFmtId="43" fontId="2" fillId="5" borderId="13" xfId="0" applyNumberFormat="1" applyFont="1" applyFill="1" applyBorder="1" applyAlignment="1">
      <alignment horizontal="center" vertical="center"/>
    </xf>
    <xf numFmtId="0" fontId="2" fillId="0" borderId="6" xfId="0" applyFont="1" applyBorder="1" applyAlignment="1">
      <alignment horizontal="center"/>
    </xf>
    <xf numFmtId="165" fontId="2" fillId="0" borderId="10" xfId="2" quotePrefix="1" applyNumberFormat="1" applyFont="1" applyBorder="1" applyAlignment="1">
      <alignment horizontal="center"/>
    </xf>
    <xf numFmtId="10" fontId="2" fillId="0" borderId="10" xfId="2" applyNumberFormat="1" applyFont="1" applyBorder="1" applyAlignment="1">
      <alignment horizontal="center"/>
    </xf>
    <xf numFmtId="0" fontId="2" fillId="0" borderId="12" xfId="0" applyFont="1" applyBorder="1" applyAlignment="1">
      <alignment horizontal="center"/>
    </xf>
    <xf numFmtId="164" fontId="2" fillId="0" borderId="13" xfId="0" applyNumberFormat="1" applyFont="1" applyBorder="1" applyAlignment="1">
      <alignment horizontal="center"/>
    </xf>
    <xf numFmtId="0" fontId="1" fillId="0" borderId="0" xfId="0" applyFont="1" applyAlignment="1">
      <alignment vertical="top" wrapText="1"/>
    </xf>
    <xf numFmtId="0" fontId="2" fillId="2" borderId="2" xfId="0" applyFont="1" applyFill="1" applyBorder="1" applyAlignment="1">
      <alignment vertical="center" wrapText="1"/>
    </xf>
    <xf numFmtId="0" fontId="2" fillId="0" borderId="2" xfId="0" applyFont="1" applyBorder="1" applyAlignment="1">
      <alignment vertical="center" wrapText="1"/>
    </xf>
    <xf numFmtId="0" fontId="2" fillId="0" borderId="0" xfId="0" applyFont="1" applyAlignment="1">
      <alignment vertical="center"/>
    </xf>
    <xf numFmtId="4" fontId="2" fillId="0" borderId="2" xfId="0" applyNumberFormat="1" applyFont="1" applyBorder="1" applyAlignment="1">
      <alignment horizontal="center" vertical="center" wrapText="1"/>
    </xf>
    <xf numFmtId="4" fontId="2" fillId="2" borderId="2" xfId="0" applyNumberFormat="1" applyFont="1" applyFill="1" applyBorder="1" applyAlignment="1">
      <alignment horizontal="center" vertical="center" wrapText="1"/>
    </xf>
    <xf numFmtId="0" fontId="1" fillId="2" borderId="2" xfId="0" applyFont="1" applyFill="1" applyBorder="1"/>
    <xf numFmtId="0" fontId="2" fillId="0" borderId="2" xfId="0" applyFont="1" applyBorder="1" applyAlignment="1">
      <alignment horizontal="center" vertical="center" wrapText="1"/>
    </xf>
    <xf numFmtId="0" fontId="2" fillId="5" borderId="2" xfId="0" applyFont="1" applyFill="1" applyBorder="1" applyAlignment="1">
      <alignment horizontal="center" vertical="center" wrapText="1"/>
    </xf>
    <xf numFmtId="14" fontId="2" fillId="2" borderId="2" xfId="0" applyNumberFormat="1" applyFont="1" applyFill="1" applyBorder="1" applyAlignment="1">
      <alignment horizontal="left"/>
    </xf>
    <xf numFmtId="9" fontId="2" fillId="0" borderId="2" xfId="0" applyNumberFormat="1" applyFont="1" applyBorder="1" applyAlignment="1">
      <alignment horizontal="center" vertical="center" wrapText="1"/>
    </xf>
    <xf numFmtId="0" fontId="2" fillId="0" borderId="2" xfId="0" applyFont="1" applyBorder="1" applyAlignment="1">
      <alignment horizontal="center"/>
    </xf>
    <xf numFmtId="0" fontId="2" fillId="0" borderId="1" xfId="0" applyFont="1" applyBorder="1" applyAlignment="1">
      <alignment horizontal="left" vertical="center" wrapText="1"/>
    </xf>
    <xf numFmtId="0" fontId="2" fillId="0" borderId="1" xfId="0" applyFont="1" applyBorder="1" applyAlignment="1">
      <alignment horizontal="center" vertical="center" wrapText="1"/>
    </xf>
    <xf numFmtId="0" fontId="2" fillId="5" borderId="1" xfId="0" applyFont="1" applyFill="1" applyBorder="1" applyAlignment="1">
      <alignment horizontal="center" vertical="center" wrapText="1"/>
    </xf>
    <xf numFmtId="2" fontId="6" fillId="5" borderId="2" xfId="0" applyNumberFormat="1" applyFont="1" applyFill="1" applyBorder="1" applyAlignment="1">
      <alignment horizontal="center"/>
    </xf>
    <xf numFmtId="0" fontId="2" fillId="2" borderId="9" xfId="0" applyFont="1" applyFill="1" applyBorder="1" applyAlignment="1">
      <alignment horizontal="left"/>
    </xf>
    <xf numFmtId="0" fontId="10" fillId="0" borderId="9" xfId="0" applyFont="1" applyBorder="1" applyAlignment="1">
      <alignment horizontal="center" vertical="center" wrapText="1"/>
    </xf>
    <xf numFmtId="0" fontId="36" fillId="8" borderId="0" xfId="0" applyFont="1" applyFill="1"/>
    <xf numFmtId="3" fontId="36" fillId="8" borderId="0" xfId="0" applyNumberFormat="1" applyFont="1" applyFill="1"/>
    <xf numFmtId="0" fontId="6" fillId="0" borderId="0" xfId="0" applyFont="1" applyAlignment="1">
      <alignment horizontal="left"/>
    </xf>
    <xf numFmtId="0" fontId="6" fillId="0" borderId="0" xfId="0" applyFont="1" applyAlignment="1">
      <alignment horizontal="left" vertical="top"/>
    </xf>
    <xf numFmtId="0" fontId="2" fillId="2" borderId="2" xfId="0" applyFont="1" applyFill="1" applyBorder="1" applyAlignment="1">
      <alignment vertical="center" wrapText="1"/>
    </xf>
    <xf numFmtId="0" fontId="2" fillId="5" borderId="2" xfId="0" applyFont="1" applyFill="1" applyBorder="1" applyAlignment="1">
      <alignment horizontal="center" vertical="center" wrapText="1"/>
    </xf>
    <xf numFmtId="0" fontId="38" fillId="0" borderId="12" xfId="0" applyFont="1" applyBorder="1"/>
    <xf numFmtId="14" fontId="39" fillId="0" borderId="12" xfId="0" applyNumberFormat="1" applyFont="1" applyBorder="1"/>
    <xf numFmtId="169" fontId="6" fillId="5" borderId="2" xfId="0" applyNumberFormat="1" applyFont="1" applyFill="1" applyBorder="1" applyAlignment="1">
      <alignment horizontal="center"/>
    </xf>
    <xf numFmtId="169" fontId="6" fillId="0" borderId="2" xfId="0" applyNumberFormat="1" applyFont="1" applyBorder="1"/>
    <xf numFmtId="0" fontId="1" fillId="0" borderId="0" xfId="0" applyFont="1" applyFill="1"/>
    <xf numFmtId="0" fontId="36" fillId="9" borderId="2" xfId="0" applyFont="1" applyFill="1" applyBorder="1" applyAlignment="1">
      <alignment horizontal="center" vertical="center" wrapText="1"/>
    </xf>
    <xf numFmtId="0" fontId="36" fillId="9" borderId="14" xfId="0" applyFont="1" applyFill="1" applyBorder="1" applyAlignment="1">
      <alignment horizontal="center" vertical="center" wrapText="1"/>
    </xf>
    <xf numFmtId="0" fontId="1" fillId="2" borderId="0" xfId="0" applyFont="1" applyFill="1" applyAlignment="1">
      <alignment horizontal="center"/>
    </xf>
    <xf numFmtId="14" fontId="1" fillId="2" borderId="0" xfId="0" applyNumberFormat="1" applyFont="1" applyFill="1" applyAlignment="1">
      <alignment horizontal="center"/>
    </xf>
    <xf numFmtId="0" fontId="8" fillId="2" borderId="0" xfId="0" applyFont="1" applyFill="1" applyAlignment="1">
      <alignment horizontal="center"/>
    </xf>
    <xf numFmtId="0" fontId="34" fillId="2" borderId="0" xfId="3" applyFill="1" applyAlignment="1">
      <alignment horizontal="center"/>
    </xf>
    <xf numFmtId="0" fontId="22" fillId="0" borderId="0" xfId="0" applyFont="1" applyAlignment="1">
      <alignment horizontal="left" wrapText="1"/>
    </xf>
    <xf numFmtId="0" fontId="1" fillId="2" borderId="0" xfId="0" applyFont="1" applyFill="1" applyAlignment="1">
      <alignment horizontal="center" vertical="center"/>
    </xf>
    <xf numFmtId="0" fontId="2" fillId="0" borderId="6" xfId="0" applyFont="1" applyBorder="1" applyAlignment="1">
      <alignment horizontal="left" vertical="top" wrapText="1"/>
    </xf>
    <xf numFmtId="0" fontId="2" fillId="0" borderId="7" xfId="0" applyFont="1" applyBorder="1" applyAlignment="1">
      <alignment horizontal="left" vertical="top" wrapText="1"/>
    </xf>
    <xf numFmtId="0" fontId="2" fillId="0" borderId="8" xfId="0" applyFont="1" applyBorder="1" applyAlignment="1">
      <alignment horizontal="left" vertical="top" wrapText="1"/>
    </xf>
    <xf numFmtId="0" fontId="2" fillId="0" borderId="9" xfId="0" applyFont="1" applyBorder="1" applyAlignment="1">
      <alignment horizontal="left" vertical="top" wrapText="1"/>
    </xf>
    <xf numFmtId="0" fontId="2" fillId="0" borderId="0" xfId="0" applyFont="1" applyAlignment="1">
      <alignment horizontal="left" vertical="top" wrapText="1"/>
    </xf>
    <xf numFmtId="0" fontId="2" fillId="0" borderId="10" xfId="0" applyFont="1" applyBorder="1" applyAlignment="1">
      <alignment horizontal="left" vertical="top" wrapText="1"/>
    </xf>
    <xf numFmtId="0" fontId="2" fillId="0" borderId="11" xfId="0" applyFont="1" applyBorder="1" applyAlignment="1">
      <alignment horizontal="left" vertical="top" wrapText="1"/>
    </xf>
    <xf numFmtId="0" fontId="2" fillId="0" borderId="12" xfId="0" applyFont="1" applyBorder="1" applyAlignment="1">
      <alignment horizontal="left" vertical="top" wrapText="1"/>
    </xf>
    <xf numFmtId="0" fontId="2" fillId="0" borderId="13" xfId="0" applyFont="1" applyBorder="1" applyAlignment="1">
      <alignment horizontal="left" vertical="top" wrapText="1"/>
    </xf>
    <xf numFmtId="0" fontId="2" fillId="2" borderId="2" xfId="0" applyFont="1" applyFill="1" applyBorder="1" applyAlignment="1">
      <alignment horizontal="left" vertical="top"/>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6" fillId="2" borderId="2" xfId="0" applyFont="1" applyFill="1" applyBorder="1" applyAlignment="1">
      <alignment horizontal="left"/>
    </xf>
    <xf numFmtId="0" fontId="10" fillId="0" borderId="2" xfId="0" applyFont="1" applyBorder="1" applyAlignment="1">
      <alignment horizontal="left"/>
    </xf>
    <xf numFmtId="0" fontId="2" fillId="2" borderId="2" xfId="0" applyFont="1" applyFill="1" applyBorder="1" applyAlignment="1">
      <alignment horizontal="left"/>
    </xf>
    <xf numFmtId="0" fontId="10" fillId="0" borderId="2" xfId="0" applyFont="1" applyBorder="1" applyAlignment="1">
      <alignment horizontal="left" vertical="top"/>
    </xf>
    <xf numFmtId="0" fontId="6" fillId="3" borderId="2" xfId="0" applyFont="1" applyFill="1" applyBorder="1" applyAlignment="1">
      <alignment horizontal="left"/>
    </xf>
    <xf numFmtId="0" fontId="7" fillId="0" borderId="2" xfId="0" applyFont="1" applyBorder="1" applyAlignment="1">
      <alignment horizontal="left"/>
    </xf>
    <xf numFmtId="0" fontId="2" fillId="2" borderId="6" xfId="0" applyFont="1" applyFill="1" applyBorder="1" applyAlignment="1">
      <alignment horizontal="left" vertical="top" wrapText="1"/>
    </xf>
    <xf numFmtId="0" fontId="2" fillId="2" borderId="7" xfId="0" applyFont="1" applyFill="1" applyBorder="1" applyAlignment="1">
      <alignment horizontal="left" vertical="top" wrapText="1"/>
    </xf>
    <xf numFmtId="0" fontId="2" fillId="2" borderId="8" xfId="0" applyFont="1" applyFill="1" applyBorder="1" applyAlignment="1">
      <alignment horizontal="left" vertical="top" wrapText="1"/>
    </xf>
    <xf numFmtId="0" fontId="2" fillId="2" borderId="9" xfId="0" applyFont="1" applyFill="1" applyBorder="1" applyAlignment="1">
      <alignment horizontal="left" vertical="top" wrapText="1"/>
    </xf>
    <xf numFmtId="0" fontId="2" fillId="2" borderId="0" xfId="0" applyFont="1" applyFill="1" applyAlignment="1">
      <alignment horizontal="left" vertical="top" wrapText="1"/>
    </xf>
    <xf numFmtId="0" fontId="2" fillId="2" borderId="10" xfId="0" applyFont="1" applyFill="1" applyBorder="1" applyAlignment="1">
      <alignment horizontal="left" vertical="top" wrapText="1"/>
    </xf>
    <xf numFmtId="0" fontId="2" fillId="2" borderId="11" xfId="0" applyFont="1" applyFill="1" applyBorder="1" applyAlignment="1">
      <alignment horizontal="left" vertical="top" wrapText="1"/>
    </xf>
    <xf numFmtId="0" fontId="2" fillId="2" borderId="12" xfId="0" applyFont="1" applyFill="1" applyBorder="1" applyAlignment="1">
      <alignment horizontal="left" vertical="top" wrapText="1"/>
    </xf>
    <xf numFmtId="0" fontId="2" fillId="2" borderId="13" xfId="0" applyFont="1" applyFill="1" applyBorder="1" applyAlignment="1">
      <alignment horizontal="left" vertical="top" wrapText="1"/>
    </xf>
    <xf numFmtId="0" fontId="2" fillId="2" borderId="7" xfId="0" applyFont="1" applyFill="1" applyBorder="1" applyAlignment="1">
      <alignment horizontal="left" vertical="top"/>
    </xf>
    <xf numFmtId="0" fontId="2" fillId="2" borderId="8" xfId="0" applyFont="1" applyFill="1" applyBorder="1" applyAlignment="1">
      <alignment horizontal="left" vertical="top"/>
    </xf>
    <xf numFmtId="0" fontId="2" fillId="2" borderId="9" xfId="0" applyFont="1" applyFill="1" applyBorder="1" applyAlignment="1">
      <alignment horizontal="left" vertical="top"/>
    </xf>
    <xf numFmtId="0" fontId="2" fillId="2" borderId="0" xfId="0" applyFont="1" applyFill="1" applyAlignment="1">
      <alignment horizontal="left" vertical="top"/>
    </xf>
    <xf numFmtId="0" fontId="2" fillId="2" borderId="10" xfId="0" applyFont="1" applyFill="1" applyBorder="1" applyAlignment="1">
      <alignment horizontal="left" vertical="top"/>
    </xf>
    <xf numFmtId="0" fontId="2" fillId="2" borderId="11" xfId="0" applyFont="1" applyFill="1" applyBorder="1" applyAlignment="1">
      <alignment horizontal="left" vertical="top"/>
    </xf>
    <xf numFmtId="0" fontId="2" fillId="2" borderId="12" xfId="0" applyFont="1" applyFill="1" applyBorder="1" applyAlignment="1">
      <alignment horizontal="left" vertical="top"/>
    </xf>
    <xf numFmtId="0" fontId="2" fillId="2" borderId="13" xfId="0" applyFont="1" applyFill="1" applyBorder="1" applyAlignment="1">
      <alignment horizontal="left" vertical="top"/>
    </xf>
    <xf numFmtId="0" fontId="1" fillId="0" borderId="0" xfId="0" applyFont="1" applyAlignment="1">
      <alignment horizontal="left" vertical="top" wrapText="1"/>
    </xf>
    <xf numFmtId="0" fontId="12" fillId="0" borderId="0" xfId="0" applyFont="1" applyAlignment="1">
      <alignment horizontal="left" wrapText="1"/>
    </xf>
    <xf numFmtId="0" fontId="12" fillId="0" borderId="0" xfId="0" applyFont="1" applyAlignment="1">
      <alignment horizontal="left" vertical="top" wrapText="1"/>
    </xf>
    <xf numFmtId="0" fontId="2" fillId="0" borderId="7" xfId="0" applyFont="1" applyBorder="1" applyAlignment="1">
      <alignment horizontal="center" vertical="center" textRotation="90"/>
    </xf>
    <xf numFmtId="0" fontId="2" fillId="0" borderId="0" xfId="0" applyFont="1" applyAlignment="1">
      <alignment horizontal="center" vertical="center" textRotation="90"/>
    </xf>
    <xf numFmtId="0" fontId="2" fillId="0" borderId="12" xfId="0" applyFont="1" applyBorder="1" applyAlignment="1">
      <alignment horizontal="center" vertical="center" textRotation="90"/>
    </xf>
    <xf numFmtId="43" fontId="2" fillId="2" borderId="12" xfId="1" applyFont="1" applyFill="1" applyBorder="1" applyAlignment="1">
      <alignment horizontal="center"/>
    </xf>
    <xf numFmtId="166" fontId="2" fillId="2" borderId="12" xfId="0" applyNumberFormat="1" applyFont="1" applyFill="1" applyBorder="1" applyAlignment="1">
      <alignment horizontal="center"/>
    </xf>
    <xf numFmtId="166" fontId="2" fillId="2" borderId="13" xfId="0" applyNumberFormat="1" applyFont="1" applyFill="1" applyBorder="1" applyAlignment="1">
      <alignment horizontal="center"/>
    </xf>
    <xf numFmtId="164" fontId="6" fillId="2" borderId="7" xfId="1" applyNumberFormat="1" applyFont="1" applyFill="1" applyBorder="1" applyAlignment="1"/>
    <xf numFmtId="0" fontId="2" fillId="0" borderId="0" xfId="0" applyFont="1" applyAlignment="1">
      <alignment horizontal="center" textRotation="90"/>
    </xf>
    <xf numFmtId="0" fontId="2" fillId="0" borderId="6" xfId="0" applyFont="1" applyBorder="1" applyAlignment="1">
      <alignment horizontal="left" vertical="center" wrapText="1"/>
    </xf>
    <xf numFmtId="0" fontId="2" fillId="0" borderId="9" xfId="0" applyFont="1" applyBorder="1" applyAlignment="1">
      <alignment horizontal="left" vertical="center" wrapText="1"/>
    </xf>
    <xf numFmtId="0" fontId="2" fillId="0" borderId="2" xfId="0" applyFont="1" applyBorder="1" applyAlignment="1">
      <alignment horizontal="left" vertical="center" wrapText="1"/>
    </xf>
    <xf numFmtId="0" fontId="7" fillId="0" borderId="2" xfId="0" applyFont="1" applyBorder="1" applyAlignment="1">
      <alignment horizontal="left" vertical="top" wrapText="1"/>
    </xf>
    <xf numFmtId="0" fontId="6" fillId="2" borderId="2" xfId="0" applyFont="1" applyFill="1" applyBorder="1" applyAlignment="1">
      <alignment horizontal="left" vertical="top" wrapText="1"/>
    </xf>
    <xf numFmtId="0" fontId="14" fillId="4" borderId="2" xfId="0" applyFont="1" applyFill="1" applyBorder="1" applyAlignment="1">
      <alignment horizontal="left" vertical="center" wrapText="1"/>
    </xf>
    <xf numFmtId="0" fontId="2" fillId="0" borderId="3" xfId="0" applyFont="1" applyBorder="1" applyAlignment="1">
      <alignment horizontal="left" vertical="center" wrapText="1"/>
    </xf>
    <xf numFmtId="0" fontId="2" fillId="0" borderId="4" xfId="0" applyFont="1" applyBorder="1" applyAlignment="1">
      <alignment horizontal="left" vertical="center" wrapText="1"/>
    </xf>
    <xf numFmtId="0" fontId="2" fillId="0" borderId="5" xfId="0" applyFont="1" applyBorder="1" applyAlignment="1">
      <alignment horizontal="left" vertical="center" wrapText="1"/>
    </xf>
    <xf numFmtId="0" fontId="2" fillId="0" borderId="3" xfId="0" applyFont="1" applyBorder="1" applyAlignment="1">
      <alignment horizontal="center" vertical="center" wrapText="1"/>
    </xf>
    <xf numFmtId="0" fontId="2" fillId="0" borderId="5" xfId="0" applyFont="1" applyBorder="1" applyAlignment="1">
      <alignment horizontal="center" vertical="center" wrapText="1"/>
    </xf>
    <xf numFmtId="4" fontId="2" fillId="0" borderId="3" xfId="0" applyNumberFormat="1" applyFont="1" applyBorder="1" applyAlignment="1">
      <alignment horizontal="center" vertical="center" wrapText="1"/>
    </xf>
    <xf numFmtId="4" fontId="2" fillId="0" borderId="5" xfId="0" applyNumberFormat="1" applyFont="1" applyBorder="1" applyAlignment="1">
      <alignment horizontal="center" vertical="center" wrapText="1"/>
    </xf>
    <xf numFmtId="0" fontId="2" fillId="2" borderId="3" xfId="0" applyFont="1" applyFill="1" applyBorder="1" applyAlignment="1">
      <alignment horizontal="left" vertical="center" wrapText="1"/>
    </xf>
    <xf numFmtId="0" fontId="2" fillId="2" borderId="4" xfId="0" applyFont="1" applyFill="1" applyBorder="1" applyAlignment="1">
      <alignment horizontal="left" vertical="center" wrapText="1"/>
    </xf>
    <xf numFmtId="0" fontId="2" fillId="2" borderId="5" xfId="0" applyFont="1" applyFill="1" applyBorder="1" applyAlignment="1">
      <alignment horizontal="left" vertical="center" wrapText="1"/>
    </xf>
    <xf numFmtId="0" fontId="2" fillId="2" borderId="3" xfId="0" applyFont="1" applyFill="1" applyBorder="1" applyAlignment="1">
      <alignment horizontal="center" vertical="center" wrapText="1"/>
    </xf>
    <xf numFmtId="0" fontId="2" fillId="2" borderId="5" xfId="0" applyFont="1" applyFill="1" applyBorder="1" applyAlignment="1">
      <alignment horizontal="center" vertical="center" wrapText="1"/>
    </xf>
    <xf numFmtId="4" fontId="2" fillId="2" borderId="3" xfId="0" applyNumberFormat="1" applyFont="1" applyFill="1" applyBorder="1" applyAlignment="1">
      <alignment horizontal="center" vertical="center" wrapText="1"/>
    </xf>
    <xf numFmtId="4" fontId="2" fillId="2" borderId="5" xfId="0" applyNumberFormat="1" applyFont="1" applyFill="1" applyBorder="1" applyAlignment="1">
      <alignment horizontal="center" vertical="center" wrapText="1"/>
    </xf>
    <xf numFmtId="0" fontId="14" fillId="4" borderId="9" xfId="0" applyFont="1" applyFill="1" applyBorder="1" applyAlignment="1">
      <alignment horizontal="center" vertical="center" wrapText="1"/>
    </xf>
    <xf numFmtId="0" fontId="14" fillId="4" borderId="0" xfId="0" applyFont="1" applyFill="1" applyAlignment="1">
      <alignment horizontal="center" vertical="center" wrapText="1"/>
    </xf>
    <xf numFmtId="0" fontId="14" fillId="4" borderId="10" xfId="0"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10" fillId="0" borderId="2" xfId="0" applyFont="1" applyBorder="1" applyAlignment="1">
      <alignment vertical="center" wrapText="1"/>
    </xf>
    <xf numFmtId="168" fontId="10" fillId="0" borderId="2" xfId="0" applyNumberFormat="1" applyFont="1" applyBorder="1" applyAlignment="1">
      <alignment horizontal="center" vertical="center" wrapText="1"/>
    </xf>
    <xf numFmtId="165" fontId="2" fillId="0" borderId="2" xfId="2" applyNumberFormat="1" applyFont="1" applyBorder="1" applyAlignment="1">
      <alignment horizontal="center" vertical="center" wrapText="1"/>
    </xf>
    <xf numFmtId="0" fontId="2" fillId="2" borderId="2" xfId="0" applyFont="1" applyFill="1" applyBorder="1" applyAlignment="1">
      <alignment vertical="center" wrapText="1"/>
    </xf>
    <xf numFmtId="0" fontId="2" fillId="2" borderId="2" xfId="0" applyFont="1" applyFill="1" applyBorder="1" applyAlignment="1">
      <alignment horizontal="center" vertical="center" wrapText="1"/>
    </xf>
    <xf numFmtId="168" fontId="2" fillId="2" borderId="1" xfId="0" applyNumberFormat="1" applyFont="1" applyFill="1" applyBorder="1" applyAlignment="1">
      <alignment horizontal="center" vertical="center" wrapText="1"/>
    </xf>
    <xf numFmtId="165" fontId="2" fillId="0" borderId="1" xfId="2" applyNumberFormat="1" applyFont="1" applyBorder="1" applyAlignment="1">
      <alignment horizontal="center" vertical="center" wrapText="1"/>
    </xf>
    <xf numFmtId="0" fontId="2" fillId="0" borderId="2" xfId="0" applyFont="1" applyBorder="1" applyAlignment="1">
      <alignment vertical="center" wrapText="1"/>
    </xf>
    <xf numFmtId="168" fontId="2" fillId="0" borderId="1" xfId="0" applyNumberFormat="1" applyFont="1" applyBorder="1" applyAlignment="1">
      <alignment horizontal="center" vertical="center" wrapText="1"/>
    </xf>
    <xf numFmtId="0" fontId="35" fillId="2" borderId="2" xfId="0" applyFont="1" applyFill="1" applyBorder="1" applyAlignment="1">
      <alignment horizontal="center" vertical="center" wrapText="1"/>
    </xf>
    <xf numFmtId="4" fontId="2" fillId="0" borderId="4" xfId="0" applyNumberFormat="1" applyFont="1" applyBorder="1" applyAlignment="1">
      <alignment horizontal="center" vertical="center" wrapText="1"/>
    </xf>
    <xf numFmtId="0" fontId="2" fillId="0" borderId="4" xfId="0" applyFont="1" applyBorder="1" applyAlignment="1">
      <alignment horizontal="center" vertical="center" wrapText="1"/>
    </xf>
    <xf numFmtId="0" fontId="2" fillId="0" borderId="14" xfId="0" applyFont="1" applyBorder="1" applyAlignment="1">
      <alignment vertical="center" wrapText="1"/>
    </xf>
    <xf numFmtId="0" fontId="2" fillId="2" borderId="2" xfId="0" applyFont="1" applyFill="1" applyBorder="1" applyAlignment="1">
      <alignment horizontal="left" vertical="center" wrapText="1"/>
    </xf>
    <xf numFmtId="0" fontId="2" fillId="0" borderId="1" xfId="0" applyFont="1" applyBorder="1" applyAlignment="1">
      <alignment vertical="center" wrapText="1"/>
    </xf>
    <xf numFmtId="0" fontId="6" fillId="0" borderId="0" xfId="0" applyFont="1" applyAlignment="1">
      <alignment horizontal="left"/>
    </xf>
    <xf numFmtId="0" fontId="6" fillId="0" borderId="0" xfId="0" applyFont="1" applyAlignment="1">
      <alignment horizontal="left" vertical="top"/>
    </xf>
    <xf numFmtId="167" fontId="6" fillId="2" borderId="0" xfId="0" applyNumberFormat="1" applyFont="1" applyFill="1" applyAlignment="1">
      <alignment horizontal="center" vertical="top"/>
    </xf>
    <xf numFmtId="0" fontId="14" fillId="4" borderId="2" xfId="0" applyFont="1" applyFill="1" applyBorder="1" applyAlignment="1">
      <alignment horizontal="center" vertical="center" wrapText="1"/>
    </xf>
    <xf numFmtId="0" fontId="2" fillId="2" borderId="2" xfId="0" applyFont="1" applyFill="1" applyBorder="1" applyAlignment="1">
      <alignment horizontal="left" vertical="top" wrapText="1"/>
    </xf>
    <xf numFmtId="3" fontId="2" fillId="0" borderId="2" xfId="0" applyNumberFormat="1" applyFont="1" applyBorder="1" applyAlignment="1">
      <alignment horizontal="center" vertical="center" wrapText="1"/>
    </xf>
    <xf numFmtId="1" fontId="2" fillId="0" borderId="2" xfId="0" applyNumberFormat="1" applyFont="1" applyBorder="1" applyAlignment="1">
      <alignment horizontal="center" vertical="center"/>
    </xf>
    <xf numFmtId="0" fontId="2" fillId="0" borderId="2" xfId="0" applyFont="1" applyFill="1" applyBorder="1" applyAlignment="1">
      <alignment horizontal="center" vertical="center" wrapText="1"/>
    </xf>
    <xf numFmtId="0" fontId="2" fillId="0" borderId="2" xfId="0" applyFont="1" applyBorder="1" applyAlignment="1">
      <alignment horizontal="left"/>
    </xf>
    <xf numFmtId="0" fontId="2" fillId="0" borderId="2" xfId="0" applyFont="1" applyBorder="1" applyAlignment="1">
      <alignment horizontal="center" vertical="center" wrapText="1"/>
    </xf>
    <xf numFmtId="0" fontId="6" fillId="0" borderId="0" xfId="0" applyFont="1" applyAlignment="1">
      <alignment horizontal="center" vertical="top"/>
    </xf>
    <xf numFmtId="167" fontId="6" fillId="0" borderId="0" xfId="0" applyNumberFormat="1" applyFont="1" applyAlignment="1">
      <alignment horizontal="center" vertical="top"/>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0" xfId="0" applyFont="1" applyAlignment="1">
      <alignment horizontal="center" vertical="center"/>
    </xf>
    <xf numFmtId="0" fontId="2" fillId="2" borderId="3" xfId="0" applyFont="1" applyFill="1" applyBorder="1" applyAlignment="1">
      <alignment horizontal="left"/>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2" fillId="2" borderId="2" xfId="0" applyFont="1" applyFill="1" applyBorder="1" applyAlignment="1">
      <alignment horizontal="left" wrapText="1"/>
    </xf>
    <xf numFmtId="0" fontId="2" fillId="2" borderId="3" xfId="0" applyFont="1" applyFill="1" applyBorder="1" applyAlignment="1">
      <alignment horizontal="left" wrapText="1"/>
    </xf>
    <xf numFmtId="10" fontId="2" fillId="2" borderId="2" xfId="0" applyNumberFormat="1" applyFont="1" applyFill="1" applyBorder="1" applyAlignment="1">
      <alignment horizontal="center" vertical="center"/>
    </xf>
    <xf numFmtId="0" fontId="6" fillId="7" borderId="3" xfId="0" applyFont="1" applyFill="1" applyBorder="1" applyAlignment="1">
      <alignment horizontal="center"/>
    </xf>
    <xf numFmtId="0" fontId="6" fillId="7" borderId="5" xfId="0" applyFont="1" applyFill="1" applyBorder="1" applyAlignment="1">
      <alignment horizontal="center"/>
    </xf>
    <xf numFmtId="0" fontId="7" fillId="0" borderId="2" xfId="0" applyFont="1" applyBorder="1" applyAlignment="1">
      <alignment horizontal="left" vertical="center" wrapText="1"/>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7" fillId="3" borderId="2" xfId="0" applyFont="1" applyFill="1" applyBorder="1" applyAlignment="1">
      <alignment horizontal="center" vertical="center"/>
    </xf>
    <xf numFmtId="0" fontId="10" fillId="0" borderId="7" xfId="0" applyFont="1" applyBorder="1" applyAlignment="1">
      <alignment horizontal="center" wrapText="1"/>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2" fillId="2" borderId="6" xfId="0" applyFont="1" applyFill="1" applyBorder="1" applyAlignment="1">
      <alignment horizontal="left" vertical="top"/>
    </xf>
    <xf numFmtId="17" fontId="2" fillId="2" borderId="6" xfId="0" applyNumberFormat="1" applyFont="1" applyFill="1" applyBorder="1" applyAlignment="1">
      <alignment horizontal="left" vertical="top"/>
    </xf>
    <xf numFmtId="0" fontId="6" fillId="2" borderId="2" xfId="0" applyFont="1" applyFill="1" applyBorder="1" applyAlignment="1">
      <alignment horizontal="left" vertical="top"/>
    </xf>
    <xf numFmtId="0" fontId="2" fillId="5" borderId="2" xfId="0" applyFont="1" applyFill="1" applyBorder="1" applyAlignment="1">
      <alignment horizontal="center" vertical="center" wrapText="1"/>
    </xf>
    <xf numFmtId="0" fontId="10" fillId="3" borderId="2" xfId="0" applyFont="1" applyFill="1" applyBorder="1" applyAlignment="1">
      <alignment horizontal="left" vertical="center" wrapText="1"/>
    </xf>
    <xf numFmtId="0" fontId="2" fillId="6" borderId="16" xfId="0" applyFont="1" applyFill="1" applyBorder="1" applyAlignment="1">
      <alignment horizontal="center" vertical="center" wrapText="1"/>
    </xf>
    <xf numFmtId="0" fontId="2" fillId="6" borderId="17"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2" fillId="5" borderId="5" xfId="0" applyFont="1" applyFill="1" applyBorder="1" applyAlignment="1">
      <alignment horizontal="center" vertical="center" wrapText="1"/>
    </xf>
    <xf numFmtId="0" fontId="18" fillId="0" borderId="2" xfId="0" applyFont="1" applyBorder="1" applyAlignment="1">
      <alignment horizontal="left" vertical="center" wrapText="1"/>
    </xf>
    <xf numFmtId="0" fontId="2" fillId="5" borderId="2" xfId="0" applyFont="1" applyFill="1" applyBorder="1" applyAlignment="1">
      <alignment horizontal="left" vertical="center" wrapText="1"/>
    </xf>
    <xf numFmtId="0" fontId="2" fillId="5" borderId="3" xfId="0" applyFont="1" applyFill="1" applyBorder="1" applyAlignment="1">
      <alignment horizontal="left" vertical="center" wrapText="1"/>
    </xf>
    <xf numFmtId="0" fontId="2" fillId="5" borderId="4" xfId="0" applyFont="1" applyFill="1" applyBorder="1" applyAlignment="1">
      <alignment horizontal="left" vertical="center" wrapText="1"/>
    </xf>
    <xf numFmtId="0" fontId="2" fillId="5" borderId="5" xfId="0" applyFont="1" applyFill="1" applyBorder="1" applyAlignment="1">
      <alignment horizontal="left" vertical="center" wrapText="1"/>
    </xf>
    <xf numFmtId="0" fontId="2" fillId="5" borderId="6" xfId="0" applyFont="1" applyFill="1" applyBorder="1" applyAlignment="1">
      <alignment horizontal="left" vertical="center" wrapText="1"/>
    </xf>
    <xf numFmtId="0" fontId="2" fillId="5" borderId="7" xfId="0" applyFont="1" applyFill="1" applyBorder="1" applyAlignment="1">
      <alignment horizontal="left" vertical="center" wrapText="1"/>
    </xf>
    <xf numFmtId="0" fontId="2" fillId="5" borderId="8" xfId="0" applyFont="1" applyFill="1" applyBorder="1" applyAlignment="1">
      <alignment horizontal="left" vertical="center" wrapText="1"/>
    </xf>
    <xf numFmtId="0" fontId="7" fillId="0" borderId="11" xfId="0" applyFont="1" applyBorder="1" applyAlignment="1">
      <alignment horizontal="left" vertical="center" wrapText="1"/>
    </xf>
    <xf numFmtId="0" fontId="7" fillId="0" borderId="12" xfId="0" applyFont="1" applyBorder="1" applyAlignment="1">
      <alignment horizontal="left" vertical="center" wrapText="1"/>
    </xf>
    <xf numFmtId="0" fontId="10" fillId="0" borderId="6" xfId="0" applyFont="1" applyBorder="1" applyAlignment="1">
      <alignment horizontal="left" vertical="center"/>
    </xf>
    <xf numFmtId="0" fontId="10" fillId="0" borderId="7" xfId="0" applyFont="1" applyBorder="1" applyAlignment="1">
      <alignment horizontal="left" vertical="center"/>
    </xf>
    <xf numFmtId="0" fontId="10" fillId="0" borderId="8" xfId="0" applyFont="1" applyBorder="1" applyAlignment="1">
      <alignment horizontal="left" vertical="center"/>
    </xf>
    <xf numFmtId="0" fontId="10" fillId="0" borderId="3" xfId="0" applyFont="1" applyBorder="1" applyAlignment="1">
      <alignment horizontal="center" vertical="center"/>
    </xf>
    <xf numFmtId="0" fontId="10" fillId="0" borderId="4" xfId="0" applyFont="1" applyBorder="1" applyAlignment="1">
      <alignment horizontal="center" vertical="center"/>
    </xf>
    <xf numFmtId="0" fontId="10" fillId="0" borderId="5" xfId="0" applyFont="1" applyBorder="1" applyAlignment="1">
      <alignment horizontal="center" vertical="center"/>
    </xf>
    <xf numFmtId="0" fontId="10" fillId="0" borderId="6" xfId="0" applyFont="1" applyBorder="1" applyAlignment="1">
      <alignment horizontal="left" vertical="center" wrapText="1"/>
    </xf>
    <xf numFmtId="0" fontId="10" fillId="0" borderId="8" xfId="0" applyFont="1" applyBorder="1" applyAlignment="1">
      <alignment horizontal="left"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5" xfId="0" applyFont="1" applyBorder="1" applyAlignment="1">
      <alignment horizontal="center" vertical="center" wrapText="1"/>
    </xf>
    <xf numFmtId="0" fontId="23" fillId="0" borderId="0" xfId="0" applyFont="1" applyAlignment="1">
      <alignment horizontal="left" vertical="top" wrapText="1"/>
    </xf>
    <xf numFmtId="0" fontId="12" fillId="0" borderId="6" xfId="0" applyFont="1" applyBorder="1" applyAlignment="1">
      <alignment horizontal="right" vertical="top" wrapText="1"/>
    </xf>
    <xf numFmtId="0" fontId="12" fillId="0" borderId="7" xfId="0" applyFont="1" applyBorder="1" applyAlignment="1">
      <alignment horizontal="right" vertical="top" wrapText="1"/>
    </xf>
    <xf numFmtId="0" fontId="12" fillId="0" borderId="8" xfId="0" applyFont="1" applyBorder="1" applyAlignment="1">
      <alignment horizontal="right" vertical="top" wrapText="1"/>
    </xf>
    <xf numFmtId="0" fontId="6" fillId="2" borderId="14" xfId="0" applyFont="1" applyFill="1" applyBorder="1" applyAlignment="1">
      <alignment horizontal="left" vertical="top"/>
    </xf>
    <xf numFmtId="0" fontId="10" fillId="0" borderId="2" xfId="0" applyFont="1" applyBorder="1" applyAlignment="1">
      <alignment horizontal="left" vertical="center" wrapText="1"/>
    </xf>
    <xf numFmtId="0" fontId="10" fillId="0" borderId="14" xfId="0" applyFont="1" applyBorder="1" applyAlignment="1">
      <alignment horizontal="center" vertical="center" wrapText="1"/>
    </xf>
    <xf numFmtId="0" fontId="10" fillId="0" borderId="5" xfId="0" applyFont="1" applyBorder="1" applyAlignment="1">
      <alignment horizontal="center" vertical="center" wrapText="1"/>
    </xf>
    <xf numFmtId="0" fontId="6" fillId="0" borderId="0" xfId="0" applyFont="1" applyAlignment="1">
      <alignment horizontal="left" wrapText="1"/>
    </xf>
    <xf numFmtId="0" fontId="6" fillId="0" borderId="2" xfId="0" applyFont="1" applyBorder="1" applyAlignment="1">
      <alignment horizontal="center" vertical="center"/>
    </xf>
    <xf numFmtId="0" fontId="7" fillId="0" borderId="12" xfId="0" applyFont="1" applyBorder="1" applyAlignment="1">
      <alignment horizontal="center"/>
    </xf>
    <xf numFmtId="0" fontId="7" fillId="0" borderId="2" xfId="0" applyFont="1" applyBorder="1" applyAlignment="1">
      <alignment horizontal="center"/>
    </xf>
    <xf numFmtId="0" fontId="6" fillId="2" borderId="6" xfId="0" applyFont="1" applyFill="1" applyBorder="1" applyAlignment="1">
      <alignment horizontal="left" vertical="top"/>
    </xf>
    <xf numFmtId="0" fontId="6" fillId="2" borderId="7" xfId="0" applyFont="1" applyFill="1" applyBorder="1" applyAlignment="1">
      <alignment horizontal="left" vertical="top"/>
    </xf>
    <xf numFmtId="0" fontId="6" fillId="2" borderId="8" xfId="0" applyFont="1" applyFill="1" applyBorder="1" applyAlignment="1">
      <alignment horizontal="left" vertical="top"/>
    </xf>
    <xf numFmtId="0" fontId="6" fillId="2" borderId="9" xfId="0" applyFont="1" applyFill="1" applyBorder="1" applyAlignment="1">
      <alignment horizontal="left" vertical="top"/>
    </xf>
    <xf numFmtId="0" fontId="6" fillId="2" borderId="0" xfId="0" applyFont="1" applyFill="1" applyAlignment="1">
      <alignment horizontal="left" vertical="top"/>
    </xf>
    <xf numFmtId="0" fontId="6" fillId="2" borderId="10" xfId="0" applyFont="1" applyFill="1" applyBorder="1" applyAlignment="1">
      <alignment horizontal="left" vertical="top"/>
    </xf>
    <xf numFmtId="0" fontId="6" fillId="2" borderId="11" xfId="0" applyFont="1" applyFill="1" applyBorder="1" applyAlignment="1">
      <alignment horizontal="left" vertical="top"/>
    </xf>
    <xf numFmtId="0" fontId="6" fillId="2" borderId="12" xfId="0" applyFont="1" applyFill="1" applyBorder="1" applyAlignment="1">
      <alignment horizontal="left" vertical="top"/>
    </xf>
    <xf numFmtId="0" fontId="6" fillId="2" borderId="13" xfId="0" applyFont="1" applyFill="1" applyBorder="1" applyAlignment="1">
      <alignment horizontal="left" vertical="top"/>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6" fillId="2" borderId="6" xfId="0" applyFont="1" applyFill="1" applyBorder="1" applyAlignment="1">
      <alignment horizontal="left" vertical="top" wrapText="1"/>
    </xf>
    <xf numFmtId="0" fontId="6" fillId="2" borderId="7" xfId="0" applyFont="1" applyFill="1" applyBorder="1" applyAlignment="1">
      <alignment horizontal="left" vertical="top" wrapText="1"/>
    </xf>
    <xf numFmtId="0" fontId="6" fillId="2" borderId="8" xfId="0" applyFont="1" applyFill="1" applyBorder="1" applyAlignment="1">
      <alignment horizontal="left" vertical="top" wrapText="1"/>
    </xf>
    <xf numFmtId="0" fontId="6" fillId="2" borderId="9" xfId="0" applyFont="1" applyFill="1" applyBorder="1" applyAlignment="1">
      <alignment horizontal="left" vertical="top" wrapText="1"/>
    </xf>
    <xf numFmtId="0" fontId="6" fillId="2" borderId="0" xfId="0" applyFont="1" applyFill="1" applyAlignment="1">
      <alignment horizontal="left" vertical="top" wrapText="1"/>
    </xf>
    <xf numFmtId="0" fontId="6" fillId="2" borderId="10" xfId="0" applyFont="1" applyFill="1" applyBorder="1" applyAlignment="1">
      <alignment horizontal="left" vertical="top" wrapText="1"/>
    </xf>
    <xf numFmtId="0" fontId="6" fillId="2" borderId="11" xfId="0" applyFont="1" applyFill="1" applyBorder="1" applyAlignment="1">
      <alignment horizontal="left" vertical="top" wrapText="1"/>
    </xf>
    <xf numFmtId="0" fontId="6" fillId="2" borderId="12" xfId="0" applyFont="1" applyFill="1" applyBorder="1" applyAlignment="1">
      <alignment horizontal="left" vertical="top" wrapText="1"/>
    </xf>
    <xf numFmtId="0" fontId="6" fillId="2" borderId="13" xfId="0" applyFont="1" applyFill="1" applyBorder="1" applyAlignment="1">
      <alignment horizontal="left" vertical="top" wrapText="1"/>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90</c:v>
                </c:pt>
                <c:pt idx="1">
                  <c:v>90</c:v>
                </c:pt>
                <c:pt idx="2">
                  <c:v>90</c:v>
                </c:pt>
                <c:pt idx="3">
                  <c:v>90</c:v>
                </c:pt>
                <c:pt idx="4">
                  <c:v>90</c:v>
                </c:pt>
                <c:pt idx="5">
                  <c:v>90</c:v>
                </c:pt>
                <c:pt idx="6">
                  <c:v>90</c:v>
                </c:pt>
                <c:pt idx="7">
                  <c:v>90</c:v>
                </c:pt>
                <c:pt idx="8">
                  <c:v>90</c:v>
                </c:pt>
                <c:pt idx="9">
                  <c:v>90</c:v>
                </c:pt>
                <c:pt idx="10">
                  <c:v>90</c:v>
                </c:pt>
                <c:pt idx="11">
                  <c:v>90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0.0</c:formatCode>
                <c:ptCount val="12"/>
                <c:pt idx="0">
                  <c:v>9.3460000000000001</c:v>
                </c:pt>
                <c:pt idx="1">
                  <c:v>9.1069999999999993</c:v>
                </c:pt>
                <c:pt idx="2">
                  <c:v>9</c:v>
                </c:pt>
                <c:pt idx="3">
                  <c:v>9.9260000000000002</c:v>
                </c:pt>
                <c:pt idx="4">
                  <c:v>10.426</c:v>
                </c:pt>
                <c:pt idx="5">
                  <c:v>6.1429999999999998</c:v>
                </c:pt>
                <c:pt idx="6">
                  <c:v>0</c:v>
                </c:pt>
                <c:pt idx="7">
                  <c:v>10.042</c:v>
                </c:pt>
                <c:pt idx="8">
                  <c:v>10.467000000000001</c:v>
                </c:pt>
                <c:pt idx="9">
                  <c:v>10.516</c:v>
                </c:pt>
                <c:pt idx="10">
                  <c:v>9.7200000000000006</c:v>
                </c:pt>
                <c:pt idx="11">
                  <c:v>9.032</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27</c:v>
                </c:pt>
                <c:pt idx="1">
                  <c:v>19</c:v>
                </c:pt>
                <c:pt idx="2">
                  <c:v>52</c:v>
                </c:pt>
                <c:pt idx="3">
                  <c:v>19</c:v>
                </c:pt>
                <c:pt idx="4">
                  <c:v>23</c:v>
                </c:pt>
                <c:pt idx="5">
                  <c:v>22</c:v>
                </c:pt>
                <c:pt idx="6">
                  <c:v>0</c:v>
                </c:pt>
                <c:pt idx="7">
                  <c:v>20</c:v>
                </c:pt>
                <c:pt idx="8">
                  <c:v>26</c:v>
                </c:pt>
                <c:pt idx="9">
                  <c:v>27</c:v>
                </c:pt>
                <c:pt idx="10">
                  <c:v>34</c:v>
                </c:pt>
                <c:pt idx="11">
                  <c:v>28</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15</c:v>
                </c:pt>
                <c:pt idx="1">
                  <c:v>15</c:v>
                </c:pt>
                <c:pt idx="2">
                  <c:v>15</c:v>
                </c:pt>
                <c:pt idx="3">
                  <c:v>15</c:v>
                </c:pt>
                <c:pt idx="4">
                  <c:v>15</c:v>
                </c:pt>
                <c:pt idx="5">
                  <c:v>15</c:v>
                </c:pt>
                <c:pt idx="6">
                  <c:v>15</c:v>
                </c:pt>
                <c:pt idx="7">
                  <c:v>15</c:v>
                </c:pt>
                <c:pt idx="8">
                  <c:v>15</c:v>
                </c:pt>
                <c:pt idx="9">
                  <c:v>15</c:v>
                </c:pt>
                <c:pt idx="10">
                  <c:v>15</c:v>
                </c:pt>
                <c:pt idx="11">
                  <c:v>15</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0.0</c:formatCode>
                <c:ptCount val="12"/>
                <c:pt idx="0">
                  <c:v>9.3460000000000001</c:v>
                </c:pt>
                <c:pt idx="1">
                  <c:v>9.1069999999999993</c:v>
                </c:pt>
                <c:pt idx="2">
                  <c:v>9</c:v>
                </c:pt>
                <c:pt idx="3">
                  <c:v>9.9260000000000002</c:v>
                </c:pt>
                <c:pt idx="4">
                  <c:v>10.426</c:v>
                </c:pt>
                <c:pt idx="5">
                  <c:v>6.1429999999999998</c:v>
                </c:pt>
                <c:pt idx="6">
                  <c:v>0</c:v>
                </c:pt>
                <c:pt idx="7">
                  <c:v>10.042</c:v>
                </c:pt>
                <c:pt idx="8">
                  <c:v>10.467000000000001</c:v>
                </c:pt>
                <c:pt idx="9">
                  <c:v>10.516</c:v>
                </c:pt>
                <c:pt idx="10">
                  <c:v>9.7200000000000006</c:v>
                </c:pt>
                <c:pt idx="11">
                  <c:v>9.032</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15</c:v>
                </c:pt>
                <c:pt idx="1">
                  <c:v>12</c:v>
                </c:pt>
                <c:pt idx="2">
                  <c:v>14</c:v>
                </c:pt>
                <c:pt idx="3">
                  <c:v>12</c:v>
                </c:pt>
                <c:pt idx="4">
                  <c:v>13</c:v>
                </c:pt>
                <c:pt idx="5">
                  <c:v>12</c:v>
                </c:pt>
                <c:pt idx="6">
                  <c:v>0</c:v>
                </c:pt>
                <c:pt idx="7">
                  <c:v>13</c:v>
                </c:pt>
                <c:pt idx="8">
                  <c:v>14</c:v>
                </c:pt>
                <c:pt idx="9">
                  <c:v>14</c:v>
                </c:pt>
                <c:pt idx="10">
                  <c:v>15</c:v>
                </c:pt>
                <c:pt idx="11">
                  <c:v>13</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9314616"/>
        <c:axId val="309313440"/>
      </c:lineChart>
      <c:catAx>
        <c:axId val="309314616"/>
        <c:scaling>
          <c:orientation val="minMax"/>
        </c:scaling>
        <c:delete val="0"/>
        <c:axPos val="b"/>
        <c:numFmt formatCode="General" sourceLinked="1"/>
        <c:majorTickMark val="out"/>
        <c:minorTickMark val="none"/>
        <c:tickLblPos val="nextTo"/>
        <c:crossAx val="309313440"/>
        <c:crosses val="autoZero"/>
        <c:auto val="1"/>
        <c:lblAlgn val="ctr"/>
        <c:lblOffset val="100"/>
        <c:noMultiLvlLbl val="0"/>
      </c:catAx>
      <c:valAx>
        <c:axId val="309313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3146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300</c:v>
                </c:pt>
                <c:pt idx="1">
                  <c:v>300</c:v>
                </c:pt>
                <c:pt idx="2">
                  <c:v>300</c:v>
                </c:pt>
                <c:pt idx="3">
                  <c:v>300</c:v>
                </c:pt>
                <c:pt idx="4">
                  <c:v>300</c:v>
                </c:pt>
                <c:pt idx="5">
                  <c:v>300</c:v>
                </c:pt>
                <c:pt idx="6">
                  <c:v>300</c:v>
                </c:pt>
                <c:pt idx="7">
                  <c:v>300</c:v>
                </c:pt>
                <c:pt idx="8">
                  <c:v>300</c:v>
                </c:pt>
                <c:pt idx="9">
                  <c:v>300</c:v>
                </c:pt>
                <c:pt idx="10">
                  <c:v>300</c:v>
                </c:pt>
                <c:pt idx="11">
                  <c:v>300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0.0</c:formatCode>
                <c:ptCount val="12"/>
                <c:pt idx="0">
                  <c:v>34.5</c:v>
                </c:pt>
                <c:pt idx="1">
                  <c:v>24.21</c:v>
                </c:pt>
                <c:pt idx="2">
                  <c:v>17.14</c:v>
                </c:pt>
                <c:pt idx="3">
                  <c:v>13.87</c:v>
                </c:pt>
                <c:pt idx="4">
                  <c:v>12</c:v>
                </c:pt>
                <c:pt idx="5">
                  <c:v>21.36</c:v>
                </c:pt>
                <c:pt idx="6">
                  <c:v>0</c:v>
                </c:pt>
                <c:pt idx="7">
                  <c:v>18.04</c:v>
                </c:pt>
                <c:pt idx="8">
                  <c:v>16.829999999999998</c:v>
                </c:pt>
                <c:pt idx="9">
                  <c:v>19.739999999999998</c:v>
                </c:pt>
                <c:pt idx="10">
                  <c:v>21.76</c:v>
                </c:pt>
                <c:pt idx="11">
                  <c:v>13.65</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154</c:v>
                </c:pt>
                <c:pt idx="1">
                  <c:v>106</c:v>
                </c:pt>
                <c:pt idx="2">
                  <c:v>80</c:v>
                </c:pt>
                <c:pt idx="3">
                  <c:v>42</c:v>
                </c:pt>
                <c:pt idx="4">
                  <c:v>40</c:v>
                </c:pt>
                <c:pt idx="5">
                  <c:v>78</c:v>
                </c:pt>
                <c:pt idx="6">
                  <c:v>0</c:v>
                </c:pt>
                <c:pt idx="7">
                  <c:v>37</c:v>
                </c:pt>
                <c:pt idx="8">
                  <c:v>51</c:v>
                </c:pt>
                <c:pt idx="9">
                  <c:v>48</c:v>
                </c:pt>
                <c:pt idx="10">
                  <c:v>52</c:v>
                </c:pt>
                <c:pt idx="11">
                  <c:v>76</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75</c:v>
                </c:pt>
                <c:pt idx="1">
                  <c:v>75</c:v>
                </c:pt>
                <c:pt idx="2">
                  <c:v>75</c:v>
                </c:pt>
                <c:pt idx="3">
                  <c:v>75</c:v>
                </c:pt>
                <c:pt idx="4">
                  <c:v>75</c:v>
                </c:pt>
                <c:pt idx="5">
                  <c:v>75</c:v>
                </c:pt>
                <c:pt idx="6">
                  <c:v>75</c:v>
                </c:pt>
                <c:pt idx="7">
                  <c:v>75</c:v>
                </c:pt>
                <c:pt idx="8">
                  <c:v>75</c:v>
                </c:pt>
                <c:pt idx="9">
                  <c:v>75</c:v>
                </c:pt>
                <c:pt idx="10">
                  <c:v>75</c:v>
                </c:pt>
                <c:pt idx="11">
                  <c:v>75</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0.0</c:formatCode>
                <c:ptCount val="12"/>
                <c:pt idx="0">
                  <c:v>34.5</c:v>
                </c:pt>
                <c:pt idx="1">
                  <c:v>24.21</c:v>
                </c:pt>
                <c:pt idx="2">
                  <c:v>17.14</c:v>
                </c:pt>
                <c:pt idx="3">
                  <c:v>13.87</c:v>
                </c:pt>
                <c:pt idx="4">
                  <c:v>12</c:v>
                </c:pt>
                <c:pt idx="5">
                  <c:v>21.36</c:v>
                </c:pt>
                <c:pt idx="6">
                  <c:v>0</c:v>
                </c:pt>
                <c:pt idx="7">
                  <c:v>18.04</c:v>
                </c:pt>
                <c:pt idx="8">
                  <c:v>16.829999999999998</c:v>
                </c:pt>
                <c:pt idx="9">
                  <c:v>19.739999999999998</c:v>
                </c:pt>
                <c:pt idx="10">
                  <c:v>21.76</c:v>
                </c:pt>
                <c:pt idx="11">
                  <c:v>13.65</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60</c:v>
                </c:pt>
                <c:pt idx="1">
                  <c:v>39</c:v>
                </c:pt>
                <c:pt idx="2">
                  <c:v>27</c:v>
                </c:pt>
                <c:pt idx="3">
                  <c:v>25</c:v>
                </c:pt>
                <c:pt idx="4">
                  <c:v>19</c:v>
                </c:pt>
                <c:pt idx="5">
                  <c:v>39</c:v>
                </c:pt>
                <c:pt idx="6">
                  <c:v>0</c:v>
                </c:pt>
                <c:pt idx="7">
                  <c:v>26</c:v>
                </c:pt>
                <c:pt idx="8">
                  <c:v>27</c:v>
                </c:pt>
                <c:pt idx="9">
                  <c:v>30</c:v>
                </c:pt>
                <c:pt idx="10">
                  <c:v>31</c:v>
                </c:pt>
                <c:pt idx="11">
                  <c:v>26</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3621640"/>
        <c:axId val="313622032"/>
      </c:lineChart>
      <c:catAx>
        <c:axId val="313621640"/>
        <c:scaling>
          <c:orientation val="minMax"/>
        </c:scaling>
        <c:delete val="0"/>
        <c:axPos val="b"/>
        <c:numFmt formatCode="General" sourceLinked="1"/>
        <c:majorTickMark val="out"/>
        <c:minorTickMark val="none"/>
        <c:tickLblPos val="nextTo"/>
        <c:crossAx val="313622032"/>
        <c:crosses val="autoZero"/>
        <c:auto val="1"/>
        <c:lblAlgn val="ctr"/>
        <c:lblOffset val="100"/>
        <c:noMultiLvlLbl val="0"/>
      </c:catAx>
      <c:valAx>
        <c:axId val="31362203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164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600</c:v>
                </c:pt>
                <c:pt idx="1">
                  <c:v>600</c:v>
                </c:pt>
                <c:pt idx="2">
                  <c:v>600</c:v>
                </c:pt>
                <c:pt idx="3">
                  <c:v>600</c:v>
                </c:pt>
                <c:pt idx="4">
                  <c:v>600</c:v>
                </c:pt>
                <c:pt idx="5">
                  <c:v>600</c:v>
                </c:pt>
                <c:pt idx="6">
                  <c:v>600</c:v>
                </c:pt>
                <c:pt idx="7">
                  <c:v>600</c:v>
                </c:pt>
                <c:pt idx="8">
                  <c:v>600</c:v>
                </c:pt>
                <c:pt idx="9">
                  <c:v>600</c:v>
                </c:pt>
                <c:pt idx="10">
                  <c:v>600</c:v>
                </c:pt>
                <c:pt idx="11">
                  <c:v>600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0.0</c:formatCode>
                <c:ptCount val="12"/>
                <c:pt idx="0">
                  <c:v>228.73</c:v>
                </c:pt>
                <c:pt idx="1">
                  <c:v>233.18</c:v>
                </c:pt>
                <c:pt idx="2">
                  <c:v>240.52</c:v>
                </c:pt>
                <c:pt idx="3">
                  <c:v>251.7</c:v>
                </c:pt>
                <c:pt idx="4">
                  <c:v>253.15</c:v>
                </c:pt>
                <c:pt idx="5">
                  <c:v>224.64</c:v>
                </c:pt>
                <c:pt idx="6">
                  <c:v>0</c:v>
                </c:pt>
                <c:pt idx="7">
                  <c:v>238.38</c:v>
                </c:pt>
                <c:pt idx="8">
                  <c:v>248.07</c:v>
                </c:pt>
                <c:pt idx="9">
                  <c:v>246.64</c:v>
                </c:pt>
                <c:pt idx="10">
                  <c:v>223.96</c:v>
                </c:pt>
                <c:pt idx="11">
                  <c:v>232.58</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370</c:v>
                </c:pt>
                <c:pt idx="1">
                  <c:v>372</c:v>
                </c:pt>
                <c:pt idx="2">
                  <c:v>398</c:v>
                </c:pt>
                <c:pt idx="3">
                  <c:v>383</c:v>
                </c:pt>
                <c:pt idx="4">
                  <c:v>336</c:v>
                </c:pt>
                <c:pt idx="5">
                  <c:v>332</c:v>
                </c:pt>
                <c:pt idx="6">
                  <c:v>0</c:v>
                </c:pt>
                <c:pt idx="7">
                  <c:v>374</c:v>
                </c:pt>
                <c:pt idx="8">
                  <c:v>350</c:v>
                </c:pt>
                <c:pt idx="9">
                  <c:v>345</c:v>
                </c:pt>
                <c:pt idx="10">
                  <c:v>324</c:v>
                </c:pt>
                <c:pt idx="11">
                  <c:v>388</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300</c:v>
                </c:pt>
                <c:pt idx="1">
                  <c:v>300</c:v>
                </c:pt>
                <c:pt idx="2">
                  <c:v>300</c:v>
                </c:pt>
                <c:pt idx="3">
                  <c:v>300</c:v>
                </c:pt>
                <c:pt idx="4">
                  <c:v>300</c:v>
                </c:pt>
                <c:pt idx="5">
                  <c:v>300</c:v>
                </c:pt>
                <c:pt idx="6">
                  <c:v>300</c:v>
                </c:pt>
                <c:pt idx="7">
                  <c:v>300</c:v>
                </c:pt>
                <c:pt idx="8">
                  <c:v>300</c:v>
                </c:pt>
                <c:pt idx="9">
                  <c:v>300</c:v>
                </c:pt>
                <c:pt idx="10">
                  <c:v>300</c:v>
                </c:pt>
                <c:pt idx="11">
                  <c:v>300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0.0</c:formatCode>
                <c:ptCount val="12"/>
                <c:pt idx="0">
                  <c:v>228.73</c:v>
                </c:pt>
                <c:pt idx="1">
                  <c:v>233.18</c:v>
                </c:pt>
                <c:pt idx="2">
                  <c:v>240.52</c:v>
                </c:pt>
                <c:pt idx="3">
                  <c:v>251.7</c:v>
                </c:pt>
                <c:pt idx="4">
                  <c:v>253.15</c:v>
                </c:pt>
                <c:pt idx="5">
                  <c:v>224.64</c:v>
                </c:pt>
                <c:pt idx="6">
                  <c:v>0</c:v>
                </c:pt>
                <c:pt idx="7">
                  <c:v>238.38</c:v>
                </c:pt>
                <c:pt idx="8">
                  <c:v>248.07</c:v>
                </c:pt>
                <c:pt idx="9">
                  <c:v>246.64</c:v>
                </c:pt>
                <c:pt idx="10">
                  <c:v>223.96</c:v>
                </c:pt>
                <c:pt idx="11">
                  <c:v>232.58</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268</c:v>
                </c:pt>
                <c:pt idx="1">
                  <c:v>268</c:v>
                </c:pt>
                <c:pt idx="2">
                  <c:v>276</c:v>
                </c:pt>
                <c:pt idx="3">
                  <c:v>278</c:v>
                </c:pt>
                <c:pt idx="4">
                  <c:v>277</c:v>
                </c:pt>
                <c:pt idx="5">
                  <c:v>261</c:v>
                </c:pt>
                <c:pt idx="6">
                  <c:v>0</c:v>
                </c:pt>
                <c:pt idx="7">
                  <c:v>273</c:v>
                </c:pt>
                <c:pt idx="8">
                  <c:v>278</c:v>
                </c:pt>
                <c:pt idx="9">
                  <c:v>277</c:v>
                </c:pt>
                <c:pt idx="10">
                  <c:v>255</c:v>
                </c:pt>
                <c:pt idx="11">
                  <c:v>273</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3623208"/>
        <c:axId val="313623600"/>
      </c:lineChart>
      <c:catAx>
        <c:axId val="313623208"/>
        <c:scaling>
          <c:orientation val="minMax"/>
        </c:scaling>
        <c:delete val="0"/>
        <c:axPos val="b"/>
        <c:numFmt formatCode="General" sourceLinked="1"/>
        <c:majorTickMark val="out"/>
        <c:minorTickMark val="none"/>
        <c:tickLblPos val="nextTo"/>
        <c:crossAx val="313623600"/>
        <c:crosses val="autoZero"/>
        <c:auto val="1"/>
        <c:lblAlgn val="ctr"/>
        <c:lblOffset val="100"/>
        <c:noMultiLvlLbl val="0"/>
      </c:catAx>
      <c:valAx>
        <c:axId val="31362360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320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1</c:v>
                </c:pt>
                <c:pt idx="1">
                  <c:v>1</c:v>
                </c:pt>
                <c:pt idx="2">
                  <c:v>1</c:v>
                </c:pt>
                <c:pt idx="3">
                  <c:v>1</c:v>
                </c:pt>
                <c:pt idx="4">
                  <c:v>1</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2</c:v>
                </c:pt>
                <c:pt idx="1">
                  <c:v>1</c:v>
                </c:pt>
                <c:pt idx="2">
                  <c:v>3</c:v>
                </c:pt>
                <c:pt idx="3">
                  <c:v>1</c:v>
                </c:pt>
                <c:pt idx="4">
                  <c:v>1</c:v>
                </c:pt>
                <c:pt idx="5">
                  <c:v>2</c:v>
                </c:pt>
                <c:pt idx="6">
                  <c:v>0</c:v>
                </c:pt>
                <c:pt idx="7">
                  <c:v>0</c:v>
                </c:pt>
                <c:pt idx="8">
                  <c:v>0</c:v>
                </c:pt>
                <c:pt idx="9">
                  <c:v>1</c:v>
                </c:pt>
                <c:pt idx="10">
                  <c:v>0</c:v>
                </c:pt>
                <c:pt idx="11">
                  <c:v>16</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15</c:v>
                </c:pt>
                <c:pt idx="1">
                  <c:v>15</c:v>
                </c:pt>
                <c:pt idx="2">
                  <c:v>15</c:v>
                </c:pt>
                <c:pt idx="3">
                  <c:v>15</c:v>
                </c:pt>
                <c:pt idx="4">
                  <c:v>15</c:v>
                </c:pt>
                <c:pt idx="5">
                  <c:v>15</c:v>
                </c:pt>
                <c:pt idx="6">
                  <c:v>15</c:v>
                </c:pt>
                <c:pt idx="7">
                  <c:v>15</c:v>
                </c:pt>
                <c:pt idx="8">
                  <c:v>15</c:v>
                </c:pt>
                <c:pt idx="9">
                  <c:v>15</c:v>
                </c:pt>
                <c:pt idx="10">
                  <c:v>15</c:v>
                </c:pt>
                <c:pt idx="11">
                  <c:v>15</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1</c:v>
                </c:pt>
                <c:pt idx="1">
                  <c:v>1</c:v>
                </c:pt>
                <c:pt idx="2">
                  <c:v>1</c:v>
                </c:pt>
                <c:pt idx="3">
                  <c:v>1</c:v>
                </c:pt>
                <c:pt idx="4">
                  <c:v>1</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1</c:v>
                </c:pt>
                <c:pt idx="1">
                  <c:v>1</c:v>
                </c:pt>
                <c:pt idx="2">
                  <c:v>1</c:v>
                </c:pt>
                <c:pt idx="3">
                  <c:v>1</c:v>
                </c:pt>
                <c:pt idx="4">
                  <c:v>1</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3626344"/>
        <c:axId val="313626736"/>
      </c:lineChart>
      <c:catAx>
        <c:axId val="313626344"/>
        <c:scaling>
          <c:orientation val="minMax"/>
        </c:scaling>
        <c:delete val="0"/>
        <c:axPos val="b"/>
        <c:numFmt formatCode="General" sourceLinked="1"/>
        <c:majorTickMark val="out"/>
        <c:minorTickMark val="none"/>
        <c:tickLblPos val="nextTo"/>
        <c:crossAx val="313626736"/>
        <c:crosses val="autoZero"/>
        <c:auto val="1"/>
        <c:lblAlgn val="ctr"/>
        <c:lblOffset val="100"/>
        <c:noMultiLvlLbl val="0"/>
      </c:catAx>
      <c:valAx>
        <c:axId val="3136267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63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45</c:v>
                </c:pt>
                <c:pt idx="1">
                  <c:v>45</c:v>
                </c:pt>
                <c:pt idx="2">
                  <c:v>45</c:v>
                </c:pt>
                <c:pt idx="3">
                  <c:v>45</c:v>
                </c:pt>
                <c:pt idx="4">
                  <c:v>45</c:v>
                </c:pt>
                <c:pt idx="5">
                  <c:v>45</c:v>
                </c:pt>
                <c:pt idx="6">
                  <c:v>45</c:v>
                </c:pt>
                <c:pt idx="7">
                  <c:v>45</c:v>
                </c:pt>
                <c:pt idx="8">
                  <c:v>45</c:v>
                </c:pt>
                <c:pt idx="9">
                  <c:v>45</c:v>
                </c:pt>
                <c:pt idx="10">
                  <c:v>45</c:v>
                </c:pt>
                <c:pt idx="11">
                  <c:v>45</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0.0</c:formatCode>
                <c:ptCount val="12"/>
                <c:pt idx="0">
                  <c:v>1</c:v>
                </c:pt>
                <c:pt idx="1">
                  <c:v>1</c:v>
                </c:pt>
                <c:pt idx="2">
                  <c:v>1.4830000000000001</c:v>
                </c:pt>
                <c:pt idx="3">
                  <c:v>1.7</c:v>
                </c:pt>
                <c:pt idx="4">
                  <c:v>2</c:v>
                </c:pt>
                <c:pt idx="5">
                  <c:v>3.4279999999999999</c:v>
                </c:pt>
                <c:pt idx="6">
                  <c:v>0</c:v>
                </c:pt>
                <c:pt idx="7">
                  <c:v>0.115</c:v>
                </c:pt>
                <c:pt idx="8">
                  <c:v>0</c:v>
                </c:pt>
                <c:pt idx="9">
                  <c:v>0</c:v>
                </c:pt>
                <c:pt idx="10">
                  <c:v>0.83299999999999996</c:v>
                </c:pt>
                <c:pt idx="11">
                  <c:v>4.71</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2</c:v>
                </c:pt>
                <c:pt idx="1">
                  <c:v>3</c:v>
                </c:pt>
                <c:pt idx="2">
                  <c:v>13</c:v>
                </c:pt>
                <c:pt idx="3">
                  <c:v>4</c:v>
                </c:pt>
                <c:pt idx="4">
                  <c:v>5</c:v>
                </c:pt>
                <c:pt idx="5">
                  <c:v>10</c:v>
                </c:pt>
                <c:pt idx="6">
                  <c:v>0</c:v>
                </c:pt>
                <c:pt idx="7">
                  <c:v>2</c:v>
                </c:pt>
                <c:pt idx="8">
                  <c:v>0</c:v>
                </c:pt>
                <c:pt idx="9">
                  <c:v>0</c:v>
                </c:pt>
                <c:pt idx="10">
                  <c:v>11</c:v>
                </c:pt>
                <c:pt idx="11">
                  <c:v>12</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15</c:v>
                </c:pt>
                <c:pt idx="1">
                  <c:v>15</c:v>
                </c:pt>
                <c:pt idx="2">
                  <c:v>15</c:v>
                </c:pt>
                <c:pt idx="3">
                  <c:v>15</c:v>
                </c:pt>
                <c:pt idx="4">
                  <c:v>15</c:v>
                </c:pt>
                <c:pt idx="5">
                  <c:v>15</c:v>
                </c:pt>
                <c:pt idx="6">
                  <c:v>15</c:v>
                </c:pt>
                <c:pt idx="7">
                  <c:v>15</c:v>
                </c:pt>
                <c:pt idx="8">
                  <c:v>15</c:v>
                </c:pt>
                <c:pt idx="9">
                  <c:v>15</c:v>
                </c:pt>
                <c:pt idx="10">
                  <c:v>15</c:v>
                </c:pt>
                <c:pt idx="11">
                  <c:v>15</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0.0</c:formatCode>
                <c:ptCount val="12"/>
                <c:pt idx="0">
                  <c:v>1</c:v>
                </c:pt>
                <c:pt idx="1">
                  <c:v>1</c:v>
                </c:pt>
                <c:pt idx="2">
                  <c:v>1.4830000000000001</c:v>
                </c:pt>
                <c:pt idx="3">
                  <c:v>1.7</c:v>
                </c:pt>
                <c:pt idx="4">
                  <c:v>2</c:v>
                </c:pt>
                <c:pt idx="5">
                  <c:v>3.4279999999999999</c:v>
                </c:pt>
                <c:pt idx="6">
                  <c:v>0</c:v>
                </c:pt>
                <c:pt idx="7">
                  <c:v>0.115</c:v>
                </c:pt>
                <c:pt idx="8">
                  <c:v>0</c:v>
                </c:pt>
                <c:pt idx="9">
                  <c:v>0</c:v>
                </c:pt>
                <c:pt idx="10">
                  <c:v>0.83299999999999996</c:v>
                </c:pt>
                <c:pt idx="11">
                  <c:v>4.71</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1</c:v>
                </c:pt>
                <c:pt idx="1">
                  <c:v>1</c:v>
                </c:pt>
                <c:pt idx="2">
                  <c:v>2</c:v>
                </c:pt>
                <c:pt idx="3">
                  <c:v>2</c:v>
                </c:pt>
                <c:pt idx="4">
                  <c:v>2</c:v>
                </c:pt>
                <c:pt idx="5">
                  <c:v>6</c:v>
                </c:pt>
                <c:pt idx="6">
                  <c:v>0</c:v>
                </c:pt>
                <c:pt idx="7">
                  <c:v>1</c:v>
                </c:pt>
                <c:pt idx="8">
                  <c:v>0</c:v>
                </c:pt>
                <c:pt idx="9">
                  <c:v>0</c:v>
                </c:pt>
                <c:pt idx="10">
                  <c:v>5</c:v>
                </c:pt>
                <c:pt idx="11">
                  <c:v>6</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3628304"/>
        <c:axId val="313628696"/>
      </c:lineChart>
      <c:catAx>
        <c:axId val="313628304"/>
        <c:scaling>
          <c:orientation val="minMax"/>
        </c:scaling>
        <c:delete val="0"/>
        <c:axPos val="b"/>
        <c:numFmt formatCode="General" sourceLinked="1"/>
        <c:majorTickMark val="out"/>
        <c:minorTickMark val="none"/>
        <c:tickLblPos val="nextTo"/>
        <c:crossAx val="313628696"/>
        <c:crosses val="autoZero"/>
        <c:auto val="1"/>
        <c:lblAlgn val="ctr"/>
        <c:lblOffset val="100"/>
        <c:noMultiLvlLbl val="0"/>
      </c:catAx>
      <c:valAx>
        <c:axId val="3136286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83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0.5hourly'!$B$6</c:f>
              <c:strCache>
                <c:ptCount val="1"/>
                <c:pt idx="0">
                  <c:v>1/2 hourly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DF93-4E57-BFCF-EC3D33E6D8F9}"/>
            </c:ext>
          </c:extLst>
        </c:ser>
        <c:ser>
          <c:idx val="1"/>
          <c:order val="1"/>
          <c:tx>
            <c:strRef>
              <c:f>'CO 0.5hourly'!$C$6</c:f>
              <c:strCache>
                <c:ptCount val="1"/>
                <c:pt idx="0">
                  <c:v>Monthly 1/2 hourly mean</c:v>
                </c:pt>
              </c:strCache>
            </c:strRef>
          </c:tx>
          <c:spPr>
            <a:ln w="15875"/>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0.5hourly'!$C$7:$C$18</c:f>
              <c:numCache>
                <c:formatCode>0.00</c:formatCode>
                <c:ptCount val="12"/>
                <c:pt idx="0">
                  <c:v>5</c:v>
                </c:pt>
                <c:pt idx="1">
                  <c:v>3.9279999999999999</c:v>
                </c:pt>
                <c:pt idx="2">
                  <c:v>0.27600000000000002</c:v>
                </c:pt>
                <c:pt idx="3">
                  <c:v>6.7000000000000004E-2</c:v>
                </c:pt>
                <c:pt idx="4">
                  <c:v>0</c:v>
                </c:pt>
                <c:pt idx="5">
                  <c:v>7.0999999999999994E-2</c:v>
                </c:pt>
                <c:pt idx="6">
                  <c:v>0</c:v>
                </c:pt>
                <c:pt idx="7">
                  <c:v>0</c:v>
                </c:pt>
                <c:pt idx="8">
                  <c:v>0.13300000000000001</c:v>
                </c:pt>
                <c:pt idx="9">
                  <c:v>0</c:v>
                </c:pt>
                <c:pt idx="10">
                  <c:v>0.4</c:v>
                </c:pt>
                <c:pt idx="11">
                  <c:v>2.516</c:v>
                </c:pt>
              </c:numCache>
            </c:numRef>
          </c:val>
          <c:smooth val="0"/>
          <c:extLst>
            <c:ext xmlns:c16="http://schemas.microsoft.com/office/drawing/2014/chart" uri="{C3380CC4-5D6E-409C-BE32-E72D297353CC}">
              <c16:uniqueId val="{00000001-DF93-4E57-BFCF-EC3D33E6D8F9}"/>
            </c:ext>
          </c:extLst>
        </c:ser>
        <c:ser>
          <c:idx val="2"/>
          <c:order val="2"/>
          <c:tx>
            <c:strRef>
              <c:f>'CO 0.5hourly'!$D$6</c:f>
              <c:strCache>
                <c:ptCount val="1"/>
                <c:pt idx="0">
                  <c:v>Highest 1/2 hourly maximum</c:v>
                </c:pt>
              </c:strCache>
            </c:strRef>
          </c:tx>
          <c:spPr>
            <a:ln>
              <a:noFill/>
            </a:ln>
          </c:spPr>
          <c:marker>
            <c:symbol val="squar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0.5hourly'!$D$7:$D$18</c:f>
              <c:numCache>
                <c:formatCode>General</c:formatCode>
                <c:ptCount val="12"/>
                <c:pt idx="0">
                  <c:v>12</c:v>
                </c:pt>
                <c:pt idx="1">
                  <c:v>57</c:v>
                </c:pt>
                <c:pt idx="2">
                  <c:v>21</c:v>
                </c:pt>
                <c:pt idx="3">
                  <c:v>10</c:v>
                </c:pt>
                <c:pt idx="4">
                  <c:v>7</c:v>
                </c:pt>
                <c:pt idx="5">
                  <c:v>13</c:v>
                </c:pt>
                <c:pt idx="6">
                  <c:v>0</c:v>
                </c:pt>
                <c:pt idx="7">
                  <c:v>1</c:v>
                </c:pt>
                <c:pt idx="8">
                  <c:v>103</c:v>
                </c:pt>
                <c:pt idx="9">
                  <c:v>0</c:v>
                </c:pt>
                <c:pt idx="10">
                  <c:v>14</c:v>
                </c:pt>
                <c:pt idx="11">
                  <c:v>531</c:v>
                </c:pt>
              </c:numCache>
            </c:numRef>
          </c:val>
          <c:smooth val="0"/>
          <c:extLst>
            <c:ext xmlns:c16="http://schemas.microsoft.com/office/drawing/2014/chart" uri="{C3380CC4-5D6E-409C-BE32-E72D297353CC}">
              <c16:uniqueId val="{00000002-DF93-4E57-BFCF-EC3D33E6D8F9}"/>
            </c:ext>
          </c:extLst>
        </c:ser>
        <c:ser>
          <c:idx val="3"/>
          <c:order val="3"/>
          <c:tx>
            <c:strRef>
              <c:f>'CO 0.5hourly'!$E$6</c:f>
              <c:strCache>
                <c:ptCount val="1"/>
                <c:pt idx="0">
                  <c:v>Daily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0.5hourly'!$E$7:$E$18</c:f>
              <c:numCache>
                <c:formatCode>General</c:formatCode>
                <c:ptCount val="12"/>
                <c:pt idx="0">
                  <c:v>75</c:v>
                </c:pt>
                <c:pt idx="1">
                  <c:v>75</c:v>
                </c:pt>
                <c:pt idx="2">
                  <c:v>75</c:v>
                </c:pt>
                <c:pt idx="3">
                  <c:v>75</c:v>
                </c:pt>
                <c:pt idx="4">
                  <c:v>75</c:v>
                </c:pt>
                <c:pt idx="5">
                  <c:v>75</c:v>
                </c:pt>
                <c:pt idx="6">
                  <c:v>75</c:v>
                </c:pt>
                <c:pt idx="7">
                  <c:v>75</c:v>
                </c:pt>
                <c:pt idx="8">
                  <c:v>75</c:v>
                </c:pt>
                <c:pt idx="9">
                  <c:v>75</c:v>
                </c:pt>
                <c:pt idx="10">
                  <c:v>75</c:v>
                </c:pt>
                <c:pt idx="11">
                  <c:v>75</c:v>
                </c:pt>
              </c:numCache>
            </c:numRef>
          </c:val>
          <c:smooth val="0"/>
          <c:extLst>
            <c:ext xmlns:c16="http://schemas.microsoft.com/office/drawing/2014/chart" uri="{C3380CC4-5D6E-409C-BE32-E72D297353CC}">
              <c16:uniqueId val="{00000003-DF93-4E57-BFCF-EC3D33E6D8F9}"/>
            </c:ext>
          </c:extLst>
        </c:ser>
        <c:ser>
          <c:idx val="4"/>
          <c:order val="4"/>
          <c:tx>
            <c:strRef>
              <c:f>'CO 0.5hourly'!$F$6</c:f>
              <c:strCache>
                <c:ptCount val="1"/>
                <c:pt idx="0">
                  <c:v>Monthly daily mean</c:v>
                </c:pt>
              </c:strCache>
            </c:strRef>
          </c:tx>
          <c:spPr>
            <a:ln w="15875">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0.5hourly'!$F$7:$F$18</c:f>
              <c:numCache>
                <c:formatCode>0.00</c:formatCode>
                <c:ptCount val="12"/>
                <c:pt idx="0">
                  <c:v>5</c:v>
                </c:pt>
                <c:pt idx="1">
                  <c:v>3.9279999999999999</c:v>
                </c:pt>
                <c:pt idx="2">
                  <c:v>0.27600000000000002</c:v>
                </c:pt>
                <c:pt idx="3">
                  <c:v>6.7000000000000004E-2</c:v>
                </c:pt>
                <c:pt idx="4">
                  <c:v>0</c:v>
                </c:pt>
                <c:pt idx="5">
                  <c:v>7.0999999999999994E-2</c:v>
                </c:pt>
                <c:pt idx="6">
                  <c:v>0</c:v>
                </c:pt>
                <c:pt idx="7">
                  <c:v>0</c:v>
                </c:pt>
                <c:pt idx="8">
                  <c:v>0.13300000000000001</c:v>
                </c:pt>
                <c:pt idx="9">
                  <c:v>0</c:v>
                </c:pt>
                <c:pt idx="10">
                  <c:v>0.4</c:v>
                </c:pt>
                <c:pt idx="11">
                  <c:v>2.516</c:v>
                </c:pt>
              </c:numCache>
            </c:numRef>
          </c:val>
          <c:smooth val="0"/>
          <c:extLst>
            <c:ext xmlns:c16="http://schemas.microsoft.com/office/drawing/2014/chart" uri="{C3380CC4-5D6E-409C-BE32-E72D297353CC}">
              <c16:uniqueId val="{00000004-DF93-4E57-BFCF-EC3D33E6D8F9}"/>
            </c:ext>
          </c:extLst>
        </c:ser>
        <c:ser>
          <c:idx val="5"/>
          <c:order val="5"/>
          <c:tx>
            <c:strRef>
              <c:f>'CO 0.5hourly'!$G$6</c:f>
              <c:strCache>
                <c:ptCount val="1"/>
                <c:pt idx="0">
                  <c:v>Highest daily maximum</c:v>
                </c:pt>
              </c:strCache>
            </c:strRef>
          </c:tx>
          <c:spPr>
            <a:ln w="12700">
              <a:noFill/>
              <a:prstDash val="solid"/>
            </a:ln>
          </c:spPr>
          <c:marker>
            <c:symbol val="triangl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0.5hourly'!$G$7:$G$18</c:f>
              <c:numCache>
                <c:formatCode>General</c:formatCode>
                <c:ptCount val="12"/>
                <c:pt idx="0">
                  <c:v>6</c:v>
                </c:pt>
                <c:pt idx="1">
                  <c:v>7</c:v>
                </c:pt>
                <c:pt idx="2">
                  <c:v>7</c:v>
                </c:pt>
                <c:pt idx="3">
                  <c:v>1</c:v>
                </c:pt>
                <c:pt idx="4">
                  <c:v>0</c:v>
                </c:pt>
                <c:pt idx="5">
                  <c:v>1</c:v>
                </c:pt>
                <c:pt idx="6">
                  <c:v>0</c:v>
                </c:pt>
                <c:pt idx="7">
                  <c:v>0</c:v>
                </c:pt>
                <c:pt idx="8">
                  <c:v>4</c:v>
                </c:pt>
                <c:pt idx="9">
                  <c:v>0</c:v>
                </c:pt>
                <c:pt idx="10">
                  <c:v>3</c:v>
                </c:pt>
                <c:pt idx="11">
                  <c:v>13</c:v>
                </c:pt>
              </c:numCache>
            </c:numRef>
          </c:val>
          <c:smooth val="0"/>
          <c:extLst>
            <c:ext xmlns:c16="http://schemas.microsoft.com/office/drawing/2014/chart" uri="{C3380CC4-5D6E-409C-BE32-E72D297353CC}">
              <c16:uniqueId val="{00000005-DF93-4E57-BFCF-EC3D33E6D8F9}"/>
            </c:ext>
          </c:extLst>
        </c:ser>
        <c:dLbls>
          <c:showLegendKey val="0"/>
          <c:showVal val="0"/>
          <c:showCatName val="0"/>
          <c:showSerName val="0"/>
          <c:showPercent val="0"/>
          <c:showBubbleSize val="0"/>
        </c:dLbls>
        <c:smooth val="0"/>
        <c:axId val="313625952"/>
        <c:axId val="313625560"/>
      </c:lineChart>
      <c:catAx>
        <c:axId val="313625952"/>
        <c:scaling>
          <c:orientation val="minMax"/>
        </c:scaling>
        <c:delete val="0"/>
        <c:axPos val="b"/>
        <c:numFmt formatCode="General" sourceLinked="1"/>
        <c:majorTickMark val="out"/>
        <c:minorTickMark val="none"/>
        <c:tickLblPos val="nextTo"/>
        <c:crossAx val="313625560"/>
        <c:crosses val="autoZero"/>
        <c:auto val="1"/>
        <c:lblAlgn val="ctr"/>
        <c:lblOffset val="100"/>
        <c:noMultiLvlLbl val="0"/>
      </c:catAx>
      <c:valAx>
        <c:axId val="31362556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595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15944016"/>
        <c:axId val="315944408"/>
      </c:lineChart>
      <c:catAx>
        <c:axId val="315944016"/>
        <c:scaling>
          <c:orientation val="minMax"/>
        </c:scaling>
        <c:delete val="0"/>
        <c:axPos val="b"/>
        <c:numFmt formatCode="General" sourceLinked="1"/>
        <c:majorTickMark val="out"/>
        <c:minorTickMark val="none"/>
        <c:tickLblPos val="nextTo"/>
        <c:crossAx val="315944408"/>
        <c:crosses val="autoZero"/>
        <c:auto val="1"/>
        <c:lblAlgn val="ctr"/>
        <c:lblOffset val="100"/>
        <c:noMultiLvlLbl val="0"/>
      </c:catAx>
      <c:valAx>
        <c:axId val="31594440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9440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0.0</c:formatCode>
                <c:ptCount val="12"/>
                <c:pt idx="0">
                  <c:v>5.1669999999999998</c:v>
                </c:pt>
                <c:pt idx="1">
                  <c:v>2.6</c:v>
                </c:pt>
                <c:pt idx="2">
                  <c:v>15.8</c:v>
                </c:pt>
                <c:pt idx="3">
                  <c:v>1</c:v>
                </c:pt>
                <c:pt idx="4">
                  <c:v>0</c:v>
                </c:pt>
                <c:pt idx="5">
                  <c:v>4.625</c:v>
                </c:pt>
                <c:pt idx="6">
                  <c:v>0</c:v>
                </c:pt>
                <c:pt idx="7">
                  <c:v>3.8</c:v>
                </c:pt>
                <c:pt idx="8">
                  <c:v>14.25</c:v>
                </c:pt>
                <c:pt idx="9">
                  <c:v>1</c:v>
                </c:pt>
                <c:pt idx="10">
                  <c:v>14.2</c:v>
                </c:pt>
                <c:pt idx="11">
                  <c:v>1.5</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pt idx="0">
                  <c:v>33</c:v>
                </c:pt>
                <c:pt idx="1">
                  <c:v>65</c:v>
                </c:pt>
                <c:pt idx="2">
                  <c:v>116</c:v>
                </c:pt>
                <c:pt idx="3">
                  <c:v>4</c:v>
                </c:pt>
                <c:pt idx="4">
                  <c:v>0</c:v>
                </c:pt>
                <c:pt idx="5">
                  <c:v>58</c:v>
                </c:pt>
                <c:pt idx="6">
                  <c:v>0</c:v>
                </c:pt>
                <c:pt idx="7">
                  <c:v>20</c:v>
                </c:pt>
                <c:pt idx="8">
                  <c:v>49</c:v>
                </c:pt>
                <c:pt idx="9">
                  <c:v>9</c:v>
                </c:pt>
                <c:pt idx="10">
                  <c:v>145</c:v>
                </c:pt>
                <c:pt idx="11">
                  <c:v>32</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0.0</c:formatCode>
                <c:ptCount val="12"/>
                <c:pt idx="0">
                  <c:v>5.1669999999999998</c:v>
                </c:pt>
                <c:pt idx="1">
                  <c:v>2.6</c:v>
                </c:pt>
                <c:pt idx="2">
                  <c:v>15.8</c:v>
                </c:pt>
                <c:pt idx="3">
                  <c:v>1</c:v>
                </c:pt>
                <c:pt idx="4">
                  <c:v>0</c:v>
                </c:pt>
                <c:pt idx="5">
                  <c:v>4.625</c:v>
                </c:pt>
                <c:pt idx="6">
                  <c:v>0</c:v>
                </c:pt>
                <c:pt idx="7">
                  <c:v>3.8</c:v>
                </c:pt>
                <c:pt idx="8">
                  <c:v>14.25</c:v>
                </c:pt>
                <c:pt idx="9">
                  <c:v>1</c:v>
                </c:pt>
                <c:pt idx="10">
                  <c:v>14.2</c:v>
                </c:pt>
                <c:pt idx="11">
                  <c:v>1.5</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pt idx="0">
                  <c:v>16</c:v>
                </c:pt>
                <c:pt idx="1">
                  <c:v>5</c:v>
                </c:pt>
                <c:pt idx="2">
                  <c:v>68</c:v>
                </c:pt>
                <c:pt idx="3">
                  <c:v>1</c:v>
                </c:pt>
                <c:pt idx="4">
                  <c:v>2</c:v>
                </c:pt>
                <c:pt idx="5">
                  <c:v>17</c:v>
                </c:pt>
                <c:pt idx="6">
                  <c:v>0</c:v>
                </c:pt>
                <c:pt idx="7">
                  <c:v>6</c:v>
                </c:pt>
                <c:pt idx="8">
                  <c:v>37</c:v>
                </c:pt>
                <c:pt idx="9">
                  <c:v>1</c:v>
                </c:pt>
                <c:pt idx="10">
                  <c:v>49</c:v>
                </c:pt>
                <c:pt idx="11">
                  <c:v>2</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3627912"/>
        <c:axId val="315945584"/>
      </c:lineChart>
      <c:catAx>
        <c:axId val="313627912"/>
        <c:scaling>
          <c:orientation val="minMax"/>
        </c:scaling>
        <c:delete val="0"/>
        <c:axPos val="b"/>
        <c:numFmt formatCode="General" sourceLinked="1"/>
        <c:majorTickMark val="out"/>
        <c:minorTickMark val="none"/>
        <c:tickLblPos val="nextTo"/>
        <c:crossAx val="315945584"/>
        <c:crosses val="autoZero"/>
        <c:auto val="1"/>
        <c:lblAlgn val="ctr"/>
        <c:lblOffset val="100"/>
        <c:noMultiLvlLbl val="0"/>
      </c:catAx>
      <c:valAx>
        <c:axId val="31594558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791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447675</xdr:colOff>
          <xdr:row>8</xdr:row>
          <xdr:rowOff>114300</xdr:rowOff>
        </xdr:from>
        <xdr:to>
          <xdr:col>15</xdr:col>
          <xdr:colOff>295275</xdr:colOff>
          <xdr:row>11</xdr:row>
          <xdr:rowOff>28575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447675</xdr:colOff>
          <xdr:row>5</xdr:row>
          <xdr:rowOff>104775</xdr:rowOff>
        </xdr:from>
        <xdr:to>
          <xdr:col>15</xdr:col>
          <xdr:colOff>295275</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0</xdr:col>
      <xdr:colOff>600075</xdr:colOff>
      <xdr:row>7</xdr:row>
      <xdr:rowOff>104775</xdr:rowOff>
    </xdr:from>
    <xdr:to>
      <xdr:col>9</xdr:col>
      <xdr:colOff>2456</xdr:colOff>
      <xdr:row>23</xdr:row>
      <xdr:rowOff>38100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00075" y="1438275"/>
          <a:ext cx="5326931" cy="2990850"/>
        </a:xfrm>
        <a:prstGeom prst="rect">
          <a:avLst/>
        </a:prstGeom>
      </xdr:spPr>
    </xdr:pic>
    <xdr:clientData/>
  </xdr:twoCellAnchor>
  <xdr:twoCellAnchor editAs="oneCell">
    <xdr:from>
      <xdr:col>2</xdr:col>
      <xdr:colOff>619124</xdr:colOff>
      <xdr:row>0</xdr:row>
      <xdr:rowOff>0</xdr:rowOff>
    </xdr:from>
    <xdr:to>
      <xdr:col>7</xdr:col>
      <xdr:colOff>80210</xdr:colOff>
      <xdr:row>5</xdr:row>
      <xdr:rowOff>19050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2209799" y="0"/>
          <a:ext cx="2556711" cy="9715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JONES Geraint (ENGIE UK)" id="{10E7BD92-66AF-46CE-9ED1-3B62903987E1}" userId="S::sc1200@engie.com::96e73791-4d6a-4d79-bc1b-67c4c3aaab24"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9" dT="2022-03-22T09:24:16.13" personId="{10E7BD92-66AF-46CE-9ED1-3B62903987E1}" id="{1A3CF8DB-F2C1-4D61-A856-82D467AA4E68}">
    <text>Ask Ian Dunne; or Jon Philpin. Link to Waste Recovery section below</text>
  </threadedComment>
  <threadedComment ref="A26" dT="2022-03-22T09:28:48.61" personId="{10E7BD92-66AF-46CE-9ED1-3B62903987E1}" id="{CD6814F3-1C7D-4EDF-83A2-B31A487345A0}">
    <text>Could quantify as Gen-EXp+Import ?</text>
  </threadedComment>
  <threadedComment ref="A42" dT="2022-03-22T09:30:43.55" personId="{10E7BD92-66AF-46CE-9ED1-3B62903987E1}" id="{B59FA4B0-6240-4256-B6F1-06EADEEB0795}">
    <text>Add details from KPI Report  - actual meter reading</text>
  </threadedComment>
  <threadedComment ref="A48" dT="2022-03-22T09:34:19.66" personId="{10E7BD92-66AF-46CE-9ED1-3B62903987E1}" id="{0571A721-24C3-4E13-B9A6-D5198F41273C}">
    <text>Include EDG and Mobile Plant Fuel Oil usage ? Check with Ian D</text>
  </threadedComment>
  <threadedComment ref="A49" dT="2022-03-22T09:32:37.46" personId="{10E7BD92-66AF-46CE-9ED1-3B62903987E1}" id="{99453FFE-68D7-45B6-ABB2-25063594F758}">
    <text>From KPI Report</text>
  </threadedComment>
  <threadedComment ref="A53" dT="2022-03-22T09:36:23.87" personId="{10E7BD92-66AF-46CE-9ED1-3B62903987E1}" id="{2878B854-4393-475B-8148-8ACA1E24BC24}">
    <text>Gasifiers hrs</text>
  </threadedComment>
  <threadedComment ref="A58" dT="2022-03-22T09:36:39.23" personId="{10E7BD92-66AF-46CE-9ED1-3B62903987E1}" id="{A665BEFB-4CCC-482D-8D52-C9A8EB6A4D80}">
    <text>Gasifier hrs - #1 Line</text>
  </threadedComment>
  <threadedComment ref="A62" dT="2022-03-22T09:38:28.18" personId="{10E7BD92-66AF-46CE-9ED1-3B62903987E1}" id="{759A8417-9894-49D6-902B-3C9EF46E6FE8}">
    <text>Standard, average, design figure ?</text>
  </threadedComment>
  <threadedComment ref="A63" dT="2022-03-22T09:40:56.39" personId="{10E7BD92-66AF-46CE-9ED1-3B62903987E1}" id="{DE698C34-7DB3-479E-94A8-FD78E75C625D}">
    <text>5th December CO Exceedance</text>
  </threadedComment>
</ThreadedComments>
</file>

<file path=xl/threadedComments/threadedComment2.xml><?xml version="1.0" encoding="utf-8"?>
<ThreadedComments xmlns="http://schemas.microsoft.com/office/spreadsheetml/2018/threadedcomments" xmlns:x="http://schemas.openxmlformats.org/spreadsheetml/2006/main">
  <threadedComment ref="A7" dT="2022-03-22T09:46:46.01" personId="{10E7BD92-66AF-46CE-9ED1-3B62903987E1}" id="{45AA8A76-8115-406A-AC95-C44882A70134}">
    <text>Insert reporting dates</text>
  </threadedComment>
  <threadedComment ref="A47" dT="2022-03-22T09:45:57.66" personId="{10E7BD92-66AF-46CE-9ED1-3B62903987E1}" id="{1C558304-5093-4CB8-B0AE-FE64885C9D93}">
    <text>Copy from previous lines....</text>
  </threadedComment>
</ThreadedComments>
</file>

<file path=xl/threadedComments/threadedComment3.xml><?xml version="1.0" encoding="utf-8"?>
<ThreadedComments xmlns="http://schemas.microsoft.com/office/spreadsheetml/2018/threadedcomments" xmlns:x="http://schemas.openxmlformats.org/spreadsheetml/2006/main">
  <threadedComment ref="A8" dT="2022-03-22T09:49:04.03" personId="{10E7BD92-66AF-46CE-9ED1-3B62903987E1}" id="{0F105778-B554-4736-8C03-33CE331011ED}">
    <text>From Permit ???</text>
  </threadedComment>
</ThreadedComments>
</file>

<file path=xl/threadedComments/threadedComment4.xml><?xml version="1.0" encoding="utf-8"?>
<ThreadedComments xmlns="http://schemas.microsoft.com/office/spreadsheetml/2018/threadedcomments" xmlns:x="http://schemas.openxmlformats.org/spreadsheetml/2006/main">
  <threadedComment ref="D30" dT="2022-03-22T09:53:53.43" personId="{10E7BD92-66AF-46CE-9ED1-3B62903987E1}" id="{B2267A78-61EE-4140-9366-02064FB09CA6}">
    <text>Socotec reports</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kevin.johnson@equans.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showGridLines="0" tabSelected="1" topLeftCell="A15" zoomScaleNormal="100" workbookViewId="0">
      <selection activeCell="K28" sqref="K28"/>
    </sheetView>
  </sheetViews>
  <sheetFormatPr defaultColWidth="9.265625" defaultRowHeight="15" x14ac:dyDescent="0.4"/>
  <cols>
    <col min="1" max="1" width="9.265625" style="2" customWidth="1"/>
    <col min="2" max="2" width="14.59765625" style="2" bestFit="1" customWidth="1"/>
    <col min="3" max="9" width="9.265625" style="2"/>
    <col min="10" max="10" width="11.59765625" style="2" customWidth="1"/>
    <col min="11" max="14" width="9.265625" style="2"/>
    <col min="15" max="15" width="9.265625" style="2" customWidth="1"/>
    <col min="16" max="16384" width="9.265625" style="2"/>
  </cols>
  <sheetData>
    <row r="1" spans="2:16" x14ac:dyDescent="0.4">
      <c r="B1" s="93"/>
      <c r="C1" s="93"/>
      <c r="D1" s="187" t="s">
        <v>0</v>
      </c>
      <c r="E1" s="187"/>
      <c r="F1" s="187"/>
      <c r="G1" s="187"/>
      <c r="H1" s="93"/>
      <c r="I1" s="93"/>
      <c r="J1" s="93"/>
      <c r="K1" s="93"/>
      <c r="L1" s="93"/>
      <c r="M1" s="93"/>
      <c r="N1" s="93"/>
      <c r="O1" s="93"/>
      <c r="P1" s="93"/>
    </row>
    <row r="2" spans="2:16" x14ac:dyDescent="0.4">
      <c r="B2" s="93"/>
      <c r="C2" s="93"/>
      <c r="D2" s="187"/>
      <c r="E2" s="187"/>
      <c r="F2" s="187"/>
      <c r="G2" s="187"/>
      <c r="H2" s="93"/>
      <c r="I2" s="93"/>
      <c r="J2" s="93"/>
      <c r="K2" s="93"/>
      <c r="L2" s="93"/>
      <c r="M2" s="93"/>
      <c r="N2" s="93" t="s">
        <v>1</v>
      </c>
      <c r="O2" s="93"/>
      <c r="P2" s="97"/>
    </row>
    <row r="3" spans="2:16" x14ac:dyDescent="0.4">
      <c r="B3" s="93"/>
      <c r="C3" s="93"/>
      <c r="D3" s="187"/>
      <c r="E3" s="187"/>
      <c r="F3" s="187"/>
      <c r="G3" s="187"/>
      <c r="H3" s="93"/>
      <c r="I3" s="93"/>
      <c r="J3" s="93"/>
      <c r="K3" s="93"/>
      <c r="L3" s="93"/>
      <c r="M3" s="93"/>
      <c r="N3" s="97"/>
      <c r="O3" s="93"/>
      <c r="P3" s="93"/>
    </row>
    <row r="4" spans="2:16" x14ac:dyDescent="0.4">
      <c r="B4" s="93"/>
      <c r="C4" s="93"/>
      <c r="D4" s="187"/>
      <c r="E4" s="187"/>
      <c r="F4" s="187"/>
      <c r="G4" s="187"/>
      <c r="H4" s="93"/>
      <c r="I4" s="93"/>
      <c r="J4" s="93"/>
      <c r="K4" s="93"/>
      <c r="L4" s="93"/>
      <c r="M4" s="93"/>
      <c r="N4" s="93"/>
      <c r="O4" s="93"/>
      <c r="P4" s="93"/>
    </row>
    <row r="5" spans="2:16" x14ac:dyDescent="0.4">
      <c r="B5" s="93"/>
      <c r="C5" s="93"/>
      <c r="D5" s="187"/>
      <c r="E5" s="187"/>
      <c r="F5" s="187"/>
      <c r="G5" s="187"/>
      <c r="H5" s="93"/>
      <c r="I5" s="93"/>
      <c r="J5" s="93"/>
      <c r="K5" s="93"/>
      <c r="L5" s="93"/>
      <c r="M5" s="93"/>
      <c r="N5" s="93"/>
      <c r="O5" s="93"/>
      <c r="P5" s="93"/>
    </row>
    <row r="6" spans="2:16" x14ac:dyDescent="0.4">
      <c r="B6" s="93"/>
      <c r="C6" s="93"/>
      <c r="D6" s="187"/>
      <c r="E6" s="187"/>
      <c r="F6" s="187"/>
      <c r="G6" s="187"/>
      <c r="H6" s="93"/>
      <c r="I6" s="93"/>
      <c r="J6" s="93"/>
      <c r="K6" s="93"/>
      <c r="L6" s="93"/>
      <c r="M6" s="93"/>
      <c r="N6" s="93"/>
      <c r="O6" s="93"/>
      <c r="P6" s="93"/>
    </row>
    <row r="8" spans="2:16" ht="15.75" customHeight="1" x14ac:dyDescent="0.4">
      <c r="B8" s="187" t="s">
        <v>2</v>
      </c>
      <c r="C8" s="187"/>
      <c r="D8" s="187"/>
      <c r="E8" s="187"/>
      <c r="F8" s="187"/>
      <c r="G8" s="187"/>
      <c r="H8" s="187"/>
      <c r="I8" s="187"/>
      <c r="J8" s="93"/>
      <c r="K8" s="93"/>
      <c r="L8" s="93"/>
      <c r="M8" s="93"/>
      <c r="N8" s="71"/>
      <c r="O8" s="93"/>
      <c r="P8" s="93"/>
    </row>
    <row r="9" spans="2:16" x14ac:dyDescent="0.4">
      <c r="B9" s="187"/>
      <c r="C9" s="187"/>
      <c r="D9" s="187"/>
      <c r="E9" s="187"/>
      <c r="F9" s="187"/>
      <c r="G9" s="187"/>
      <c r="H9" s="187"/>
      <c r="I9" s="187"/>
      <c r="J9" s="93"/>
      <c r="K9" s="93"/>
      <c r="L9" s="93"/>
      <c r="M9" s="93"/>
      <c r="N9" s="93"/>
      <c r="O9" s="93"/>
      <c r="P9" s="93"/>
    </row>
    <row r="10" spans="2:16" x14ac:dyDescent="0.4">
      <c r="B10" s="187"/>
      <c r="C10" s="187"/>
      <c r="D10" s="187"/>
      <c r="E10" s="187"/>
      <c r="F10" s="187"/>
      <c r="G10" s="187"/>
      <c r="H10" s="187"/>
      <c r="I10" s="187"/>
      <c r="J10" s="93"/>
      <c r="K10" s="93"/>
      <c r="L10" s="93"/>
      <c r="M10" s="93"/>
      <c r="N10" s="93"/>
      <c r="O10" s="93"/>
      <c r="P10" s="93"/>
    </row>
    <row r="11" spans="2:16" x14ac:dyDescent="0.4">
      <c r="B11" s="187"/>
      <c r="C11" s="187"/>
      <c r="D11" s="187"/>
      <c r="E11" s="187"/>
      <c r="F11" s="187"/>
      <c r="G11" s="187"/>
      <c r="H11" s="187"/>
      <c r="I11" s="187"/>
      <c r="J11" s="93"/>
      <c r="K11" s="93"/>
      <c r="L11" s="93"/>
      <c r="M11" s="93"/>
      <c r="N11" s="93"/>
      <c r="O11" s="93"/>
      <c r="P11" s="93"/>
    </row>
    <row r="12" spans="2:16" x14ac:dyDescent="0.4">
      <c r="B12" s="187"/>
      <c r="C12" s="187"/>
      <c r="D12" s="187"/>
      <c r="E12" s="187"/>
      <c r="F12" s="187"/>
      <c r="G12" s="187"/>
      <c r="H12" s="187"/>
      <c r="I12" s="187"/>
      <c r="J12" s="93"/>
      <c r="K12" s="93"/>
      <c r="L12" s="93"/>
      <c r="M12" s="93"/>
      <c r="N12" s="93"/>
      <c r="O12" s="93"/>
      <c r="P12" s="93"/>
    </row>
    <row r="13" spans="2:16" ht="15.4" x14ac:dyDescent="0.45">
      <c r="B13" s="187"/>
      <c r="C13" s="187"/>
      <c r="D13" s="187"/>
      <c r="E13" s="187"/>
      <c r="F13" s="187"/>
      <c r="G13" s="187"/>
      <c r="H13" s="187"/>
      <c r="I13" s="187"/>
      <c r="J13" s="93"/>
      <c r="K13" s="93"/>
      <c r="L13" s="93"/>
      <c r="M13" s="93"/>
      <c r="N13" s="75" t="s">
        <v>3</v>
      </c>
      <c r="O13" s="73"/>
      <c r="P13" s="73"/>
    </row>
    <row r="14" spans="2:16" ht="15.6" customHeight="1" x14ac:dyDescent="0.4">
      <c r="B14" s="187"/>
      <c r="C14" s="187"/>
      <c r="D14" s="187"/>
      <c r="E14" s="187"/>
      <c r="F14" s="187"/>
      <c r="G14" s="187"/>
      <c r="H14" s="187"/>
      <c r="I14" s="187"/>
      <c r="J14" s="93"/>
      <c r="K14" s="93"/>
      <c r="L14" s="93"/>
      <c r="M14" s="93"/>
      <c r="N14" s="186" t="s">
        <v>4</v>
      </c>
      <c r="O14" s="186"/>
      <c r="P14" s="186"/>
    </row>
    <row r="15" spans="2:16" x14ac:dyDescent="0.4">
      <c r="B15" s="187"/>
      <c r="C15" s="187"/>
      <c r="D15" s="187"/>
      <c r="E15" s="187"/>
      <c r="F15" s="187"/>
      <c r="G15" s="187"/>
      <c r="H15" s="187"/>
      <c r="I15" s="187"/>
      <c r="J15" s="93"/>
      <c r="K15" s="93"/>
      <c r="L15" s="93"/>
      <c r="M15" s="93"/>
      <c r="N15" s="186"/>
      <c r="O15" s="186"/>
      <c r="P15" s="186"/>
    </row>
    <row r="16" spans="2:16" x14ac:dyDescent="0.4">
      <c r="B16" s="187"/>
      <c r="C16" s="187"/>
      <c r="D16" s="187"/>
      <c r="E16" s="187"/>
      <c r="F16" s="187"/>
      <c r="G16" s="187"/>
      <c r="H16" s="187"/>
      <c r="I16" s="187"/>
      <c r="J16" s="93"/>
      <c r="K16" s="93"/>
      <c r="L16" s="93"/>
      <c r="M16" s="93"/>
      <c r="N16" s="186"/>
      <c r="O16" s="186"/>
      <c r="P16" s="186"/>
    </row>
    <row r="17" spans="2:16" x14ac:dyDescent="0.4">
      <c r="B17" s="187"/>
      <c r="C17" s="187"/>
      <c r="D17" s="187"/>
      <c r="E17" s="187"/>
      <c r="F17" s="187"/>
      <c r="G17" s="187"/>
      <c r="H17" s="187"/>
      <c r="I17" s="187"/>
      <c r="J17" s="93"/>
      <c r="K17" s="93"/>
      <c r="L17" s="93"/>
      <c r="M17" s="93"/>
      <c r="N17" s="186"/>
      <c r="O17" s="186"/>
      <c r="P17" s="186"/>
    </row>
    <row r="18" spans="2:16" x14ac:dyDescent="0.4">
      <c r="B18" s="187"/>
      <c r="C18" s="187"/>
      <c r="D18" s="187"/>
      <c r="E18" s="187"/>
      <c r="F18" s="187"/>
      <c r="G18" s="187"/>
      <c r="H18" s="187"/>
      <c r="I18" s="187"/>
      <c r="J18" s="93"/>
      <c r="K18" s="93"/>
      <c r="L18" s="93"/>
      <c r="M18" s="93"/>
      <c r="N18" s="186"/>
      <c r="O18" s="186"/>
      <c r="P18" s="186"/>
    </row>
    <row r="19" spans="2:16" x14ac:dyDescent="0.4">
      <c r="B19" s="187"/>
      <c r="C19" s="187"/>
      <c r="D19" s="187"/>
      <c r="E19" s="187"/>
      <c r="F19" s="187"/>
      <c r="G19" s="187"/>
      <c r="H19" s="187"/>
      <c r="I19" s="187"/>
      <c r="J19" s="93"/>
      <c r="K19" s="93"/>
      <c r="L19" s="93"/>
      <c r="M19" s="93"/>
      <c r="N19" s="186"/>
      <c r="O19" s="186"/>
      <c r="P19" s="186"/>
    </row>
    <row r="20" spans="2:16" x14ac:dyDescent="0.4">
      <c r="B20" s="187"/>
      <c r="C20" s="187"/>
      <c r="D20" s="187"/>
      <c r="E20" s="187"/>
      <c r="F20" s="187"/>
      <c r="G20" s="187"/>
      <c r="H20" s="187"/>
      <c r="I20" s="187"/>
      <c r="J20" s="93"/>
      <c r="K20" s="93"/>
      <c r="L20" s="93"/>
      <c r="M20" s="93"/>
      <c r="N20" s="93"/>
      <c r="O20" s="93"/>
      <c r="P20" s="93"/>
    </row>
    <row r="21" spans="2:16" x14ac:dyDescent="0.4">
      <c r="B21" s="187"/>
      <c r="C21" s="187"/>
      <c r="D21" s="187"/>
      <c r="E21" s="187"/>
      <c r="F21" s="187"/>
      <c r="G21" s="187"/>
      <c r="H21" s="187"/>
      <c r="I21" s="187"/>
      <c r="J21" s="93"/>
      <c r="K21" s="93"/>
      <c r="L21" s="93"/>
      <c r="M21" s="93"/>
      <c r="N21" s="93"/>
      <c r="O21" s="93"/>
      <c r="P21" s="93"/>
    </row>
    <row r="22" spans="2:16" x14ac:dyDescent="0.4">
      <c r="B22" s="187"/>
      <c r="C22" s="187"/>
      <c r="D22" s="187"/>
      <c r="E22" s="187"/>
      <c r="F22" s="187"/>
      <c r="G22" s="187"/>
      <c r="H22" s="187"/>
      <c r="I22" s="187"/>
      <c r="J22" s="93"/>
      <c r="K22" s="93"/>
      <c r="L22" s="93"/>
      <c r="M22" s="93"/>
      <c r="N22" s="93"/>
      <c r="O22" s="93"/>
      <c r="P22" s="93"/>
    </row>
    <row r="23" spans="2:16" x14ac:dyDescent="0.4">
      <c r="B23" s="187"/>
      <c r="C23" s="187"/>
      <c r="D23" s="187"/>
      <c r="E23" s="187"/>
      <c r="F23" s="187"/>
      <c r="G23" s="187"/>
      <c r="H23" s="187"/>
      <c r="I23" s="187"/>
      <c r="J23" s="93"/>
      <c r="K23" s="93"/>
      <c r="L23" s="93"/>
      <c r="M23" s="93"/>
      <c r="N23" s="93"/>
      <c r="O23" s="93"/>
      <c r="P23" s="93"/>
    </row>
    <row r="24" spans="2:16" x14ac:dyDescent="0.4">
      <c r="B24" s="187"/>
      <c r="C24" s="187"/>
      <c r="D24" s="187"/>
      <c r="E24" s="187"/>
      <c r="F24" s="187"/>
      <c r="G24" s="187"/>
      <c r="H24" s="187"/>
      <c r="I24" s="187"/>
      <c r="J24" s="93"/>
      <c r="K24" s="93"/>
      <c r="L24" s="93"/>
      <c r="M24" s="93"/>
      <c r="N24" s="93"/>
      <c r="O24" s="93"/>
      <c r="P24" s="93"/>
    </row>
    <row r="29" spans="2:16" ht="17.649999999999999" x14ac:dyDescent="0.5">
      <c r="B29" s="184" t="s">
        <v>5</v>
      </c>
      <c r="C29" s="184"/>
      <c r="D29" s="184"/>
      <c r="E29" s="184"/>
      <c r="F29" s="184"/>
      <c r="G29" s="184"/>
      <c r="H29" s="184"/>
      <c r="I29" s="184"/>
      <c r="J29" s="93"/>
      <c r="K29" s="93"/>
      <c r="L29" s="93"/>
      <c r="M29" s="93"/>
      <c r="N29" s="93"/>
      <c r="O29" s="93"/>
      <c r="P29" s="93"/>
    </row>
    <row r="30" spans="2:16" ht="17.649999999999999" x14ac:dyDescent="0.5">
      <c r="B30" s="93"/>
      <c r="C30" s="7"/>
      <c r="D30" s="8"/>
      <c r="E30" s="8"/>
      <c r="F30" s="8"/>
      <c r="G30" s="8"/>
      <c r="H30" s="8"/>
      <c r="I30" s="8"/>
      <c r="J30" s="93"/>
      <c r="K30" s="93"/>
      <c r="L30" s="93"/>
      <c r="M30" s="93"/>
      <c r="N30" s="93"/>
      <c r="O30" s="93"/>
      <c r="P30" s="93"/>
    </row>
    <row r="31" spans="2:16" ht="17.649999999999999" x14ac:dyDescent="0.5">
      <c r="B31" s="184" t="s">
        <v>6</v>
      </c>
      <c r="C31" s="184"/>
      <c r="D31" s="184"/>
      <c r="E31" s="184"/>
      <c r="F31" s="184"/>
      <c r="G31" s="184"/>
      <c r="H31" s="184"/>
      <c r="I31" s="184"/>
      <c r="J31" s="93"/>
      <c r="K31" s="93"/>
      <c r="L31" s="93"/>
      <c r="M31" s="93"/>
      <c r="N31" s="93"/>
      <c r="O31" s="93"/>
      <c r="P31" s="93"/>
    </row>
    <row r="32" spans="2:16" ht="17.649999999999999" x14ac:dyDescent="0.5">
      <c r="B32" s="93"/>
      <c r="C32" s="7"/>
      <c r="D32" s="8"/>
      <c r="E32" s="8"/>
      <c r="F32" s="8"/>
      <c r="G32" s="8"/>
      <c r="H32" s="8"/>
      <c r="I32" s="8"/>
      <c r="J32" s="93"/>
      <c r="K32" s="93"/>
      <c r="L32" s="93"/>
      <c r="M32" s="93"/>
      <c r="N32" s="93"/>
      <c r="O32" s="93"/>
      <c r="P32" s="93"/>
    </row>
    <row r="33" spans="2:9" ht="17.649999999999999" x14ac:dyDescent="0.5">
      <c r="B33" s="184" t="s">
        <v>407</v>
      </c>
      <c r="C33" s="184"/>
      <c r="D33" s="184"/>
      <c r="E33" s="184"/>
      <c r="F33" s="184"/>
      <c r="G33" s="184"/>
      <c r="H33" s="184"/>
      <c r="I33" s="184"/>
    </row>
    <row r="34" spans="2:9" ht="17.649999999999999" x14ac:dyDescent="0.5">
      <c r="B34" s="93"/>
      <c r="C34" s="7"/>
      <c r="D34" s="8"/>
      <c r="E34" s="8"/>
      <c r="F34" s="8"/>
      <c r="G34" s="8"/>
      <c r="H34" s="8"/>
      <c r="I34" s="8"/>
    </row>
    <row r="35" spans="2:9" ht="17.649999999999999" x14ac:dyDescent="0.5">
      <c r="B35" s="184" t="s">
        <v>7</v>
      </c>
      <c r="C35" s="184"/>
      <c r="D35" s="184"/>
      <c r="E35" s="184"/>
      <c r="F35" s="184"/>
      <c r="G35" s="184"/>
      <c r="H35" s="184"/>
      <c r="I35" s="184"/>
    </row>
    <row r="37" spans="2:9" ht="17.649999999999999" x14ac:dyDescent="0.5">
      <c r="B37" s="184"/>
      <c r="C37" s="184"/>
      <c r="D37" s="184"/>
      <c r="E37" s="184"/>
      <c r="F37" s="184"/>
      <c r="G37" s="184"/>
      <c r="H37" s="184"/>
      <c r="I37" s="184"/>
    </row>
    <row r="39" spans="2:9" x14ac:dyDescent="0.4">
      <c r="B39" s="93" t="s">
        <v>8</v>
      </c>
      <c r="C39" s="98">
        <v>2022</v>
      </c>
      <c r="D39" s="93"/>
      <c r="E39" s="93"/>
      <c r="F39" s="93"/>
      <c r="G39" s="93"/>
      <c r="H39" s="93"/>
      <c r="I39" s="93"/>
    </row>
    <row r="40" spans="2:9" ht="14.25" customHeight="1" x14ac:dyDescent="0.4">
      <c r="B40" s="93"/>
      <c r="C40" s="93"/>
      <c r="D40" s="93"/>
      <c r="E40" s="93"/>
      <c r="F40" s="93"/>
      <c r="G40" s="93"/>
      <c r="H40" s="93"/>
      <c r="I40" s="93"/>
    </row>
    <row r="41" spans="2:9" x14ac:dyDescent="0.4">
      <c r="B41" s="99" t="s">
        <v>9</v>
      </c>
      <c r="C41" s="182" t="s">
        <v>10</v>
      </c>
      <c r="D41" s="182"/>
      <c r="E41" s="182"/>
      <c r="F41" s="182"/>
      <c r="G41" s="182"/>
      <c r="H41" s="182"/>
      <c r="I41" s="182"/>
    </row>
    <row r="42" spans="2:9" x14ac:dyDescent="0.4">
      <c r="B42" s="99"/>
      <c r="C42" s="93"/>
      <c r="D42" s="93"/>
      <c r="E42" s="93"/>
      <c r="F42" s="93"/>
      <c r="G42" s="93"/>
      <c r="H42" s="93"/>
      <c r="I42" s="93"/>
    </row>
    <row r="43" spans="2:9" x14ac:dyDescent="0.4">
      <c r="B43" s="99" t="s">
        <v>11</v>
      </c>
      <c r="C43" s="182" t="s">
        <v>12</v>
      </c>
      <c r="D43" s="182"/>
      <c r="E43" s="182"/>
      <c r="F43" s="93"/>
      <c r="G43" s="93"/>
      <c r="H43" s="93"/>
      <c r="I43" s="93"/>
    </row>
    <row r="44" spans="2:9" x14ac:dyDescent="0.4">
      <c r="B44" s="99"/>
      <c r="C44" s="93"/>
      <c r="D44" s="93"/>
      <c r="E44" s="93"/>
      <c r="F44" s="93"/>
      <c r="G44" s="93"/>
      <c r="H44" s="93"/>
      <c r="I44" s="93"/>
    </row>
    <row r="45" spans="2:9" ht="15.4" x14ac:dyDescent="0.45">
      <c r="B45" s="99" t="s">
        <v>13</v>
      </c>
      <c r="C45" s="185" t="s">
        <v>14</v>
      </c>
      <c r="D45" s="185"/>
      <c r="E45" s="185"/>
      <c r="F45" s="93"/>
      <c r="G45" s="93"/>
      <c r="H45" s="93"/>
      <c r="I45" s="93"/>
    </row>
    <row r="46" spans="2:9" x14ac:dyDescent="0.4">
      <c r="B46" s="99"/>
      <c r="C46" s="93"/>
      <c r="D46" s="93"/>
      <c r="E46" s="93"/>
      <c r="F46" s="93"/>
      <c r="G46" s="93"/>
      <c r="H46" s="93"/>
      <c r="I46" s="93"/>
    </row>
    <row r="47" spans="2:9" x14ac:dyDescent="0.4">
      <c r="B47" s="99" t="s">
        <v>15</v>
      </c>
      <c r="C47" s="182" t="s">
        <v>413</v>
      </c>
      <c r="D47" s="182"/>
      <c r="E47" s="93"/>
      <c r="F47" s="93" t="s">
        <v>16</v>
      </c>
      <c r="G47" s="182" t="s">
        <v>414</v>
      </c>
      <c r="H47" s="182"/>
      <c r="I47" s="182"/>
    </row>
    <row r="48" spans="2:9" x14ac:dyDescent="0.4">
      <c r="B48" s="99"/>
      <c r="C48" s="93"/>
      <c r="D48" s="93"/>
      <c r="E48" s="93"/>
      <c r="F48" s="93"/>
      <c r="G48" s="93"/>
      <c r="H48" s="93"/>
      <c r="I48" s="93"/>
    </row>
    <row r="49" spans="2:9" x14ac:dyDescent="0.4">
      <c r="B49" s="99" t="s">
        <v>17</v>
      </c>
      <c r="C49" s="182" t="s">
        <v>18</v>
      </c>
      <c r="D49" s="182"/>
      <c r="E49" s="93"/>
      <c r="F49" s="93" t="s">
        <v>16</v>
      </c>
      <c r="G49" s="182" t="s">
        <v>19</v>
      </c>
      <c r="H49" s="182"/>
      <c r="I49" s="182"/>
    </row>
    <row r="50" spans="2:9" x14ac:dyDescent="0.4">
      <c r="B50" s="99"/>
      <c r="C50" s="93"/>
      <c r="D50" s="93"/>
      <c r="E50" s="93"/>
      <c r="F50" s="93"/>
      <c r="G50" s="93"/>
      <c r="H50" s="93"/>
      <c r="I50" s="93"/>
    </row>
    <row r="51" spans="2:9" x14ac:dyDescent="0.4">
      <c r="B51" s="99" t="s">
        <v>20</v>
      </c>
      <c r="C51" s="98">
        <v>1</v>
      </c>
      <c r="D51" s="93"/>
      <c r="E51" s="93"/>
      <c r="F51" s="93"/>
      <c r="G51" s="93"/>
      <c r="H51" s="93"/>
      <c r="I51" s="93"/>
    </row>
    <row r="52" spans="2:9" x14ac:dyDescent="0.4">
      <c r="B52" s="99"/>
      <c r="C52" s="93"/>
      <c r="D52" s="93"/>
      <c r="E52" s="93"/>
      <c r="F52" s="93"/>
      <c r="G52" s="93"/>
      <c r="H52" s="93"/>
      <c r="I52" s="93"/>
    </row>
    <row r="53" spans="2:9" x14ac:dyDescent="0.4">
      <c r="B53" s="99" t="s">
        <v>21</v>
      </c>
      <c r="C53" s="183">
        <v>44959</v>
      </c>
      <c r="D53" s="182"/>
      <c r="E53" s="93"/>
      <c r="F53" s="93"/>
      <c r="G53" s="93"/>
      <c r="H53" s="93"/>
      <c r="I53" s="93"/>
    </row>
  </sheetData>
  <mergeCells count="16">
    <mergeCell ref="N14:P19"/>
    <mergeCell ref="B35:I35"/>
    <mergeCell ref="D1:G6"/>
    <mergeCell ref="B8:I24"/>
    <mergeCell ref="B29:I29"/>
    <mergeCell ref="B31:I31"/>
    <mergeCell ref="B33:I33"/>
    <mergeCell ref="C49:D49"/>
    <mergeCell ref="G49:I49"/>
    <mergeCell ref="C53:D53"/>
    <mergeCell ref="B37:I37"/>
    <mergeCell ref="C41:I41"/>
    <mergeCell ref="C43:E43"/>
    <mergeCell ref="C45:E45"/>
    <mergeCell ref="C47:D47"/>
    <mergeCell ref="G47:I47"/>
  </mergeCells>
  <hyperlinks>
    <hyperlink ref="C45:E45" r:id="rId1" display="kevin.johnson@equans.com" xr:uid="{ADF93B25-0437-4D97-A1B1-AD8303FFF8DB}"/>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447675</xdr:colOff>
                    <xdr:row>8</xdr:row>
                    <xdr:rowOff>114300</xdr:rowOff>
                  </from>
                  <to>
                    <xdr:col>15</xdr:col>
                    <xdr:colOff>295275</xdr:colOff>
                    <xdr:row>11</xdr:row>
                    <xdr:rowOff>28575</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447675</xdr:colOff>
                    <xdr:row>5</xdr:row>
                    <xdr:rowOff>104775</xdr:rowOff>
                  </from>
                  <to>
                    <xdr:col>15</xdr:col>
                    <xdr:colOff>295275</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5"/>
  <sheetViews>
    <sheetView showGridLines="0" topLeftCell="A9" zoomScaleNormal="100" workbookViewId="0">
      <selection activeCell="K28" sqref="K28"/>
    </sheetView>
  </sheetViews>
  <sheetFormatPr defaultColWidth="9.265625" defaultRowHeight="15" x14ac:dyDescent="0.4"/>
  <cols>
    <col min="1" max="1" width="9.265625" style="2" customWidth="1"/>
    <col min="2" max="2" width="14.59765625" style="2" bestFit="1" customWidth="1"/>
    <col min="3" max="9" width="9.265625" style="2"/>
    <col min="10" max="10" width="11.59765625" style="2" customWidth="1"/>
    <col min="11" max="16384" width="9.265625" style="2"/>
  </cols>
  <sheetData>
    <row r="1" spans="1:15" x14ac:dyDescent="0.4">
      <c r="A1" s="93" t="str">
        <f>+'Cover Page'!$B$29</f>
        <v>Annual Performance Report 2022</v>
      </c>
      <c r="B1" s="93"/>
      <c r="C1" s="93"/>
      <c r="D1" s="93"/>
      <c r="E1" s="93" t="str">
        <f>+'Cover Page'!$B$33</f>
        <v>EQUANS FM Ltd</v>
      </c>
      <c r="F1" s="93"/>
      <c r="G1" s="93"/>
      <c r="H1" s="93"/>
      <c r="I1" s="93"/>
      <c r="J1" s="93"/>
      <c r="K1" s="93"/>
      <c r="L1" s="93"/>
      <c r="M1" s="93"/>
      <c r="N1" s="93"/>
      <c r="O1" s="93"/>
    </row>
    <row r="3" spans="1:15" ht="15.4" x14ac:dyDescent="0.45">
      <c r="A3" s="53" t="s">
        <v>22</v>
      </c>
      <c r="B3" s="100"/>
      <c r="C3" s="100"/>
      <c r="D3" s="100"/>
      <c r="E3" s="100"/>
      <c r="F3" s="100"/>
      <c r="G3" s="100"/>
      <c r="H3" s="101"/>
      <c r="I3" s="93"/>
      <c r="J3" s="93"/>
      <c r="K3" s="75" t="s">
        <v>3</v>
      </c>
      <c r="L3" s="93"/>
      <c r="M3" s="93"/>
      <c r="N3" s="93"/>
      <c r="O3" s="93"/>
    </row>
    <row r="4" spans="1:15" ht="15.4" x14ac:dyDescent="0.45">
      <c r="A4" s="5" t="s">
        <v>23</v>
      </c>
      <c r="B4" s="206" t="s">
        <v>24</v>
      </c>
      <c r="C4" s="206"/>
      <c r="D4" s="206"/>
      <c r="E4" s="206"/>
      <c r="F4" s="206"/>
      <c r="G4" s="206"/>
      <c r="H4" s="6" t="s">
        <v>25</v>
      </c>
      <c r="I4" s="93"/>
      <c r="J4" s="93"/>
      <c r="K4" s="73" t="s">
        <v>26</v>
      </c>
      <c r="L4" s="93"/>
      <c r="M4" s="93"/>
      <c r="N4" s="93"/>
      <c r="O4" s="93"/>
    </row>
    <row r="5" spans="1:15" ht="15.6" customHeight="1" x14ac:dyDescent="0.4">
      <c r="A5" s="4"/>
      <c r="B5" s="205" t="s">
        <v>27</v>
      </c>
      <c r="C5" s="205"/>
      <c r="D5" s="205"/>
      <c r="E5" s="205"/>
      <c r="F5" s="205"/>
      <c r="G5" s="205"/>
      <c r="H5" s="4"/>
      <c r="I5" s="93"/>
      <c r="J5" s="93"/>
      <c r="K5" s="186" t="s">
        <v>28</v>
      </c>
      <c r="L5" s="186"/>
      <c r="M5" s="186"/>
      <c r="N5" s="186"/>
      <c r="O5" s="186"/>
    </row>
    <row r="6" spans="1:15" x14ac:dyDescent="0.4">
      <c r="A6" s="4"/>
      <c r="B6" s="205" t="s">
        <v>29</v>
      </c>
      <c r="C6" s="205"/>
      <c r="D6" s="205"/>
      <c r="E6" s="205"/>
      <c r="F6" s="205"/>
      <c r="G6" s="205"/>
      <c r="H6" s="4"/>
      <c r="I6" s="93"/>
      <c r="J6" s="93"/>
      <c r="K6" s="186"/>
      <c r="L6" s="186"/>
      <c r="M6" s="186"/>
      <c r="N6" s="186"/>
      <c r="O6" s="186"/>
    </row>
    <row r="7" spans="1:15" ht="15.75" customHeight="1" x14ac:dyDescent="0.4">
      <c r="A7" s="4"/>
      <c r="B7" s="205" t="s">
        <v>30</v>
      </c>
      <c r="C7" s="205"/>
      <c r="D7" s="205"/>
      <c r="E7" s="205"/>
      <c r="F7" s="205"/>
      <c r="G7" s="205"/>
      <c r="H7" s="4"/>
      <c r="I7" s="93"/>
      <c r="J7" s="93"/>
      <c r="K7" s="186"/>
      <c r="L7" s="186"/>
      <c r="M7" s="186"/>
      <c r="N7" s="186"/>
      <c r="O7" s="186"/>
    </row>
    <row r="8" spans="1:15" x14ac:dyDescent="0.4">
      <c r="A8" s="4"/>
      <c r="B8" s="205" t="s">
        <v>31</v>
      </c>
      <c r="C8" s="205"/>
      <c r="D8" s="205"/>
      <c r="E8" s="205"/>
      <c r="F8" s="205"/>
      <c r="G8" s="205"/>
      <c r="H8" s="4"/>
      <c r="I8" s="93"/>
      <c r="J8" s="93"/>
      <c r="K8" s="186"/>
      <c r="L8" s="186"/>
      <c r="M8" s="186"/>
      <c r="N8" s="186"/>
      <c r="O8" s="186"/>
    </row>
    <row r="9" spans="1:15" x14ac:dyDescent="0.4">
      <c r="A9" s="4"/>
      <c r="B9" s="205" t="s">
        <v>32</v>
      </c>
      <c r="C9" s="205"/>
      <c r="D9" s="205"/>
      <c r="E9" s="205"/>
      <c r="F9" s="205"/>
      <c r="G9" s="205"/>
      <c r="H9" s="4"/>
      <c r="I9" s="93"/>
      <c r="J9" s="93"/>
      <c r="K9" s="93"/>
      <c r="L9" s="93"/>
      <c r="M9" s="93"/>
      <c r="N9" s="93"/>
      <c r="O9" s="93"/>
    </row>
    <row r="10" spans="1:15" x14ac:dyDescent="0.4">
      <c r="A10" s="4"/>
      <c r="B10" s="205" t="s">
        <v>33</v>
      </c>
      <c r="C10" s="205"/>
      <c r="D10" s="205"/>
      <c r="E10" s="205"/>
      <c r="F10" s="205"/>
      <c r="G10" s="205"/>
      <c r="H10" s="4"/>
      <c r="I10" s="93"/>
      <c r="J10" s="93"/>
      <c r="K10" s="93"/>
      <c r="L10" s="93"/>
      <c r="M10" s="93"/>
      <c r="N10" s="93"/>
      <c r="O10" s="93"/>
    </row>
    <row r="11" spans="1:15" x14ac:dyDescent="0.4">
      <c r="A11" s="4"/>
      <c r="B11" s="205" t="s">
        <v>34</v>
      </c>
      <c r="C11" s="205"/>
      <c r="D11" s="205"/>
      <c r="E11" s="205"/>
      <c r="F11" s="205"/>
      <c r="G11" s="205"/>
      <c r="H11" s="4"/>
      <c r="I11" s="93"/>
      <c r="J11" s="93"/>
      <c r="K11" s="93"/>
      <c r="L11" s="93"/>
      <c r="M11" s="93"/>
      <c r="N11" s="93"/>
      <c r="O11" s="93"/>
    </row>
    <row r="12" spans="1:15" x14ac:dyDescent="0.4">
      <c r="A12" s="4"/>
      <c r="B12" s="205" t="s">
        <v>35</v>
      </c>
      <c r="C12" s="205"/>
      <c r="D12" s="205"/>
      <c r="E12" s="205"/>
      <c r="F12" s="205"/>
      <c r="G12" s="205"/>
      <c r="H12" s="4"/>
      <c r="I12" s="93"/>
      <c r="J12" s="93"/>
      <c r="K12" s="93"/>
      <c r="L12" s="93"/>
      <c r="M12" s="93"/>
      <c r="N12" s="93"/>
      <c r="O12" s="93"/>
    </row>
    <row r="13" spans="1:15" x14ac:dyDescent="0.4">
      <c r="A13" s="4"/>
      <c r="B13" s="205" t="s">
        <v>36</v>
      </c>
      <c r="C13" s="205"/>
      <c r="D13" s="205"/>
      <c r="E13" s="205"/>
      <c r="F13" s="205"/>
      <c r="G13" s="205"/>
      <c r="H13" s="4"/>
      <c r="I13" s="93"/>
      <c r="J13" s="93"/>
      <c r="K13" s="93"/>
      <c r="L13" s="93"/>
      <c r="M13" s="93"/>
      <c r="N13" s="93"/>
      <c r="O13" s="93"/>
    </row>
    <row r="14" spans="1:15" x14ac:dyDescent="0.4">
      <c r="A14" s="4"/>
      <c r="B14" s="205" t="s">
        <v>37</v>
      </c>
      <c r="C14" s="205"/>
      <c r="D14" s="205"/>
      <c r="E14" s="205"/>
      <c r="F14" s="205"/>
      <c r="G14" s="205"/>
      <c r="H14" s="4"/>
      <c r="I14" s="93"/>
      <c r="J14" s="93"/>
      <c r="K14" s="93"/>
      <c r="L14" s="93"/>
      <c r="M14" s="93"/>
      <c r="N14" s="93"/>
      <c r="O14" s="93"/>
    </row>
    <row r="15" spans="1:15" x14ac:dyDescent="0.4">
      <c r="A15" s="4"/>
      <c r="B15" s="205" t="s">
        <v>38</v>
      </c>
      <c r="C15" s="205"/>
      <c r="D15" s="205"/>
      <c r="E15" s="205"/>
      <c r="F15" s="205"/>
      <c r="G15" s="205"/>
      <c r="H15" s="4"/>
      <c r="I15" s="93"/>
      <c r="J15" s="93"/>
      <c r="K15" s="93"/>
      <c r="L15" s="93"/>
      <c r="M15" s="93"/>
      <c r="N15" s="93"/>
      <c r="O15" s="93"/>
    </row>
    <row r="16" spans="1:15" x14ac:dyDescent="0.4">
      <c r="A16" s="4"/>
      <c r="B16" s="205" t="s">
        <v>39</v>
      </c>
      <c r="C16" s="205"/>
      <c r="D16" s="205"/>
      <c r="E16" s="205"/>
      <c r="F16" s="205"/>
      <c r="G16" s="205"/>
      <c r="H16" s="4"/>
      <c r="I16" s="93"/>
      <c r="J16" s="93"/>
      <c r="K16" s="93"/>
      <c r="L16" s="93"/>
      <c r="M16" s="93"/>
      <c r="N16" s="93"/>
      <c r="O16" s="93"/>
    </row>
    <row r="17" spans="1:8" x14ac:dyDescent="0.4">
      <c r="A17" s="4"/>
      <c r="B17" s="205" t="s">
        <v>40</v>
      </c>
      <c r="C17" s="205"/>
      <c r="D17" s="205"/>
      <c r="E17" s="205"/>
      <c r="F17" s="205"/>
      <c r="G17" s="205"/>
      <c r="H17" s="4"/>
    </row>
    <row r="18" spans="1:8" x14ac:dyDescent="0.4">
      <c r="A18" s="4"/>
      <c r="B18" s="205" t="s">
        <v>41</v>
      </c>
      <c r="C18" s="205"/>
      <c r="D18" s="205"/>
      <c r="E18" s="205"/>
      <c r="F18" s="205"/>
      <c r="G18" s="205"/>
      <c r="H18" s="4"/>
    </row>
    <row r="19" spans="1:8" x14ac:dyDescent="0.4">
      <c r="A19" s="4"/>
      <c r="B19" s="205" t="s">
        <v>42</v>
      </c>
      <c r="C19" s="205"/>
      <c r="D19" s="205"/>
      <c r="E19" s="205"/>
      <c r="F19" s="205"/>
      <c r="G19" s="205"/>
      <c r="H19" s="4"/>
    </row>
    <row r="20" spans="1:8" x14ac:dyDescent="0.4">
      <c r="A20" s="4"/>
      <c r="B20" s="205" t="s">
        <v>43</v>
      </c>
      <c r="C20" s="205"/>
      <c r="D20" s="205"/>
      <c r="E20" s="205"/>
      <c r="F20" s="205"/>
      <c r="G20" s="205"/>
      <c r="H20" s="4"/>
    </row>
    <row r="21" spans="1:8" x14ac:dyDescent="0.4">
      <c r="A21" s="4"/>
      <c r="B21" s="205" t="s">
        <v>44</v>
      </c>
      <c r="C21" s="205"/>
      <c r="D21" s="205"/>
      <c r="E21" s="205"/>
      <c r="F21" s="205"/>
      <c r="G21" s="205"/>
      <c r="H21" s="4"/>
    </row>
    <row r="22" spans="1:8" x14ac:dyDescent="0.4">
      <c r="A22" s="4"/>
      <c r="B22" s="198" t="s">
        <v>45</v>
      </c>
      <c r="C22" s="199"/>
      <c r="D22" s="199"/>
      <c r="E22" s="199"/>
      <c r="F22" s="199"/>
      <c r="G22" s="200"/>
      <c r="H22" s="4"/>
    </row>
    <row r="23" spans="1:8" x14ac:dyDescent="0.4">
      <c r="A23" s="4"/>
      <c r="B23" s="198" t="s">
        <v>46</v>
      </c>
      <c r="C23" s="199"/>
      <c r="D23" s="199"/>
      <c r="E23" s="199"/>
      <c r="F23" s="199"/>
      <c r="G23" s="200"/>
      <c r="H23" s="4"/>
    </row>
    <row r="24" spans="1:8" x14ac:dyDescent="0.4">
      <c r="A24" s="4"/>
      <c r="B24" s="201"/>
      <c r="C24" s="201"/>
      <c r="D24" s="201"/>
      <c r="E24" s="201"/>
      <c r="F24" s="201"/>
      <c r="G24" s="201"/>
      <c r="H24" s="4"/>
    </row>
    <row r="26" spans="1:8" x14ac:dyDescent="0.4">
      <c r="A26" s="52" t="s">
        <v>47</v>
      </c>
      <c r="B26" s="100"/>
      <c r="C26" s="100"/>
      <c r="D26" s="100"/>
      <c r="E26" s="100"/>
      <c r="F26" s="100"/>
      <c r="G26" s="100"/>
      <c r="H26" s="101"/>
    </row>
    <row r="27" spans="1:8" x14ac:dyDescent="0.4">
      <c r="A27" s="10" t="s">
        <v>23</v>
      </c>
      <c r="B27" s="202" t="s">
        <v>48</v>
      </c>
      <c r="C27" s="202"/>
      <c r="D27" s="202"/>
      <c r="E27" s="202"/>
      <c r="F27" s="202"/>
      <c r="G27" s="202"/>
      <c r="H27" s="11" t="s">
        <v>49</v>
      </c>
    </row>
    <row r="28" spans="1:8" x14ac:dyDescent="0.4">
      <c r="A28" s="102"/>
      <c r="B28" s="203"/>
      <c r="C28" s="203"/>
      <c r="D28" s="203"/>
      <c r="E28" s="203"/>
      <c r="F28" s="203"/>
      <c r="G28" s="203"/>
      <c r="H28" s="102"/>
    </row>
    <row r="29" spans="1:8" x14ac:dyDescent="0.4">
      <c r="A29" s="102"/>
      <c r="B29" s="203"/>
      <c r="C29" s="203"/>
      <c r="D29" s="203"/>
      <c r="E29" s="203"/>
      <c r="F29" s="203"/>
      <c r="G29" s="203"/>
      <c r="H29" s="102"/>
    </row>
    <row r="30" spans="1:8" x14ac:dyDescent="0.4">
      <c r="A30" s="102"/>
      <c r="B30" s="203"/>
      <c r="C30" s="203"/>
      <c r="D30" s="203"/>
      <c r="E30" s="203"/>
      <c r="F30" s="203"/>
      <c r="G30" s="203"/>
      <c r="H30" s="102"/>
    </row>
    <row r="31" spans="1:8" x14ac:dyDescent="0.4">
      <c r="A31" s="102"/>
      <c r="B31" s="203"/>
      <c r="C31" s="203"/>
      <c r="D31" s="203"/>
      <c r="E31" s="203"/>
      <c r="F31" s="203"/>
      <c r="G31" s="203"/>
      <c r="H31" s="102"/>
    </row>
    <row r="32" spans="1:8" x14ac:dyDescent="0.4">
      <c r="A32" s="102"/>
      <c r="B32" s="203"/>
      <c r="C32" s="203"/>
      <c r="D32" s="203"/>
      <c r="E32" s="203"/>
      <c r="F32" s="203"/>
      <c r="G32" s="203"/>
      <c r="H32" s="102"/>
    </row>
    <row r="34" spans="1:10" ht="14.25" customHeight="1" x14ac:dyDescent="0.4">
      <c r="A34" s="52" t="s">
        <v>50</v>
      </c>
      <c r="B34" s="100"/>
      <c r="C34" s="100"/>
      <c r="D34" s="100"/>
      <c r="E34" s="100"/>
      <c r="F34" s="100"/>
      <c r="G34" s="100"/>
      <c r="H34" s="101"/>
      <c r="I34" s="93"/>
      <c r="J34" s="93"/>
    </row>
    <row r="35" spans="1:10" x14ac:dyDescent="0.4">
      <c r="A35" s="13" t="s">
        <v>51</v>
      </c>
      <c r="B35" s="204" t="s">
        <v>52</v>
      </c>
      <c r="C35" s="204"/>
      <c r="D35" s="204"/>
      <c r="E35" s="204"/>
      <c r="F35" s="204"/>
      <c r="G35" s="204"/>
      <c r="H35" s="14" t="s">
        <v>53</v>
      </c>
      <c r="I35" s="93"/>
      <c r="J35" s="93"/>
    </row>
    <row r="36" spans="1:10" x14ac:dyDescent="0.4">
      <c r="A36" s="104"/>
      <c r="B36" s="197"/>
      <c r="C36" s="197"/>
      <c r="D36" s="197"/>
      <c r="E36" s="197"/>
      <c r="F36" s="197"/>
      <c r="G36" s="197"/>
      <c r="H36" s="104"/>
      <c r="I36" s="93"/>
      <c r="J36" s="93"/>
    </row>
    <row r="37" spans="1:10" x14ac:dyDescent="0.4">
      <c r="A37" s="104"/>
      <c r="B37" s="197"/>
      <c r="C37" s="197"/>
      <c r="D37" s="197"/>
      <c r="E37" s="197"/>
      <c r="F37" s="197"/>
      <c r="G37" s="197"/>
      <c r="H37" s="104"/>
      <c r="I37" s="93"/>
      <c r="J37" s="93"/>
    </row>
    <row r="38" spans="1:10" x14ac:dyDescent="0.4">
      <c r="A38" s="104"/>
      <c r="B38" s="197"/>
      <c r="C38" s="197"/>
      <c r="D38" s="197"/>
      <c r="E38" s="197"/>
      <c r="F38" s="197"/>
      <c r="G38" s="197"/>
      <c r="H38" s="104"/>
      <c r="I38" s="93"/>
      <c r="J38" s="93"/>
    </row>
    <row r="39" spans="1:10" x14ac:dyDescent="0.4">
      <c r="A39" s="104"/>
      <c r="B39" s="197"/>
      <c r="C39" s="197"/>
      <c r="D39" s="197"/>
      <c r="E39" s="197"/>
      <c r="F39" s="197"/>
      <c r="G39" s="197"/>
      <c r="H39" s="104"/>
      <c r="I39" s="93"/>
      <c r="J39" s="93"/>
    </row>
    <row r="40" spans="1:10" x14ac:dyDescent="0.4">
      <c r="A40" s="104"/>
      <c r="B40" s="197"/>
      <c r="C40" s="197"/>
      <c r="D40" s="197"/>
      <c r="E40" s="197"/>
      <c r="F40" s="197"/>
      <c r="G40" s="197"/>
      <c r="H40" s="104"/>
      <c r="I40" s="93"/>
      <c r="J40" s="93"/>
    </row>
    <row r="41" spans="1:10" x14ac:dyDescent="0.4">
      <c r="A41" s="104"/>
      <c r="B41" s="197"/>
      <c r="C41" s="197"/>
      <c r="D41" s="197"/>
      <c r="E41" s="197"/>
      <c r="F41" s="197"/>
      <c r="G41" s="197"/>
      <c r="H41" s="104"/>
      <c r="I41" s="93"/>
      <c r="J41" s="93"/>
    </row>
    <row r="42" spans="1:10" x14ac:dyDescent="0.4">
      <c r="A42" s="104"/>
      <c r="B42" s="197"/>
      <c r="C42" s="197"/>
      <c r="D42" s="197"/>
      <c r="E42" s="197"/>
      <c r="F42" s="197"/>
      <c r="G42" s="197"/>
      <c r="H42" s="104"/>
      <c r="I42" s="93"/>
      <c r="J42" s="93"/>
    </row>
    <row r="44" spans="1:10" x14ac:dyDescent="0.4">
      <c r="A44" s="188" t="s">
        <v>54</v>
      </c>
      <c r="B44" s="189"/>
      <c r="C44" s="189"/>
      <c r="D44" s="189"/>
      <c r="E44" s="189"/>
      <c r="F44" s="189"/>
      <c r="G44" s="189"/>
      <c r="H44" s="189"/>
      <c r="I44" s="189"/>
      <c r="J44" s="190"/>
    </row>
    <row r="45" spans="1:10" x14ac:dyDescent="0.4">
      <c r="A45" s="191"/>
      <c r="B45" s="192"/>
      <c r="C45" s="192"/>
      <c r="D45" s="192"/>
      <c r="E45" s="192"/>
      <c r="F45" s="192"/>
      <c r="G45" s="192"/>
      <c r="H45" s="192"/>
      <c r="I45" s="192"/>
      <c r="J45" s="193"/>
    </row>
    <row r="46" spans="1:10" x14ac:dyDescent="0.4">
      <c r="A46" s="191"/>
      <c r="B46" s="192"/>
      <c r="C46" s="192"/>
      <c r="D46" s="192"/>
      <c r="E46" s="192"/>
      <c r="F46" s="192"/>
      <c r="G46" s="192"/>
      <c r="H46" s="192"/>
      <c r="I46" s="192"/>
      <c r="J46" s="193"/>
    </row>
    <row r="47" spans="1:10" x14ac:dyDescent="0.4">
      <c r="A47" s="194"/>
      <c r="B47" s="195"/>
      <c r="C47" s="195"/>
      <c r="D47" s="195"/>
      <c r="E47" s="195"/>
      <c r="F47" s="195"/>
      <c r="G47" s="195"/>
      <c r="H47" s="195"/>
      <c r="I47" s="195"/>
      <c r="J47" s="196"/>
    </row>
    <row r="65" spans="6:6" x14ac:dyDescent="0.4">
      <c r="F65" s="3"/>
    </row>
  </sheetData>
  <mergeCells count="37">
    <mergeCell ref="K5:O8"/>
    <mergeCell ref="B9:G9"/>
    <mergeCell ref="B4:G4"/>
    <mergeCell ref="B5:G5"/>
    <mergeCell ref="B6:G6"/>
    <mergeCell ref="B7:G7"/>
    <mergeCell ref="B8:G8"/>
    <mergeCell ref="B21:G21"/>
    <mergeCell ref="B10:G10"/>
    <mergeCell ref="B11:G11"/>
    <mergeCell ref="B12:G12"/>
    <mergeCell ref="B13:G13"/>
    <mergeCell ref="B14:G14"/>
    <mergeCell ref="B15:G15"/>
    <mergeCell ref="B16:G16"/>
    <mergeCell ref="B17:G17"/>
    <mergeCell ref="B18:G18"/>
    <mergeCell ref="B19:G19"/>
    <mergeCell ref="B20:G20"/>
    <mergeCell ref="B36:G36"/>
    <mergeCell ref="B22:G22"/>
    <mergeCell ref="B23:G23"/>
    <mergeCell ref="B24:G24"/>
    <mergeCell ref="B27:G27"/>
    <mergeCell ref="B28:G28"/>
    <mergeCell ref="B29:G29"/>
    <mergeCell ref="B30:G30"/>
    <mergeCell ref="B31:G31"/>
    <mergeCell ref="B32:G32"/>
    <mergeCell ref="B35:G35"/>
    <mergeCell ref="A44:J47"/>
    <mergeCell ref="B37:G37"/>
    <mergeCell ref="B38:G38"/>
    <mergeCell ref="B39:G39"/>
    <mergeCell ref="B40:G40"/>
    <mergeCell ref="B41:G41"/>
    <mergeCell ref="B42:G42"/>
  </mergeCells>
  <pageMargins left="1.0899999999999999" right="0.7" top="0.75" bottom="0.75" header="0.3" footer="0.3"/>
  <pageSetup scale="80" orientation="portrait"/>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showGridLines="0" zoomScaleNormal="100" workbookViewId="0">
      <selection activeCell="A22" sqref="A22:I54"/>
    </sheetView>
  </sheetViews>
  <sheetFormatPr defaultColWidth="9.265625" defaultRowHeight="15" x14ac:dyDescent="0.4"/>
  <cols>
    <col min="1" max="1" width="9.265625" style="2" customWidth="1"/>
    <col min="2" max="2" width="14.59765625" style="2" bestFit="1" customWidth="1"/>
    <col min="3" max="9" width="9.265625" style="2"/>
    <col min="10" max="10" width="11.59765625" style="2" customWidth="1"/>
    <col min="11" max="16384" width="9.265625" style="2"/>
  </cols>
  <sheetData>
    <row r="1" spans="1:14" x14ac:dyDescent="0.4">
      <c r="A1" s="93" t="str">
        <f>+'Cover Page'!$B$29</f>
        <v>Annual Performance Report 2022</v>
      </c>
      <c r="B1" s="93"/>
      <c r="C1" s="93"/>
      <c r="D1" s="93"/>
      <c r="E1" s="93" t="str">
        <f>+'Cover Page'!$B$33</f>
        <v>EQUANS FM Ltd</v>
      </c>
      <c r="F1" s="93"/>
      <c r="G1" s="93"/>
      <c r="H1" s="93"/>
      <c r="I1" s="93"/>
      <c r="J1" s="93"/>
      <c r="K1" s="93"/>
      <c r="L1" s="93"/>
      <c r="M1" s="93"/>
      <c r="N1" s="93"/>
    </row>
    <row r="3" spans="1:14" x14ac:dyDescent="0.4">
      <c r="A3" s="51" t="s">
        <v>55</v>
      </c>
      <c r="B3" s="105"/>
      <c r="C3" s="105"/>
      <c r="D3" s="105"/>
      <c r="E3" s="105"/>
      <c r="F3" s="105"/>
      <c r="G3" s="105"/>
      <c r="H3" s="105"/>
      <c r="I3" s="106"/>
      <c r="J3" s="93"/>
      <c r="K3" s="81" t="s">
        <v>3</v>
      </c>
      <c r="L3" s="93"/>
      <c r="M3" s="93"/>
      <c r="N3" s="93"/>
    </row>
    <row r="4" spans="1:14" x14ac:dyDescent="0.4">
      <c r="A4" s="107"/>
      <c r="B4" s="108"/>
      <c r="C4" s="108"/>
      <c r="D4" s="108"/>
      <c r="E4" s="108"/>
      <c r="F4" s="108"/>
      <c r="G4" s="108"/>
      <c r="H4" s="108"/>
      <c r="I4" s="109"/>
      <c r="J4" s="93"/>
      <c r="K4" s="93"/>
      <c r="L4" s="93"/>
      <c r="M4" s="93"/>
      <c r="N4" s="93"/>
    </row>
    <row r="5" spans="1:14" ht="15.75" customHeight="1" x14ac:dyDescent="0.4">
      <c r="A5" s="207" t="s">
        <v>56</v>
      </c>
      <c r="B5" s="208"/>
      <c r="C5" s="208"/>
      <c r="D5" s="208"/>
      <c r="E5" s="208"/>
      <c r="F5" s="208"/>
      <c r="G5" s="208"/>
      <c r="H5" s="208"/>
      <c r="I5" s="209"/>
      <c r="J5" s="93"/>
      <c r="K5" s="224" t="s">
        <v>57</v>
      </c>
      <c r="L5" s="224"/>
      <c r="M5" s="224"/>
      <c r="N5" s="224"/>
    </row>
    <row r="6" spans="1:14" x14ac:dyDescent="0.4">
      <c r="A6" s="210"/>
      <c r="B6" s="211"/>
      <c r="C6" s="211"/>
      <c r="D6" s="211"/>
      <c r="E6" s="211"/>
      <c r="F6" s="211"/>
      <c r="G6" s="211"/>
      <c r="H6" s="211"/>
      <c r="I6" s="212"/>
      <c r="J6" s="93"/>
      <c r="K6" s="224"/>
      <c r="L6" s="224"/>
      <c r="M6" s="224"/>
      <c r="N6" s="224"/>
    </row>
    <row r="7" spans="1:14" x14ac:dyDescent="0.4">
      <c r="A7" s="210"/>
      <c r="B7" s="211"/>
      <c r="C7" s="211"/>
      <c r="D7" s="211"/>
      <c r="E7" s="211"/>
      <c r="F7" s="211"/>
      <c r="G7" s="211"/>
      <c r="H7" s="211"/>
      <c r="I7" s="212"/>
      <c r="J7" s="93"/>
      <c r="K7" s="224"/>
      <c r="L7" s="224"/>
      <c r="M7" s="224"/>
      <c r="N7" s="224"/>
    </row>
    <row r="8" spans="1:14" ht="15.75" customHeight="1" x14ac:dyDescent="0.4">
      <c r="A8" s="210"/>
      <c r="B8" s="211"/>
      <c r="C8" s="211"/>
      <c r="D8" s="211"/>
      <c r="E8" s="211"/>
      <c r="F8" s="211"/>
      <c r="G8" s="211"/>
      <c r="H8" s="211"/>
      <c r="I8" s="212"/>
      <c r="J8" s="93"/>
      <c r="K8" s="224"/>
      <c r="L8" s="224"/>
      <c r="M8" s="224"/>
      <c r="N8" s="224"/>
    </row>
    <row r="9" spans="1:14" x14ac:dyDescent="0.4">
      <c r="A9" s="210"/>
      <c r="B9" s="211"/>
      <c r="C9" s="211"/>
      <c r="D9" s="211"/>
      <c r="E9" s="211"/>
      <c r="F9" s="211"/>
      <c r="G9" s="211"/>
      <c r="H9" s="211"/>
      <c r="I9" s="212"/>
      <c r="J9" s="93"/>
      <c r="K9" s="224"/>
      <c r="L9" s="224"/>
      <c r="M9" s="224"/>
      <c r="N9" s="224"/>
    </row>
    <row r="10" spans="1:14" x14ac:dyDescent="0.4">
      <c r="A10" s="210"/>
      <c r="B10" s="211"/>
      <c r="C10" s="211"/>
      <c r="D10" s="211"/>
      <c r="E10" s="211"/>
      <c r="F10" s="211"/>
      <c r="G10" s="211"/>
      <c r="H10" s="211"/>
      <c r="I10" s="212"/>
      <c r="J10" s="93"/>
      <c r="K10" s="224"/>
      <c r="L10" s="224"/>
      <c r="M10" s="224"/>
      <c r="N10" s="224"/>
    </row>
    <row r="11" spans="1:14" x14ac:dyDescent="0.4">
      <c r="A11" s="210"/>
      <c r="B11" s="211"/>
      <c r="C11" s="211"/>
      <c r="D11" s="211"/>
      <c r="E11" s="211"/>
      <c r="F11" s="211"/>
      <c r="G11" s="211"/>
      <c r="H11" s="211"/>
      <c r="I11" s="212"/>
      <c r="J11" s="93"/>
      <c r="K11" s="224"/>
      <c r="L11" s="224"/>
      <c r="M11" s="224"/>
      <c r="N11" s="224"/>
    </row>
    <row r="12" spans="1:14" x14ac:dyDescent="0.4">
      <c r="A12" s="210"/>
      <c r="B12" s="211"/>
      <c r="C12" s="211"/>
      <c r="D12" s="211"/>
      <c r="E12" s="211"/>
      <c r="F12" s="211"/>
      <c r="G12" s="211"/>
      <c r="H12" s="211"/>
      <c r="I12" s="212"/>
      <c r="J12" s="93"/>
      <c r="K12" s="224"/>
      <c r="L12" s="224"/>
      <c r="M12" s="224"/>
      <c r="N12" s="224"/>
    </row>
    <row r="13" spans="1:14" x14ac:dyDescent="0.4">
      <c r="A13" s="210"/>
      <c r="B13" s="211"/>
      <c r="C13" s="211"/>
      <c r="D13" s="211"/>
      <c r="E13" s="211"/>
      <c r="F13" s="211"/>
      <c r="G13" s="211"/>
      <c r="H13" s="211"/>
      <c r="I13" s="212"/>
      <c r="J13" s="93"/>
      <c r="K13" s="224"/>
      <c r="L13" s="224"/>
      <c r="M13" s="224"/>
      <c r="N13" s="224"/>
    </row>
    <row r="14" spans="1:14" x14ac:dyDescent="0.4">
      <c r="A14" s="210"/>
      <c r="B14" s="211"/>
      <c r="C14" s="211"/>
      <c r="D14" s="211"/>
      <c r="E14" s="211"/>
      <c r="F14" s="211"/>
      <c r="G14" s="211"/>
      <c r="H14" s="211"/>
      <c r="I14" s="212"/>
      <c r="J14" s="93"/>
      <c r="K14" s="224"/>
      <c r="L14" s="224"/>
      <c r="M14" s="224"/>
      <c r="N14" s="224"/>
    </row>
    <row r="15" spans="1:14" x14ac:dyDescent="0.4">
      <c r="A15" s="210"/>
      <c r="B15" s="211"/>
      <c r="C15" s="211"/>
      <c r="D15" s="211"/>
      <c r="E15" s="211"/>
      <c r="F15" s="211"/>
      <c r="G15" s="211"/>
      <c r="H15" s="211"/>
      <c r="I15" s="212"/>
      <c r="J15" s="93"/>
      <c r="K15" s="93"/>
      <c r="L15" s="93"/>
      <c r="M15" s="93"/>
      <c r="N15" s="93"/>
    </row>
    <row r="16" spans="1:14" x14ac:dyDescent="0.4">
      <c r="A16" s="210"/>
      <c r="B16" s="211"/>
      <c r="C16" s="211"/>
      <c r="D16" s="211"/>
      <c r="E16" s="211"/>
      <c r="F16" s="211"/>
      <c r="G16" s="211"/>
      <c r="H16" s="211"/>
      <c r="I16" s="212"/>
      <c r="J16" s="93"/>
      <c r="K16" s="93"/>
      <c r="L16" s="93"/>
      <c r="M16" s="93"/>
      <c r="N16" s="93"/>
    </row>
    <row r="17" spans="1:14" x14ac:dyDescent="0.4">
      <c r="A17" s="210"/>
      <c r="B17" s="211"/>
      <c r="C17" s="211"/>
      <c r="D17" s="211"/>
      <c r="E17" s="211"/>
      <c r="F17" s="211"/>
      <c r="G17" s="211"/>
      <c r="H17" s="211"/>
      <c r="I17" s="212"/>
      <c r="J17" s="93"/>
      <c r="K17" s="93"/>
      <c r="L17" s="93"/>
      <c r="M17" s="93"/>
      <c r="N17" s="93"/>
    </row>
    <row r="18" spans="1:14" x14ac:dyDescent="0.4">
      <c r="A18" s="213"/>
      <c r="B18" s="214"/>
      <c r="C18" s="214"/>
      <c r="D18" s="214"/>
      <c r="E18" s="214"/>
      <c r="F18" s="214"/>
      <c r="G18" s="214"/>
      <c r="H18" s="214"/>
      <c r="I18" s="215"/>
      <c r="J18" s="93"/>
      <c r="K18" s="93"/>
      <c r="L18" s="93"/>
      <c r="M18" s="93"/>
      <c r="N18" s="93"/>
    </row>
    <row r="20" spans="1:14" x14ac:dyDescent="0.4">
      <c r="A20" s="51" t="s">
        <v>58</v>
      </c>
      <c r="B20" s="105"/>
      <c r="C20" s="105"/>
      <c r="D20" s="105"/>
      <c r="E20" s="105"/>
      <c r="F20" s="105"/>
      <c r="G20" s="105"/>
      <c r="H20" s="105"/>
      <c r="I20" s="106"/>
      <c r="J20" s="93"/>
      <c r="K20" s="93"/>
      <c r="L20" s="93"/>
      <c r="M20" s="93"/>
      <c r="N20" s="93"/>
    </row>
    <row r="21" spans="1:14" x14ac:dyDescent="0.4">
      <c r="A21" s="107"/>
      <c r="B21" s="108"/>
      <c r="C21" s="108"/>
      <c r="D21" s="108"/>
      <c r="E21" s="108"/>
      <c r="F21" s="108"/>
      <c r="G21" s="108"/>
      <c r="H21" s="108"/>
      <c r="I21" s="109"/>
      <c r="J21" s="93"/>
      <c r="K21" s="93"/>
      <c r="L21" s="93"/>
      <c r="M21" s="93"/>
      <c r="N21" s="93"/>
    </row>
    <row r="22" spans="1:14" x14ac:dyDescent="0.4">
      <c r="A22" s="207" t="s">
        <v>59</v>
      </c>
      <c r="B22" s="216"/>
      <c r="C22" s="216"/>
      <c r="D22" s="216"/>
      <c r="E22" s="216"/>
      <c r="F22" s="216"/>
      <c r="G22" s="216"/>
      <c r="H22" s="216"/>
      <c r="I22" s="217"/>
      <c r="J22" s="93"/>
      <c r="K22" s="224" t="s">
        <v>60</v>
      </c>
      <c r="L22" s="224"/>
      <c r="M22" s="224"/>
      <c r="N22" s="224"/>
    </row>
    <row r="23" spans="1:14" x14ac:dyDescent="0.4">
      <c r="A23" s="218"/>
      <c r="B23" s="219"/>
      <c r="C23" s="219"/>
      <c r="D23" s="219"/>
      <c r="E23" s="219"/>
      <c r="F23" s="219"/>
      <c r="G23" s="219"/>
      <c r="H23" s="219"/>
      <c r="I23" s="220"/>
      <c r="J23" s="93"/>
      <c r="K23" s="224"/>
      <c r="L23" s="224"/>
      <c r="M23" s="224"/>
      <c r="N23" s="224"/>
    </row>
    <row r="24" spans="1:14" x14ac:dyDescent="0.4">
      <c r="A24" s="218"/>
      <c r="B24" s="219"/>
      <c r="C24" s="219"/>
      <c r="D24" s="219"/>
      <c r="E24" s="219"/>
      <c r="F24" s="219"/>
      <c r="G24" s="219"/>
      <c r="H24" s="219"/>
      <c r="I24" s="220"/>
      <c r="J24" s="93"/>
      <c r="K24" s="224"/>
      <c r="L24" s="224"/>
      <c r="M24" s="224"/>
      <c r="N24" s="224"/>
    </row>
    <row r="25" spans="1:14" x14ac:dyDescent="0.4">
      <c r="A25" s="218"/>
      <c r="B25" s="219"/>
      <c r="C25" s="219"/>
      <c r="D25" s="219"/>
      <c r="E25" s="219"/>
      <c r="F25" s="219"/>
      <c r="G25" s="219"/>
      <c r="H25" s="219"/>
      <c r="I25" s="220"/>
      <c r="J25" s="93"/>
      <c r="K25" s="224"/>
      <c r="L25" s="224"/>
      <c r="M25" s="224"/>
      <c r="N25" s="224"/>
    </row>
    <row r="26" spans="1:14" x14ac:dyDescent="0.4">
      <c r="A26" s="218"/>
      <c r="B26" s="219"/>
      <c r="C26" s="219"/>
      <c r="D26" s="219"/>
      <c r="E26" s="219"/>
      <c r="F26" s="219"/>
      <c r="G26" s="219"/>
      <c r="H26" s="219"/>
      <c r="I26" s="220"/>
      <c r="J26" s="93"/>
      <c r="K26" s="224"/>
      <c r="L26" s="224"/>
      <c r="M26" s="224"/>
      <c r="N26" s="224"/>
    </row>
    <row r="27" spans="1:14" x14ac:dyDescent="0.4">
      <c r="A27" s="218"/>
      <c r="B27" s="219"/>
      <c r="C27" s="219"/>
      <c r="D27" s="219"/>
      <c r="E27" s="219"/>
      <c r="F27" s="219"/>
      <c r="G27" s="219"/>
      <c r="H27" s="219"/>
      <c r="I27" s="220"/>
      <c r="J27" s="93"/>
      <c r="K27" s="224"/>
      <c r="L27" s="224"/>
      <c r="M27" s="224"/>
      <c r="N27" s="224"/>
    </row>
    <row r="28" spans="1:14" x14ac:dyDescent="0.4">
      <c r="A28" s="218"/>
      <c r="B28" s="219"/>
      <c r="C28" s="219"/>
      <c r="D28" s="219"/>
      <c r="E28" s="219"/>
      <c r="F28" s="219"/>
      <c r="G28" s="219"/>
      <c r="H28" s="219"/>
      <c r="I28" s="220"/>
      <c r="J28" s="93"/>
      <c r="K28" s="224"/>
      <c r="L28" s="224"/>
      <c r="M28" s="224"/>
      <c r="N28" s="224"/>
    </row>
    <row r="29" spans="1:14" x14ac:dyDescent="0.4">
      <c r="A29" s="218"/>
      <c r="B29" s="219"/>
      <c r="C29" s="219"/>
      <c r="D29" s="219"/>
      <c r="E29" s="219"/>
      <c r="F29" s="219"/>
      <c r="G29" s="219"/>
      <c r="H29" s="219"/>
      <c r="I29" s="220"/>
      <c r="J29" s="93"/>
      <c r="K29" s="224"/>
      <c r="L29" s="224"/>
      <c r="M29" s="224"/>
      <c r="N29" s="224"/>
    </row>
    <row r="30" spans="1:14" x14ac:dyDescent="0.4">
      <c r="A30" s="218"/>
      <c r="B30" s="219"/>
      <c r="C30" s="219"/>
      <c r="D30" s="219"/>
      <c r="E30" s="219"/>
      <c r="F30" s="219"/>
      <c r="G30" s="219"/>
      <c r="H30" s="219"/>
      <c r="I30" s="220"/>
      <c r="J30" s="93"/>
      <c r="K30" s="224"/>
      <c r="L30" s="224"/>
      <c r="M30" s="224"/>
      <c r="N30" s="224"/>
    </row>
    <row r="31" spans="1:14" x14ac:dyDescent="0.4">
      <c r="A31" s="218"/>
      <c r="B31" s="219"/>
      <c r="C31" s="219"/>
      <c r="D31" s="219"/>
      <c r="E31" s="219"/>
      <c r="F31" s="219"/>
      <c r="G31" s="219"/>
      <c r="H31" s="219"/>
      <c r="I31" s="220"/>
      <c r="J31" s="93"/>
      <c r="K31" s="224"/>
      <c r="L31" s="224"/>
      <c r="M31" s="224"/>
      <c r="N31" s="224"/>
    </row>
    <row r="32" spans="1:14" x14ac:dyDescent="0.4">
      <c r="A32" s="218"/>
      <c r="B32" s="219"/>
      <c r="C32" s="219"/>
      <c r="D32" s="219"/>
      <c r="E32" s="219"/>
      <c r="F32" s="219"/>
      <c r="G32" s="219"/>
      <c r="H32" s="219"/>
      <c r="I32" s="220"/>
      <c r="J32" s="93"/>
      <c r="K32" s="93"/>
      <c r="L32" s="93"/>
      <c r="M32" s="93"/>
      <c r="N32" s="93"/>
    </row>
    <row r="33" spans="1:9" x14ac:dyDescent="0.4">
      <c r="A33" s="218"/>
      <c r="B33" s="219"/>
      <c r="C33" s="219"/>
      <c r="D33" s="219"/>
      <c r="E33" s="219"/>
      <c r="F33" s="219"/>
      <c r="G33" s="219"/>
      <c r="H33" s="219"/>
      <c r="I33" s="220"/>
    </row>
    <row r="34" spans="1:9" x14ac:dyDescent="0.4">
      <c r="A34" s="218"/>
      <c r="B34" s="219"/>
      <c r="C34" s="219"/>
      <c r="D34" s="219"/>
      <c r="E34" s="219"/>
      <c r="F34" s="219"/>
      <c r="G34" s="219"/>
      <c r="H34" s="219"/>
      <c r="I34" s="220"/>
    </row>
    <row r="35" spans="1:9" x14ac:dyDescent="0.4">
      <c r="A35" s="218"/>
      <c r="B35" s="219"/>
      <c r="C35" s="219"/>
      <c r="D35" s="219"/>
      <c r="E35" s="219"/>
      <c r="F35" s="219"/>
      <c r="G35" s="219"/>
      <c r="H35" s="219"/>
      <c r="I35" s="220"/>
    </row>
    <row r="36" spans="1:9" x14ac:dyDescent="0.4">
      <c r="A36" s="218"/>
      <c r="B36" s="219"/>
      <c r="C36" s="219"/>
      <c r="D36" s="219"/>
      <c r="E36" s="219"/>
      <c r="F36" s="219"/>
      <c r="G36" s="219"/>
      <c r="H36" s="219"/>
      <c r="I36" s="220"/>
    </row>
    <row r="37" spans="1:9" x14ac:dyDescent="0.4">
      <c r="A37" s="218"/>
      <c r="B37" s="219"/>
      <c r="C37" s="219"/>
      <c r="D37" s="219"/>
      <c r="E37" s="219"/>
      <c r="F37" s="219"/>
      <c r="G37" s="219"/>
      <c r="H37" s="219"/>
      <c r="I37" s="220"/>
    </row>
    <row r="38" spans="1:9" x14ac:dyDescent="0.4">
      <c r="A38" s="218"/>
      <c r="B38" s="219"/>
      <c r="C38" s="219"/>
      <c r="D38" s="219"/>
      <c r="E38" s="219"/>
      <c r="F38" s="219"/>
      <c r="G38" s="219"/>
      <c r="H38" s="219"/>
      <c r="I38" s="220"/>
    </row>
    <row r="39" spans="1:9" x14ac:dyDescent="0.4">
      <c r="A39" s="218"/>
      <c r="B39" s="219"/>
      <c r="C39" s="219"/>
      <c r="D39" s="219"/>
      <c r="E39" s="219"/>
      <c r="F39" s="219"/>
      <c r="G39" s="219"/>
      <c r="H39" s="219"/>
      <c r="I39" s="220"/>
    </row>
    <row r="40" spans="1:9" ht="14.25" customHeight="1" x14ac:dyDescent="0.4">
      <c r="A40" s="218"/>
      <c r="B40" s="219"/>
      <c r="C40" s="219"/>
      <c r="D40" s="219"/>
      <c r="E40" s="219"/>
      <c r="F40" s="219"/>
      <c r="G40" s="219"/>
      <c r="H40" s="219"/>
      <c r="I40" s="220"/>
    </row>
    <row r="41" spans="1:9" x14ac:dyDescent="0.4">
      <c r="A41" s="218"/>
      <c r="B41" s="219"/>
      <c r="C41" s="219"/>
      <c r="D41" s="219"/>
      <c r="E41" s="219"/>
      <c r="F41" s="219"/>
      <c r="G41" s="219"/>
      <c r="H41" s="219"/>
      <c r="I41" s="220"/>
    </row>
    <row r="42" spans="1:9" x14ac:dyDescent="0.4">
      <c r="A42" s="218"/>
      <c r="B42" s="219"/>
      <c r="C42" s="219"/>
      <c r="D42" s="219"/>
      <c r="E42" s="219"/>
      <c r="F42" s="219"/>
      <c r="G42" s="219"/>
      <c r="H42" s="219"/>
      <c r="I42" s="220"/>
    </row>
    <row r="43" spans="1:9" x14ac:dyDescent="0.4">
      <c r="A43" s="218"/>
      <c r="B43" s="219"/>
      <c r="C43" s="219"/>
      <c r="D43" s="219"/>
      <c r="E43" s="219"/>
      <c r="F43" s="219"/>
      <c r="G43" s="219"/>
      <c r="H43" s="219"/>
      <c r="I43" s="220"/>
    </row>
    <row r="44" spans="1:9" x14ac:dyDescent="0.4">
      <c r="A44" s="218"/>
      <c r="B44" s="219"/>
      <c r="C44" s="219"/>
      <c r="D44" s="219"/>
      <c r="E44" s="219"/>
      <c r="F44" s="219"/>
      <c r="G44" s="219"/>
      <c r="H44" s="219"/>
      <c r="I44" s="220"/>
    </row>
    <row r="45" spans="1:9" x14ac:dyDescent="0.4">
      <c r="A45" s="218"/>
      <c r="B45" s="219"/>
      <c r="C45" s="219"/>
      <c r="D45" s="219"/>
      <c r="E45" s="219"/>
      <c r="F45" s="219"/>
      <c r="G45" s="219"/>
      <c r="H45" s="219"/>
      <c r="I45" s="220"/>
    </row>
    <row r="46" spans="1:9" x14ac:dyDescent="0.4">
      <c r="A46" s="218"/>
      <c r="B46" s="219"/>
      <c r="C46" s="219"/>
      <c r="D46" s="219"/>
      <c r="E46" s="219"/>
      <c r="F46" s="219"/>
      <c r="G46" s="219"/>
      <c r="H46" s="219"/>
      <c r="I46" s="220"/>
    </row>
    <row r="47" spans="1:9" x14ac:dyDescent="0.4">
      <c r="A47" s="218"/>
      <c r="B47" s="219"/>
      <c r="C47" s="219"/>
      <c r="D47" s="219"/>
      <c r="E47" s="219"/>
      <c r="F47" s="219"/>
      <c r="G47" s="219"/>
      <c r="H47" s="219"/>
      <c r="I47" s="220"/>
    </row>
    <row r="48" spans="1:9" x14ac:dyDescent="0.4">
      <c r="A48" s="218"/>
      <c r="B48" s="219"/>
      <c r="C48" s="219"/>
      <c r="D48" s="219"/>
      <c r="E48" s="219"/>
      <c r="F48" s="219"/>
      <c r="G48" s="219"/>
      <c r="H48" s="219"/>
      <c r="I48" s="220"/>
    </row>
    <row r="49" spans="1:9" ht="200.25" customHeight="1" x14ac:dyDescent="0.4">
      <c r="A49" s="218"/>
      <c r="B49" s="219"/>
      <c r="C49" s="219"/>
      <c r="D49" s="219"/>
      <c r="E49" s="219"/>
      <c r="F49" s="219"/>
      <c r="G49" s="219"/>
      <c r="H49" s="219"/>
      <c r="I49" s="220"/>
    </row>
    <row r="50" spans="1:9" ht="117" customHeight="1" x14ac:dyDescent="0.4">
      <c r="A50" s="218"/>
      <c r="B50" s="219"/>
      <c r="C50" s="219"/>
      <c r="D50" s="219"/>
      <c r="E50" s="219"/>
      <c r="F50" s="219"/>
      <c r="G50" s="219"/>
      <c r="H50" s="219"/>
      <c r="I50" s="220"/>
    </row>
    <row r="51" spans="1:9" ht="285.75" customHeight="1" x14ac:dyDescent="0.4">
      <c r="A51" s="218"/>
      <c r="B51" s="219"/>
      <c r="C51" s="219"/>
      <c r="D51" s="219"/>
      <c r="E51" s="219"/>
      <c r="F51" s="219"/>
      <c r="G51" s="219"/>
      <c r="H51" s="219"/>
      <c r="I51" s="220"/>
    </row>
    <row r="52" spans="1:9" ht="147.75" customHeight="1" x14ac:dyDescent="0.4">
      <c r="A52" s="218"/>
      <c r="B52" s="219"/>
      <c r="C52" s="219"/>
      <c r="D52" s="219"/>
      <c r="E52" s="219"/>
      <c r="F52" s="219"/>
      <c r="G52" s="219"/>
      <c r="H52" s="219"/>
      <c r="I52" s="220"/>
    </row>
    <row r="53" spans="1:9" ht="261.75" customHeight="1" x14ac:dyDescent="0.4">
      <c r="A53" s="218"/>
      <c r="B53" s="219"/>
      <c r="C53" s="219"/>
      <c r="D53" s="219"/>
      <c r="E53" s="219"/>
      <c r="F53" s="219"/>
      <c r="G53" s="219"/>
      <c r="H53" s="219"/>
      <c r="I53" s="220"/>
    </row>
    <row r="54" spans="1:9" ht="261" customHeight="1" x14ac:dyDescent="0.4">
      <c r="A54" s="221"/>
      <c r="B54" s="222"/>
      <c r="C54" s="222"/>
      <c r="D54" s="222"/>
      <c r="E54" s="222"/>
      <c r="F54" s="222"/>
      <c r="G54" s="222"/>
      <c r="H54" s="222"/>
      <c r="I54" s="223"/>
    </row>
    <row r="66" spans="6:6" x14ac:dyDescent="0.4">
      <c r="F66" s="3"/>
    </row>
  </sheetData>
  <mergeCells count="4">
    <mergeCell ref="A5:I18"/>
    <mergeCell ref="A22:I54"/>
    <mergeCell ref="K5:N14"/>
    <mergeCell ref="K22:N31"/>
  </mergeCells>
  <pageMargins left="0.7" right="0.7" top="0.75" bottom="0.75" header="0.3" footer="0.3"/>
  <pageSetup paperSize="9" scale="87" orientation="portrait"/>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8"/>
  <sheetViews>
    <sheetView showGridLines="0" topLeftCell="A45" zoomScaleNormal="100" workbookViewId="0">
      <selection activeCell="J58" sqref="J58"/>
    </sheetView>
  </sheetViews>
  <sheetFormatPr defaultColWidth="9.265625" defaultRowHeight="15" x14ac:dyDescent="0.4"/>
  <cols>
    <col min="1" max="1" width="29" style="2" customWidth="1"/>
    <col min="2" max="2" width="8.265625" style="12" customWidth="1"/>
    <col min="3" max="3" width="10.3984375" style="12" bestFit="1" customWidth="1"/>
    <col min="4" max="4" width="13.3984375" style="12" customWidth="1"/>
    <col min="5" max="5" width="11.73046875" style="12" customWidth="1"/>
    <col min="6" max="6" width="10.59765625" style="12" customWidth="1"/>
    <col min="7" max="7" width="11.265625" style="15" customWidth="1"/>
    <col min="8" max="8" width="11.59765625" style="16" customWidth="1"/>
    <col min="9" max="10" width="9.265625" style="2"/>
    <col min="11" max="11" width="38.3984375" style="2" customWidth="1"/>
    <col min="12" max="16384" width="9.265625" style="2"/>
  </cols>
  <sheetData>
    <row r="1" spans="1:11" x14ac:dyDescent="0.4">
      <c r="A1" s="93" t="str">
        <f>+'Cover Page'!$B$29</f>
        <v>Annual Performance Report 2022</v>
      </c>
      <c r="B1" s="93"/>
      <c r="C1" s="93"/>
      <c r="D1" s="93"/>
      <c r="E1" s="93" t="str">
        <f>+'Cover Page'!$B$33</f>
        <v>EQUANS FM Ltd</v>
      </c>
      <c r="F1" s="93"/>
      <c r="G1" s="93"/>
      <c r="H1" s="93"/>
      <c r="I1" s="93"/>
      <c r="J1" s="93"/>
      <c r="K1" s="93"/>
    </row>
    <row r="3" spans="1:11" x14ac:dyDescent="0.4">
      <c r="A3" s="1" t="s">
        <v>30</v>
      </c>
      <c r="B3" s="110"/>
      <c r="C3" s="110"/>
      <c r="D3" s="110"/>
      <c r="E3" s="110"/>
      <c r="F3" s="110"/>
      <c r="H3" s="111"/>
      <c r="I3" s="93"/>
      <c r="J3" s="93"/>
      <c r="K3" s="81" t="s">
        <v>3</v>
      </c>
    </row>
    <row r="4" spans="1:11" x14ac:dyDescent="0.4">
      <c r="A4" s="18" t="s">
        <v>61</v>
      </c>
      <c r="B4" s="233" t="s">
        <v>62</v>
      </c>
      <c r="C4" s="233"/>
      <c r="D4" s="20" t="s">
        <v>63</v>
      </c>
      <c r="E4" s="19" t="s">
        <v>64</v>
      </c>
      <c r="F4" s="20" t="s">
        <v>65</v>
      </c>
      <c r="G4" s="19" t="s">
        <v>64</v>
      </c>
      <c r="H4" s="70" t="s">
        <v>66</v>
      </c>
      <c r="I4" s="93"/>
      <c r="J4" s="93"/>
      <c r="K4" s="17" t="s">
        <v>67</v>
      </c>
    </row>
    <row r="5" spans="1:11" x14ac:dyDescent="0.4">
      <c r="A5" s="21" t="s">
        <v>68</v>
      </c>
      <c r="B5" s="22">
        <v>1</v>
      </c>
      <c r="C5" s="23"/>
      <c r="D5" s="23" t="s">
        <v>69</v>
      </c>
      <c r="E5" s="23"/>
      <c r="F5" s="24">
        <v>1</v>
      </c>
      <c r="G5" s="25"/>
      <c r="H5" s="26"/>
      <c r="I5" s="93"/>
      <c r="J5" s="93"/>
      <c r="K5" s="17" t="s">
        <v>70</v>
      </c>
    </row>
    <row r="6" spans="1:11" x14ac:dyDescent="0.4">
      <c r="A6" s="3"/>
      <c r="B6" s="110"/>
      <c r="C6" s="110"/>
      <c r="D6" s="110"/>
      <c r="E6" s="110"/>
      <c r="F6" s="110"/>
      <c r="H6" s="111"/>
      <c r="I6" s="93"/>
      <c r="J6" s="93"/>
      <c r="K6" s="225" t="s">
        <v>71</v>
      </c>
    </row>
    <row r="7" spans="1:11" x14ac:dyDescent="0.4">
      <c r="A7" s="9" t="s">
        <v>72</v>
      </c>
      <c r="B7" s="112" t="s">
        <v>73</v>
      </c>
      <c r="C7" s="113" t="s">
        <v>74</v>
      </c>
      <c r="D7" s="113" t="s">
        <v>75</v>
      </c>
      <c r="E7" s="113" t="s">
        <v>76</v>
      </c>
      <c r="F7" s="113" t="s">
        <v>77</v>
      </c>
      <c r="G7" s="27" t="s">
        <v>78</v>
      </c>
      <c r="H7" s="114" t="s">
        <v>79</v>
      </c>
      <c r="I7" s="93"/>
      <c r="J7" s="93"/>
      <c r="K7" s="225"/>
    </row>
    <row r="8" spans="1:11" ht="15.75" customHeight="1" x14ac:dyDescent="0.4">
      <c r="A8" s="115" t="s">
        <v>80</v>
      </c>
      <c r="B8" s="227" t="s">
        <v>81</v>
      </c>
      <c r="C8" s="116"/>
      <c r="D8" s="116"/>
      <c r="E8" s="116"/>
      <c r="F8" s="116"/>
      <c r="G8" s="28">
        <f>SUM(C8:F8)</f>
        <v>0</v>
      </c>
      <c r="H8" s="117" t="str">
        <f t="shared" ref="H8:H15" si="0">IF(G8&gt;0,G8/$G$18,"-")</f>
        <v>-</v>
      </c>
      <c r="I8" s="93"/>
      <c r="J8" s="93"/>
      <c r="K8" s="226" t="s">
        <v>82</v>
      </c>
    </row>
    <row r="9" spans="1:11" x14ac:dyDescent="0.4">
      <c r="A9" s="118" t="s">
        <v>83</v>
      </c>
      <c r="B9" s="228"/>
      <c r="C9" s="119"/>
      <c r="D9" s="119"/>
      <c r="E9" s="119"/>
      <c r="F9" s="119"/>
      <c r="G9" s="89">
        <f t="shared" ref="G9:G15" si="1">SUM(C9:F9)</f>
        <v>0</v>
      </c>
      <c r="H9" s="120" t="str">
        <f t="shared" si="0"/>
        <v>-</v>
      </c>
      <c r="I9" s="93"/>
      <c r="J9" s="93"/>
      <c r="K9" s="226"/>
    </row>
    <row r="10" spans="1:11" x14ac:dyDescent="0.4">
      <c r="A10" s="118" t="s">
        <v>84</v>
      </c>
      <c r="B10" s="228"/>
      <c r="C10" s="119"/>
      <c r="D10" s="119"/>
      <c r="E10" s="119"/>
      <c r="F10" s="119"/>
      <c r="G10" s="89">
        <f t="shared" si="1"/>
        <v>0</v>
      </c>
      <c r="H10" s="120" t="str">
        <f t="shared" si="0"/>
        <v>-</v>
      </c>
      <c r="I10" s="93"/>
      <c r="J10" s="93"/>
      <c r="K10" s="226"/>
    </row>
    <row r="11" spans="1:11" x14ac:dyDescent="0.4">
      <c r="A11" s="118" t="s">
        <v>85</v>
      </c>
      <c r="B11" s="228"/>
      <c r="C11" s="119"/>
      <c r="D11" s="119"/>
      <c r="E11" s="119"/>
      <c r="F11" s="119"/>
      <c r="G11" s="89">
        <f t="shared" si="1"/>
        <v>0</v>
      </c>
      <c r="H11" s="120" t="str">
        <f t="shared" si="0"/>
        <v>-</v>
      </c>
      <c r="I11" s="93"/>
      <c r="J11" s="93"/>
      <c r="K11" s="226"/>
    </row>
    <row r="12" spans="1:11" x14ac:dyDescent="0.4">
      <c r="A12" s="118" t="s">
        <v>86</v>
      </c>
      <c r="B12" s="228"/>
      <c r="C12" s="119">
        <v>16650</v>
      </c>
      <c r="D12" s="119">
        <v>11380</v>
      </c>
      <c r="E12" s="119">
        <v>10535</v>
      </c>
      <c r="F12" s="119">
        <v>19149</v>
      </c>
      <c r="G12" s="89">
        <f t="shared" si="1"/>
        <v>57714</v>
      </c>
      <c r="H12" s="120">
        <f t="shared" si="0"/>
        <v>1</v>
      </c>
      <c r="I12" s="93"/>
      <c r="J12" s="93"/>
      <c r="K12" s="226"/>
    </row>
    <row r="13" spans="1:11" x14ac:dyDescent="0.4">
      <c r="A13" s="118" t="s">
        <v>87</v>
      </c>
      <c r="B13" s="228"/>
      <c r="C13" s="119"/>
      <c r="D13" s="119"/>
      <c r="E13" s="119"/>
      <c r="F13" s="119"/>
      <c r="G13" s="89">
        <f t="shared" ref="G13" si="2">SUM(C13:F13)</f>
        <v>0</v>
      </c>
      <c r="H13" s="120" t="str">
        <f t="shared" si="0"/>
        <v>-</v>
      </c>
      <c r="I13" s="93"/>
      <c r="J13" s="93"/>
      <c r="K13" s="226"/>
    </row>
    <row r="14" spans="1:11" x14ac:dyDescent="0.4">
      <c r="A14" s="118" t="s">
        <v>88</v>
      </c>
      <c r="B14" s="228"/>
      <c r="C14" s="119"/>
      <c r="D14" s="119"/>
      <c r="E14" s="119"/>
      <c r="F14" s="119"/>
      <c r="G14" s="89">
        <f t="shared" si="1"/>
        <v>0</v>
      </c>
      <c r="H14" s="120" t="str">
        <f t="shared" si="0"/>
        <v>-</v>
      </c>
      <c r="I14" s="93"/>
      <c r="J14" s="93"/>
      <c r="K14" s="226"/>
    </row>
    <row r="15" spans="1:11" x14ac:dyDescent="0.4">
      <c r="A15" s="121" t="s">
        <v>89</v>
      </c>
      <c r="B15" s="228"/>
      <c r="C15" s="119"/>
      <c r="D15" s="119"/>
      <c r="E15" s="119"/>
      <c r="F15" s="119"/>
      <c r="G15" s="89">
        <f t="shared" si="1"/>
        <v>0</v>
      </c>
      <c r="H15" s="120" t="str">
        <f t="shared" si="0"/>
        <v>-</v>
      </c>
      <c r="I15" s="93"/>
      <c r="J15" s="93"/>
      <c r="K15" s="226"/>
    </row>
    <row r="16" spans="1:11" x14ac:dyDescent="0.4">
      <c r="A16" s="121" t="s">
        <v>89</v>
      </c>
      <c r="B16" s="228"/>
      <c r="C16" s="119"/>
      <c r="D16" s="119"/>
      <c r="E16" s="119"/>
      <c r="F16" s="119"/>
      <c r="G16" s="89"/>
      <c r="H16" s="120"/>
      <c r="I16" s="93"/>
      <c r="J16" s="93"/>
      <c r="K16" s="226"/>
    </row>
    <row r="17" spans="1:12" x14ac:dyDescent="0.4">
      <c r="A17" s="121" t="s">
        <v>89</v>
      </c>
      <c r="B17" s="228"/>
      <c r="C17" s="119"/>
      <c r="D17" s="119"/>
      <c r="E17" s="119"/>
      <c r="F17" s="119"/>
      <c r="G17" s="89"/>
      <c r="H17" s="120"/>
      <c r="I17" s="93"/>
      <c r="J17" s="93"/>
      <c r="K17" s="226"/>
      <c r="L17" s="93"/>
    </row>
    <row r="18" spans="1:12" x14ac:dyDescent="0.4">
      <c r="A18" s="91" t="s">
        <v>90</v>
      </c>
      <c r="B18" s="228"/>
      <c r="C18" s="89">
        <f>SUM(C8:C17)</f>
        <v>16650</v>
      </c>
      <c r="D18" s="89">
        <f>SUM(D8:D17)</f>
        <v>11380</v>
      </c>
      <c r="E18" s="89">
        <f>SUM(E8:E17)</f>
        <v>10535</v>
      </c>
      <c r="F18" s="89">
        <f>SUM(F8:F17)</f>
        <v>19149</v>
      </c>
      <c r="G18" s="89">
        <f>SUM(G8:G17)</f>
        <v>57714</v>
      </c>
      <c r="H18" s="122">
        <v>1</v>
      </c>
      <c r="I18" s="93"/>
      <c r="J18" s="93"/>
      <c r="K18" s="226"/>
      <c r="L18" s="93"/>
    </row>
    <row r="19" spans="1:12" x14ac:dyDescent="0.4">
      <c r="A19" s="118" t="s">
        <v>91</v>
      </c>
      <c r="B19" s="228"/>
      <c r="C19" s="119"/>
      <c r="D19" s="119"/>
      <c r="E19" s="119"/>
      <c r="F19" s="119"/>
      <c r="G19" s="89">
        <f t="shared" ref="G19" si="3">SUM(C19:F19)</f>
        <v>0</v>
      </c>
      <c r="H19" s="120" t="str">
        <f t="shared" ref="H19" si="4">IF(G19&gt;0,G19/$G$18,"-")</f>
        <v>-</v>
      </c>
      <c r="I19" s="93"/>
      <c r="J19" s="93"/>
      <c r="K19" s="226"/>
      <c r="L19" s="93"/>
    </row>
    <row r="20" spans="1:12" x14ac:dyDescent="0.4">
      <c r="A20" s="118" t="s">
        <v>92</v>
      </c>
      <c r="B20" s="228"/>
      <c r="C20" s="119"/>
      <c r="D20" s="119"/>
      <c r="E20" s="119"/>
      <c r="F20" s="119"/>
      <c r="G20" s="89">
        <f t="shared" ref="G20" si="5">SUM(C20:F20)</f>
        <v>0</v>
      </c>
      <c r="H20" s="120" t="str">
        <f>IF(G20&gt;0,G20/$G$18,"-")</f>
        <v>-</v>
      </c>
      <c r="I20" s="93"/>
      <c r="J20" s="93"/>
      <c r="K20" s="93"/>
      <c r="L20" s="93"/>
    </row>
    <row r="21" spans="1:12" x14ac:dyDescent="0.4">
      <c r="A21" s="92" t="s">
        <v>93</v>
      </c>
      <c r="B21" s="123"/>
      <c r="C21" s="90">
        <f>C18-SUM(C19:C20)</f>
        <v>16650</v>
      </c>
      <c r="D21" s="90">
        <f t="shared" ref="D21:F21" si="6">D18-SUM(D19:D20)</f>
        <v>11380</v>
      </c>
      <c r="E21" s="90">
        <f t="shared" si="6"/>
        <v>10535</v>
      </c>
      <c r="F21" s="90">
        <f t="shared" si="6"/>
        <v>19149</v>
      </c>
      <c r="G21" s="30">
        <f>SUM(C21:F21)</f>
        <v>57714</v>
      </c>
      <c r="H21" s="124">
        <f>IF(G21&gt;0,G21/$G$18,"-")</f>
        <v>1</v>
      </c>
      <c r="I21" s="93"/>
      <c r="J21" s="93"/>
      <c r="K21" s="93"/>
      <c r="L21" s="93"/>
    </row>
    <row r="22" spans="1:12" x14ac:dyDescent="0.4">
      <c r="A22" s="3"/>
      <c r="B22" s="110"/>
      <c r="C22" s="111"/>
      <c r="D22" s="111"/>
      <c r="E22" s="111"/>
      <c r="F22" s="111"/>
      <c r="G22" s="31"/>
      <c r="H22" s="111"/>
      <c r="I22" s="93"/>
      <c r="J22" s="93"/>
      <c r="K22" s="93"/>
      <c r="L22" s="93"/>
    </row>
    <row r="23" spans="1:12" x14ac:dyDescent="0.4">
      <c r="A23" s="9" t="s">
        <v>94</v>
      </c>
      <c r="B23" s="112" t="s">
        <v>73</v>
      </c>
      <c r="C23" s="125" t="s">
        <v>74</v>
      </c>
      <c r="D23" s="125" t="s">
        <v>75</v>
      </c>
      <c r="E23" s="125" t="s">
        <v>76</v>
      </c>
      <c r="F23" s="125" t="s">
        <v>77</v>
      </c>
      <c r="G23" s="32" t="s">
        <v>78</v>
      </c>
      <c r="H23" s="126" t="s">
        <v>95</v>
      </c>
      <c r="I23" s="93"/>
      <c r="J23" s="93"/>
      <c r="K23" s="93"/>
      <c r="L23" s="93"/>
    </row>
    <row r="24" spans="1:12" ht="15" customHeight="1" x14ac:dyDescent="0.4">
      <c r="A24" s="127" t="s">
        <v>96</v>
      </c>
      <c r="B24" s="227" t="s">
        <v>97</v>
      </c>
      <c r="C24" s="116">
        <v>13743</v>
      </c>
      <c r="D24" s="116">
        <v>9509</v>
      </c>
      <c r="E24" s="116">
        <v>9469</v>
      </c>
      <c r="F24" s="116">
        <v>16684</v>
      </c>
      <c r="G24" s="28">
        <f t="shared" ref="G24:G27" si="7">SUM(C24:F24)</f>
        <v>49405</v>
      </c>
      <c r="H24" s="128">
        <f>IF(G24&gt;0,G24*1000/$G$21,"-")</f>
        <v>856.03146550230451</v>
      </c>
      <c r="I24" s="93"/>
      <c r="J24" s="93"/>
      <c r="K24" s="93"/>
      <c r="L24" s="93"/>
    </row>
    <row r="25" spans="1:12" x14ac:dyDescent="0.4">
      <c r="A25" s="129" t="s">
        <v>98</v>
      </c>
      <c r="B25" s="228"/>
      <c r="C25" s="130">
        <v>11913</v>
      </c>
      <c r="D25" s="130">
        <v>8212</v>
      </c>
      <c r="E25" s="130">
        <v>8285</v>
      </c>
      <c r="F25" s="130">
        <v>14657</v>
      </c>
      <c r="G25" s="29">
        <f>SUM(C25:F25)</f>
        <v>43067</v>
      </c>
      <c r="H25" s="131">
        <f>IF(G25&gt;0,G25*1000/$G$21,"-")</f>
        <v>746.21409016876316</v>
      </c>
      <c r="I25" s="93"/>
      <c r="J25" s="93"/>
      <c r="K25" s="93"/>
      <c r="L25" s="93"/>
    </row>
    <row r="26" spans="1:12" x14ac:dyDescent="0.4">
      <c r="A26" s="129" t="s">
        <v>99</v>
      </c>
      <c r="B26" s="228"/>
      <c r="C26" s="130"/>
      <c r="D26" s="130"/>
      <c r="E26" s="130"/>
      <c r="F26" s="130"/>
      <c r="G26" s="29">
        <f>SUM(C26:F26)</f>
        <v>0</v>
      </c>
      <c r="H26" s="131" t="str">
        <f>IF(G26&gt;0,G26*1000/$G$21,"-")</f>
        <v>-</v>
      </c>
      <c r="I26" s="93"/>
      <c r="J26" s="93"/>
      <c r="K26" s="93"/>
      <c r="L26" s="93"/>
    </row>
    <row r="27" spans="1:12" x14ac:dyDescent="0.4">
      <c r="A27" s="129" t="s">
        <v>100</v>
      </c>
      <c r="B27" s="228"/>
      <c r="C27" s="130">
        <v>160</v>
      </c>
      <c r="D27" s="130">
        <v>364</v>
      </c>
      <c r="E27" s="130">
        <v>478</v>
      </c>
      <c r="F27" s="132">
        <v>129.19999999999999</v>
      </c>
      <c r="G27" s="29">
        <f t="shared" si="7"/>
        <v>1131.2</v>
      </c>
      <c r="H27" s="131">
        <f>IF(G27&gt;0,G27*1000/$G$21,"-")</f>
        <v>19.600097030183317</v>
      </c>
      <c r="I27" s="93"/>
      <c r="J27" s="93"/>
      <c r="K27" s="93"/>
      <c r="L27" s="93"/>
    </row>
    <row r="28" spans="1:12" x14ac:dyDescent="0.4">
      <c r="A28" s="129" t="s">
        <v>101</v>
      </c>
      <c r="B28" s="133" t="s">
        <v>79</v>
      </c>
      <c r="C28" s="134">
        <f>IF(C24&gt;0,1-C25/(C24+C27),"-")</f>
        <v>0.14313457527152418</v>
      </c>
      <c r="D28" s="134">
        <f>IF(D24&gt;0,1-D25/(D24+D27),"-")</f>
        <v>0.16823660488200143</v>
      </c>
      <c r="E28" s="134">
        <f>IF(E24&gt;0,1-E25/(E24+E27),"-")</f>
        <v>0.16708555343319598</v>
      </c>
      <c r="F28" s="134">
        <f>IF(F24&gt;0,1-F25/(F24+F27),"-")</f>
        <v>0.12824447457949706</v>
      </c>
      <c r="G28" s="134">
        <f>IF(G24&gt;0,1-G25/(G24+G27),"-")</f>
        <v>0.14779900348660957</v>
      </c>
      <c r="H28" s="131"/>
      <c r="I28" s="93"/>
      <c r="J28" s="93"/>
      <c r="K28" s="93"/>
      <c r="L28" s="93"/>
    </row>
    <row r="29" spans="1:12" x14ac:dyDescent="0.4">
      <c r="A29" s="129" t="s">
        <v>102</v>
      </c>
      <c r="B29" s="234" t="s">
        <v>97</v>
      </c>
      <c r="C29" s="130"/>
      <c r="D29" s="130"/>
      <c r="E29" s="130"/>
      <c r="F29" s="130"/>
      <c r="G29" s="29">
        <f t="shared" ref="G29:G30" si="8">SUM(C29:F29)</f>
        <v>0</v>
      </c>
      <c r="H29" s="131" t="str">
        <f>IF(G29&gt;0,G29*1000/$G$21,"-")</f>
        <v>-</v>
      </c>
      <c r="I29" s="93"/>
      <c r="J29" s="93"/>
      <c r="K29" s="93"/>
      <c r="L29" s="93"/>
    </row>
    <row r="30" spans="1:12" x14ac:dyDescent="0.4">
      <c r="A30" s="129" t="s">
        <v>103</v>
      </c>
      <c r="B30" s="234"/>
      <c r="C30" s="130"/>
      <c r="D30" s="130"/>
      <c r="E30" s="130"/>
      <c r="F30" s="130"/>
      <c r="G30" s="29">
        <f t="shared" si="8"/>
        <v>0</v>
      </c>
      <c r="H30" s="131" t="str">
        <f>IF(G30&gt;0,G30*1000/$G$21,"-")</f>
        <v>-</v>
      </c>
      <c r="I30" s="93"/>
      <c r="J30" s="93"/>
      <c r="K30" s="17"/>
      <c r="L30" s="17"/>
    </row>
    <row r="31" spans="1:12" x14ac:dyDescent="0.4">
      <c r="A31" s="135" t="s">
        <v>104</v>
      </c>
      <c r="B31" s="136"/>
      <c r="C31" s="230"/>
      <c r="D31" s="230"/>
      <c r="E31" s="230"/>
      <c r="F31" s="230"/>
      <c r="G31" s="231" t="s">
        <v>105</v>
      </c>
      <c r="H31" s="232"/>
      <c r="I31" s="93"/>
      <c r="J31" s="93"/>
      <c r="K31" s="93"/>
      <c r="L31" s="17"/>
    </row>
    <row r="32" spans="1:12" x14ac:dyDescent="0.4">
      <c r="A32" s="3"/>
      <c r="B32" s="110"/>
      <c r="C32" s="111"/>
      <c r="D32" s="111"/>
      <c r="E32" s="111"/>
      <c r="F32" s="111"/>
      <c r="G32" s="31"/>
      <c r="H32" s="111"/>
      <c r="I32" s="93"/>
      <c r="J32" s="93"/>
      <c r="K32" s="93"/>
      <c r="L32" s="17"/>
    </row>
    <row r="33" spans="1:12" x14ac:dyDescent="0.4">
      <c r="A33" s="9" t="s">
        <v>106</v>
      </c>
      <c r="B33" s="137" t="s">
        <v>73</v>
      </c>
      <c r="C33" s="125" t="s">
        <v>74</v>
      </c>
      <c r="D33" s="125" t="s">
        <v>75</v>
      </c>
      <c r="E33" s="125" t="s">
        <v>76</v>
      </c>
      <c r="F33" s="125" t="s">
        <v>77</v>
      </c>
      <c r="G33" s="32" t="s">
        <v>78</v>
      </c>
      <c r="H33" s="138" t="s">
        <v>107</v>
      </c>
      <c r="I33" s="93"/>
      <c r="J33" s="93"/>
      <c r="K33" s="93"/>
      <c r="L33" s="17"/>
    </row>
    <row r="34" spans="1:12" ht="15" customHeight="1" x14ac:dyDescent="0.4">
      <c r="A34" s="127" t="s">
        <v>108</v>
      </c>
      <c r="B34" s="227" t="s">
        <v>81</v>
      </c>
      <c r="C34" s="116">
        <v>289</v>
      </c>
      <c r="D34" s="116">
        <v>163</v>
      </c>
      <c r="E34" s="116">
        <v>130</v>
      </c>
      <c r="F34" s="116">
        <v>269</v>
      </c>
      <c r="G34" s="28">
        <f t="shared" ref="G34:G35" si="9">SUM(C34:F34)</f>
        <v>851</v>
      </c>
      <c r="H34" s="117">
        <f>IF(G34&gt;0,G34/$G$21,"-")</f>
        <v>1.4745122500606439E-2</v>
      </c>
      <c r="I34" s="93"/>
      <c r="J34" s="93"/>
      <c r="K34" s="17"/>
      <c r="L34" s="17"/>
    </row>
    <row r="35" spans="1:12" ht="15" customHeight="1" x14ac:dyDescent="0.4">
      <c r="A35" s="129" t="s">
        <v>109</v>
      </c>
      <c r="B35" s="228"/>
      <c r="C35" s="130">
        <v>772</v>
      </c>
      <c r="D35" s="130">
        <v>351</v>
      </c>
      <c r="E35" s="130">
        <v>261</v>
      </c>
      <c r="F35" s="130">
        <v>577</v>
      </c>
      <c r="G35" s="29">
        <f t="shared" si="9"/>
        <v>1961</v>
      </c>
      <c r="H35" s="120">
        <f t="shared" ref="H35:H39" si="10">IF(G35&gt;0,G35/$G$21,"-")</f>
        <v>3.3977890979658316E-2</v>
      </c>
      <c r="I35" s="93"/>
      <c r="J35" s="93"/>
      <c r="K35" s="17"/>
      <c r="L35" s="17"/>
    </row>
    <row r="36" spans="1:12" ht="15" customHeight="1" x14ac:dyDescent="0.4">
      <c r="A36" s="129" t="s">
        <v>110</v>
      </c>
      <c r="B36" s="228"/>
      <c r="C36" s="130">
        <v>81</v>
      </c>
      <c r="D36" s="130">
        <v>32</v>
      </c>
      <c r="E36" s="130">
        <v>36</v>
      </c>
      <c r="F36" s="130">
        <v>75</v>
      </c>
      <c r="G36" s="29">
        <f t="shared" ref="G36:G39" si="11">SUM(C36:F36)</f>
        <v>224</v>
      </c>
      <c r="H36" s="120">
        <f t="shared" si="10"/>
        <v>3.881207332709568E-3</v>
      </c>
      <c r="I36" s="93"/>
      <c r="J36" s="93"/>
      <c r="K36" s="93"/>
      <c r="L36" s="93"/>
    </row>
    <row r="37" spans="1:12" x14ac:dyDescent="0.4">
      <c r="A37" s="94" t="s">
        <v>111</v>
      </c>
      <c r="B37" s="228"/>
      <c r="C37" s="130">
        <v>73</v>
      </c>
      <c r="D37" s="130">
        <v>76</v>
      </c>
      <c r="E37" s="130">
        <v>54</v>
      </c>
      <c r="F37" s="130">
        <v>106</v>
      </c>
      <c r="G37" s="29">
        <f t="shared" ref="G37" si="12">SUM(C37:F37)</f>
        <v>309</v>
      </c>
      <c r="H37" s="120">
        <f t="shared" si="10"/>
        <v>5.3539869009252518E-3</v>
      </c>
      <c r="I37" s="93"/>
      <c r="J37" s="93"/>
      <c r="K37" s="93"/>
      <c r="L37" s="93"/>
    </row>
    <row r="38" spans="1:12" x14ac:dyDescent="0.4">
      <c r="A38" s="94" t="s">
        <v>112</v>
      </c>
      <c r="B38" s="228"/>
      <c r="C38" s="130">
        <v>0</v>
      </c>
      <c r="D38" s="130">
        <v>0</v>
      </c>
      <c r="E38" s="130">
        <v>0</v>
      </c>
      <c r="F38" s="130">
        <v>0</v>
      </c>
      <c r="G38" s="29">
        <f t="shared" si="11"/>
        <v>0</v>
      </c>
      <c r="H38" s="120" t="str">
        <f t="shared" si="10"/>
        <v>-</v>
      </c>
      <c r="I38" s="93"/>
      <c r="J38" s="93"/>
      <c r="K38" s="93"/>
      <c r="L38" s="93"/>
    </row>
    <row r="39" spans="1:12" x14ac:dyDescent="0.4">
      <c r="A39" s="139" t="s">
        <v>112</v>
      </c>
      <c r="B39" s="229"/>
      <c r="C39" s="140">
        <v>0</v>
      </c>
      <c r="D39" s="140">
        <v>0</v>
      </c>
      <c r="E39" s="140">
        <v>0</v>
      </c>
      <c r="F39" s="140">
        <v>0</v>
      </c>
      <c r="G39" s="30">
        <f t="shared" si="11"/>
        <v>0</v>
      </c>
      <c r="H39" s="124" t="str">
        <f t="shared" si="10"/>
        <v>-</v>
      </c>
      <c r="I39" s="93"/>
      <c r="J39" s="93"/>
      <c r="K39" s="93"/>
      <c r="L39" s="93"/>
    </row>
    <row r="40" spans="1:12" x14ac:dyDescent="0.4">
      <c r="A40" s="110"/>
      <c r="B40" s="110"/>
      <c r="C40" s="111"/>
      <c r="D40" s="111"/>
      <c r="E40" s="111"/>
      <c r="F40" s="111"/>
      <c r="G40" s="31"/>
      <c r="H40" s="111"/>
      <c r="I40" s="93"/>
      <c r="J40" s="93"/>
      <c r="K40" s="93"/>
      <c r="L40" s="93"/>
    </row>
    <row r="41" spans="1:12" x14ac:dyDescent="0.4">
      <c r="A41" s="9" t="s">
        <v>113</v>
      </c>
      <c r="B41" s="141" t="s">
        <v>73</v>
      </c>
      <c r="C41" s="113" t="s">
        <v>74</v>
      </c>
      <c r="D41" s="113" t="s">
        <v>75</v>
      </c>
      <c r="E41" s="113" t="s">
        <v>76</v>
      </c>
      <c r="F41" s="113" t="s">
        <v>77</v>
      </c>
      <c r="G41" s="27" t="s">
        <v>78</v>
      </c>
      <c r="H41" s="114" t="s">
        <v>114</v>
      </c>
      <c r="I41" s="93"/>
      <c r="J41" s="93"/>
      <c r="K41" s="93"/>
      <c r="L41" s="93"/>
    </row>
    <row r="42" spans="1:12" ht="15.6" customHeight="1" x14ac:dyDescent="0.4">
      <c r="A42" s="127" t="s">
        <v>115</v>
      </c>
      <c r="B42" s="133" t="s">
        <v>116</v>
      </c>
      <c r="C42" s="116">
        <v>3975000</v>
      </c>
      <c r="D42" s="116">
        <v>3952000</v>
      </c>
      <c r="E42" s="116">
        <v>4645000</v>
      </c>
      <c r="F42" s="116">
        <v>4938000</v>
      </c>
      <c r="G42" s="28">
        <f t="shared" ref="G42:G50" si="13">SUM(C42:F42)</f>
        <v>17510000</v>
      </c>
      <c r="H42" s="142">
        <f>IF(G42&gt;0,G42/$G$21,"-")</f>
        <v>303.39259105243093</v>
      </c>
      <c r="I42" s="93"/>
      <c r="J42" s="93"/>
      <c r="K42" s="93"/>
      <c r="L42" s="93"/>
    </row>
    <row r="43" spans="1:12" x14ac:dyDescent="0.4">
      <c r="A43" s="129" t="s">
        <v>117</v>
      </c>
      <c r="B43" s="133" t="s">
        <v>116</v>
      </c>
      <c r="C43" s="130"/>
      <c r="D43" s="130"/>
      <c r="E43" s="130"/>
      <c r="F43" s="130"/>
      <c r="G43" s="29">
        <f>SUM(C43:F43)</f>
        <v>0</v>
      </c>
      <c r="H43" s="142" t="str">
        <f t="shared" ref="H43:H48" si="14">IF(G43&gt;0,G43/$G$21,"-")</f>
        <v>-</v>
      </c>
      <c r="I43" s="93"/>
      <c r="J43" s="93"/>
      <c r="K43" s="93"/>
      <c r="L43" s="93"/>
    </row>
    <row r="44" spans="1:12" ht="15.6" customHeight="1" x14ac:dyDescent="0.4">
      <c r="A44" s="129" t="s">
        <v>118</v>
      </c>
      <c r="B44" s="133" t="s">
        <v>119</v>
      </c>
      <c r="C44" s="130"/>
      <c r="D44" s="130"/>
      <c r="E44" s="130"/>
      <c r="F44" s="130"/>
      <c r="G44" s="29">
        <f t="shared" si="13"/>
        <v>0</v>
      </c>
      <c r="H44" s="142" t="str">
        <f t="shared" si="14"/>
        <v>-</v>
      </c>
      <c r="I44" s="93"/>
      <c r="J44" s="93"/>
      <c r="K44" s="93"/>
      <c r="L44" s="93"/>
    </row>
    <row r="45" spans="1:12" ht="15.6" customHeight="1" x14ac:dyDescent="0.4">
      <c r="A45" s="129" t="s">
        <v>120</v>
      </c>
      <c r="B45" s="133" t="s">
        <v>119</v>
      </c>
      <c r="C45" s="130">
        <v>128941.5</v>
      </c>
      <c r="D45" s="130">
        <v>74883.600000000006</v>
      </c>
      <c r="E45" s="130">
        <v>69173.600000000006</v>
      </c>
      <c r="F45" s="130">
        <v>123092.2</v>
      </c>
      <c r="G45" s="29">
        <f t="shared" ref="G45" si="15">SUM(C45:F45)</f>
        <v>396090.9</v>
      </c>
      <c r="H45" s="142">
        <f t="shared" si="14"/>
        <v>6.8629951138371972</v>
      </c>
      <c r="I45" s="93"/>
      <c r="J45" s="93"/>
      <c r="K45" s="93"/>
      <c r="L45" s="93"/>
    </row>
    <row r="46" spans="1:12" x14ac:dyDescent="0.4">
      <c r="A46" s="129" t="s">
        <v>121</v>
      </c>
      <c r="B46" s="133" t="s">
        <v>119</v>
      </c>
      <c r="C46" s="130"/>
      <c r="D46" s="130"/>
      <c r="E46" s="130"/>
      <c r="F46" s="130"/>
      <c r="G46" s="29">
        <f t="shared" si="13"/>
        <v>0</v>
      </c>
      <c r="H46" s="142" t="str">
        <f t="shared" si="14"/>
        <v>-</v>
      </c>
      <c r="I46" s="93"/>
      <c r="J46" s="93"/>
      <c r="K46" s="93"/>
      <c r="L46" s="93"/>
    </row>
    <row r="47" spans="1:12" x14ac:dyDescent="0.4">
      <c r="A47" s="129" t="s">
        <v>122</v>
      </c>
      <c r="B47" s="133" t="s">
        <v>119</v>
      </c>
      <c r="C47" s="130">
        <v>178605</v>
      </c>
      <c r="D47" s="130">
        <v>100860</v>
      </c>
      <c r="E47" s="130">
        <v>80882</v>
      </c>
      <c r="F47" s="130">
        <v>173536</v>
      </c>
      <c r="G47" s="29">
        <f t="shared" si="13"/>
        <v>533883</v>
      </c>
      <c r="H47" s="142">
        <f t="shared" si="14"/>
        <v>9.2504938143258126</v>
      </c>
      <c r="I47" s="93"/>
      <c r="J47" s="93"/>
      <c r="K47" s="93"/>
      <c r="L47" s="93"/>
    </row>
    <row r="48" spans="1:12" x14ac:dyDescent="0.4">
      <c r="A48" s="129" t="s">
        <v>123</v>
      </c>
      <c r="B48" s="133" t="s">
        <v>116</v>
      </c>
      <c r="C48" s="170">
        <v>11104</v>
      </c>
      <c r="D48" s="170">
        <v>10674</v>
      </c>
      <c r="E48" s="170">
        <v>5653</v>
      </c>
      <c r="F48" s="170">
        <v>7464</v>
      </c>
      <c r="G48" s="29">
        <f t="shared" si="13"/>
        <v>34895</v>
      </c>
      <c r="H48" s="142">
        <f t="shared" si="14"/>
        <v>0.6046193297986624</v>
      </c>
      <c r="I48" s="93"/>
      <c r="J48" s="93"/>
      <c r="K48" s="93"/>
      <c r="L48" s="93"/>
    </row>
    <row r="49" spans="1:10" x14ac:dyDescent="0.4">
      <c r="A49" s="129" t="s">
        <v>124</v>
      </c>
      <c r="B49" s="133" t="s">
        <v>125</v>
      </c>
      <c r="C49" s="130">
        <v>1950323</v>
      </c>
      <c r="D49" s="130">
        <v>1398566</v>
      </c>
      <c r="E49" s="130">
        <v>889223</v>
      </c>
      <c r="F49" s="130">
        <v>405130</v>
      </c>
      <c r="G49" s="29">
        <f t="shared" si="13"/>
        <v>4643242</v>
      </c>
      <c r="H49" s="143"/>
      <c r="I49" s="93"/>
      <c r="J49" s="93"/>
    </row>
    <row r="50" spans="1:10" x14ac:dyDescent="0.4">
      <c r="A50" s="135" t="s">
        <v>112</v>
      </c>
      <c r="B50" s="144"/>
      <c r="C50" s="140">
        <v>0</v>
      </c>
      <c r="D50" s="140">
        <v>0</v>
      </c>
      <c r="E50" s="140">
        <v>0</v>
      </c>
      <c r="F50" s="140">
        <v>0</v>
      </c>
      <c r="G50" s="30">
        <f t="shared" si="13"/>
        <v>0</v>
      </c>
      <c r="H50" s="145"/>
      <c r="I50" s="93"/>
      <c r="J50" s="93"/>
    </row>
    <row r="51" spans="1:10" x14ac:dyDescent="0.4">
      <c r="A51" s="110"/>
      <c r="B51" s="110"/>
      <c r="C51" s="111"/>
      <c r="D51" s="111"/>
      <c r="E51" s="111"/>
      <c r="F51" s="111"/>
      <c r="G51" s="31"/>
      <c r="H51" s="111"/>
      <c r="I51" s="93"/>
      <c r="J51" s="93"/>
    </row>
    <row r="52" spans="1:10" x14ac:dyDescent="0.4">
      <c r="A52" s="9" t="s">
        <v>126</v>
      </c>
      <c r="B52" s="146" t="s">
        <v>127</v>
      </c>
      <c r="C52" s="125" t="s">
        <v>74</v>
      </c>
      <c r="D52" s="125" t="s">
        <v>75</v>
      </c>
      <c r="E52" s="125" t="s">
        <v>76</v>
      </c>
      <c r="F52" s="125" t="s">
        <v>77</v>
      </c>
      <c r="G52" s="32" t="s">
        <v>78</v>
      </c>
      <c r="H52" s="126"/>
      <c r="I52" s="93"/>
      <c r="J52" s="86" t="s">
        <v>128</v>
      </c>
    </row>
    <row r="53" spans="1:10" ht="14.25" customHeight="1" x14ac:dyDescent="0.4">
      <c r="A53" s="235" t="s">
        <v>129</v>
      </c>
      <c r="B53" s="125">
        <f>+B5</f>
        <v>1</v>
      </c>
      <c r="C53" s="116">
        <v>1799</v>
      </c>
      <c r="D53" s="116">
        <v>1276</v>
      </c>
      <c r="E53" s="116">
        <v>1179</v>
      </c>
      <c r="F53" s="116">
        <v>2032</v>
      </c>
      <c r="G53" s="28">
        <f t="shared" ref="G53:G65" si="16">SUM(C53:F53)</f>
        <v>6286</v>
      </c>
      <c r="H53" s="117" t="s">
        <v>130</v>
      </c>
      <c r="I53" s="93"/>
      <c r="J53" s="88">
        <v>8760</v>
      </c>
    </row>
    <row r="54" spans="1:10" ht="14.25" customHeight="1" x14ac:dyDescent="0.4">
      <c r="A54" s="236"/>
      <c r="B54" s="111">
        <v>2</v>
      </c>
      <c r="C54" s="119"/>
      <c r="D54" s="119"/>
      <c r="E54" s="119"/>
      <c r="F54" s="119"/>
      <c r="G54" s="29">
        <f t="shared" si="16"/>
        <v>0</v>
      </c>
      <c r="H54" s="120" t="s">
        <v>131</v>
      </c>
      <c r="I54" s="93"/>
      <c r="J54" s="93"/>
    </row>
    <row r="55" spans="1:10" ht="14.25" customHeight="1" x14ac:dyDescent="0.4">
      <c r="A55" s="236"/>
      <c r="B55" s="111">
        <v>3</v>
      </c>
      <c r="C55" s="119"/>
      <c r="D55" s="119"/>
      <c r="E55" s="119"/>
      <c r="F55" s="119"/>
      <c r="G55" s="29">
        <f t="shared" si="16"/>
        <v>0</v>
      </c>
      <c r="H55" s="120" t="s">
        <v>131</v>
      </c>
      <c r="I55" s="93"/>
      <c r="J55" s="93"/>
    </row>
    <row r="56" spans="1:10" ht="14.25" customHeight="1" x14ac:dyDescent="0.4">
      <c r="A56" s="236"/>
      <c r="B56" s="111">
        <v>4</v>
      </c>
      <c r="C56" s="119"/>
      <c r="D56" s="119"/>
      <c r="E56" s="119"/>
      <c r="F56" s="119"/>
      <c r="G56" s="29">
        <f t="shared" si="16"/>
        <v>0</v>
      </c>
      <c r="H56" s="120" t="s">
        <v>131</v>
      </c>
      <c r="I56" s="93"/>
      <c r="J56" s="93"/>
    </row>
    <row r="57" spans="1:10" ht="14.25" customHeight="1" x14ac:dyDescent="0.4">
      <c r="A57" s="236"/>
      <c r="B57" s="111">
        <v>5</v>
      </c>
      <c r="C57" s="119"/>
      <c r="D57" s="119"/>
      <c r="E57" s="119"/>
      <c r="F57" s="119"/>
      <c r="G57" s="29">
        <f t="shared" ref="G57" si="17">SUM(C57:F57)</f>
        <v>0</v>
      </c>
      <c r="H57" s="120" t="s">
        <v>131</v>
      </c>
      <c r="I57" s="93"/>
      <c r="J57" s="93"/>
    </row>
    <row r="58" spans="1:10" ht="14.25" customHeight="1" x14ac:dyDescent="0.4">
      <c r="A58" s="129" t="s">
        <v>132</v>
      </c>
      <c r="B58" s="111"/>
      <c r="C58" s="119">
        <v>1382</v>
      </c>
      <c r="D58" s="119">
        <v>1611</v>
      </c>
      <c r="E58" s="119">
        <v>1742</v>
      </c>
      <c r="F58" s="119">
        <v>1442</v>
      </c>
      <c r="G58" s="29">
        <f>AVERAGE(G53:G57)</f>
        <v>1257.2</v>
      </c>
      <c r="H58" s="87" t="s">
        <v>131</v>
      </c>
      <c r="I58" s="93"/>
      <c r="J58" s="93"/>
    </row>
    <row r="59" spans="1:10" ht="14.25" customHeight="1" x14ac:dyDescent="0.4">
      <c r="A59" s="129" t="s">
        <v>133</v>
      </c>
      <c r="B59" s="111">
        <v>1</v>
      </c>
      <c r="C59" s="119">
        <v>1774</v>
      </c>
      <c r="D59" s="119">
        <v>1216</v>
      </c>
      <c r="E59" s="119">
        <v>1146</v>
      </c>
      <c r="F59" s="119">
        <v>2009</v>
      </c>
      <c r="G59" s="29">
        <f t="shared" si="16"/>
        <v>6145</v>
      </c>
      <c r="H59" s="120" t="s">
        <v>131</v>
      </c>
      <c r="I59" s="179"/>
      <c r="J59" s="179"/>
    </row>
    <row r="60" spans="1:10" x14ac:dyDescent="0.4">
      <c r="A60" s="129" t="s">
        <v>133</v>
      </c>
      <c r="B60" s="111">
        <v>2</v>
      </c>
      <c r="C60" s="130"/>
      <c r="D60" s="130"/>
      <c r="E60" s="130"/>
      <c r="F60" s="130"/>
      <c r="G60" s="29">
        <f t="shared" si="16"/>
        <v>0</v>
      </c>
      <c r="H60" s="120" t="s">
        <v>131</v>
      </c>
      <c r="I60" s="93"/>
      <c r="J60" s="93"/>
    </row>
    <row r="61" spans="1:10" x14ac:dyDescent="0.4">
      <c r="A61" s="129" t="s">
        <v>134</v>
      </c>
      <c r="B61" s="111"/>
      <c r="C61" s="130"/>
      <c r="D61" s="130"/>
      <c r="E61" s="130"/>
      <c r="F61" s="130"/>
      <c r="G61" s="29">
        <f t="shared" si="16"/>
        <v>0</v>
      </c>
      <c r="H61" s="120" t="str">
        <f>IF(B61&gt;0,G60/J53,"n/a")</f>
        <v>n/a</v>
      </c>
      <c r="I61" s="93"/>
      <c r="J61" s="93"/>
    </row>
    <row r="62" spans="1:10" x14ac:dyDescent="0.4">
      <c r="A62" s="129" t="s">
        <v>135</v>
      </c>
      <c r="B62" s="111" t="s">
        <v>136</v>
      </c>
      <c r="C62" s="169">
        <v>20</v>
      </c>
      <c r="D62" s="169">
        <v>20</v>
      </c>
      <c r="E62" s="169">
        <v>20</v>
      </c>
      <c r="F62" s="169">
        <v>20</v>
      </c>
      <c r="G62" s="29"/>
      <c r="H62" s="147" t="s">
        <v>137</v>
      </c>
      <c r="I62" s="93"/>
      <c r="J62" s="93"/>
    </row>
    <row r="63" spans="1:10" x14ac:dyDescent="0.4">
      <c r="A63" s="129" t="s">
        <v>138</v>
      </c>
      <c r="B63" s="111" t="s">
        <v>139</v>
      </c>
      <c r="C63" s="130"/>
      <c r="D63" s="130"/>
      <c r="E63" s="130"/>
      <c r="F63" s="130">
        <v>1</v>
      </c>
      <c r="G63" s="29">
        <f t="shared" si="16"/>
        <v>1</v>
      </c>
      <c r="H63" s="131" t="str">
        <f>IF(G63&gt;0,"yes","no")</f>
        <v>yes</v>
      </c>
      <c r="I63" s="93"/>
      <c r="J63" s="93"/>
    </row>
    <row r="64" spans="1:10" x14ac:dyDescent="0.4">
      <c r="A64" s="129" t="s">
        <v>140</v>
      </c>
      <c r="B64" s="111" t="s">
        <v>141</v>
      </c>
      <c r="C64" s="130"/>
      <c r="D64" s="130"/>
      <c r="E64" s="130"/>
      <c r="F64" s="130">
        <v>0.5</v>
      </c>
      <c r="G64" s="29">
        <f t="shared" si="16"/>
        <v>0.5</v>
      </c>
      <c r="H64" s="148">
        <f>+(G64)/J53</f>
        <v>5.7077625570776254E-5</v>
      </c>
      <c r="I64" s="93"/>
      <c r="J64" s="93"/>
    </row>
    <row r="65" spans="1:9" x14ac:dyDescent="0.4">
      <c r="A65" s="135" t="s">
        <v>142</v>
      </c>
      <c r="B65" s="149" t="s">
        <v>139</v>
      </c>
      <c r="C65" s="140"/>
      <c r="D65" s="140"/>
      <c r="E65" s="140"/>
      <c r="F65" s="140">
        <v>1</v>
      </c>
      <c r="G65" s="30">
        <f t="shared" si="16"/>
        <v>1</v>
      </c>
      <c r="H65" s="150" t="str">
        <f>IF(G65&gt;0,"yes","no")</f>
        <v>yes</v>
      </c>
      <c r="I65" s="179"/>
    </row>
    <row r="78" spans="1:9" x14ac:dyDescent="0.4">
      <c r="A78" s="93"/>
      <c r="B78" s="110"/>
      <c r="C78" s="110"/>
      <c r="D78" s="110"/>
      <c r="E78" s="110"/>
      <c r="F78" s="3"/>
      <c r="H78" s="111"/>
    </row>
  </sheetData>
  <mergeCells count="10">
    <mergeCell ref="B4:C4"/>
    <mergeCell ref="B8:B20"/>
    <mergeCell ref="B24:B27"/>
    <mergeCell ref="B29:B30"/>
    <mergeCell ref="A53:A57"/>
    <mergeCell ref="K6:K7"/>
    <mergeCell ref="K8:K19"/>
    <mergeCell ref="B34:B39"/>
    <mergeCell ref="C31:F31"/>
    <mergeCell ref="G31:H31"/>
  </mergeCells>
  <phoneticPr fontId="25" type="noConversion"/>
  <pageMargins left="0.7" right="0.7" top="0.75" bottom="0.75" header="0.3" footer="0.3"/>
  <pageSetup paperSize="9" scale="87" orientation="portrait"/>
  <headerFooter scaleWithDoc="0">
    <oddFooter>&amp;C&amp;"Arial,Regular"Page &amp;P</oddFooter>
  </headerFooter>
  <ignoredErrors>
    <ignoredError sqref="G59:G60 G54:G56" formulaRange="1"/>
  </ignoredErrors>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showGridLines="0" topLeftCell="A15" zoomScaleNormal="100" workbookViewId="0">
      <selection activeCell="A5" sqref="A5:I27"/>
    </sheetView>
  </sheetViews>
  <sheetFormatPr defaultColWidth="9.265625" defaultRowHeight="15" x14ac:dyDescent="0.4"/>
  <cols>
    <col min="1" max="1" width="9.265625" style="2" customWidth="1"/>
    <col min="2" max="2" width="14.59765625" style="2" bestFit="1" customWidth="1"/>
    <col min="3" max="9" width="9.265625" style="2"/>
    <col min="10" max="10" width="11.59765625" style="2" customWidth="1"/>
    <col min="11" max="16384" width="9.265625" style="2"/>
  </cols>
  <sheetData>
    <row r="1" spans="1:14" x14ac:dyDescent="0.4">
      <c r="A1" s="93" t="str">
        <f>+'Cover Page'!$B$29</f>
        <v>Annual Performance Report 2022</v>
      </c>
      <c r="B1" s="93"/>
      <c r="C1" s="93"/>
      <c r="D1" s="93"/>
      <c r="E1" s="93" t="str">
        <f>+'Cover Page'!$B$33</f>
        <v>EQUANS FM Ltd</v>
      </c>
      <c r="F1" s="93"/>
      <c r="G1" s="93"/>
      <c r="H1" s="93"/>
      <c r="I1" s="93"/>
      <c r="J1" s="93"/>
      <c r="K1" s="93"/>
      <c r="L1" s="93"/>
      <c r="M1" s="93"/>
      <c r="N1" s="93"/>
    </row>
    <row r="3" spans="1:14" x14ac:dyDescent="0.4">
      <c r="A3" s="51" t="s">
        <v>143</v>
      </c>
      <c r="B3" s="105"/>
      <c r="C3" s="105"/>
      <c r="D3" s="105"/>
      <c r="E3" s="105"/>
      <c r="F3" s="105"/>
      <c r="G3" s="105"/>
      <c r="H3" s="105"/>
      <c r="I3" s="106"/>
      <c r="J3" s="93"/>
      <c r="K3" s="81" t="s">
        <v>3</v>
      </c>
      <c r="L3" s="93"/>
      <c r="M3" s="93"/>
      <c r="N3" s="93"/>
    </row>
    <row r="4" spans="1:14" x14ac:dyDescent="0.4">
      <c r="A4" s="107"/>
      <c r="B4" s="108"/>
      <c r="C4" s="108"/>
      <c r="D4" s="108"/>
      <c r="E4" s="108"/>
      <c r="F4" s="108"/>
      <c r="G4" s="108"/>
      <c r="H4" s="108"/>
      <c r="I4" s="109"/>
      <c r="J4" s="93"/>
      <c r="K4" s="93"/>
      <c r="L4" s="93"/>
      <c r="M4" s="93"/>
      <c r="N4" s="93"/>
    </row>
    <row r="5" spans="1:14" ht="15.75" customHeight="1" x14ac:dyDescent="0.4">
      <c r="A5" s="207" t="s">
        <v>405</v>
      </c>
      <c r="B5" s="208"/>
      <c r="C5" s="208"/>
      <c r="D5" s="208"/>
      <c r="E5" s="208"/>
      <c r="F5" s="208"/>
      <c r="G5" s="208"/>
      <c r="H5" s="208"/>
      <c r="I5" s="209"/>
      <c r="J5" s="93"/>
      <c r="K5" s="224" t="s">
        <v>144</v>
      </c>
      <c r="L5" s="224"/>
      <c r="M5" s="224"/>
      <c r="N5" s="224"/>
    </row>
    <row r="6" spans="1:14" x14ac:dyDescent="0.4">
      <c r="A6" s="210"/>
      <c r="B6" s="211"/>
      <c r="C6" s="211"/>
      <c r="D6" s="211"/>
      <c r="E6" s="211"/>
      <c r="F6" s="211"/>
      <c r="G6" s="211"/>
      <c r="H6" s="211"/>
      <c r="I6" s="212"/>
      <c r="J6" s="93"/>
      <c r="K6" s="224"/>
      <c r="L6" s="224"/>
      <c r="M6" s="224"/>
      <c r="N6" s="224"/>
    </row>
    <row r="7" spans="1:14" x14ac:dyDescent="0.4">
      <c r="A7" s="210"/>
      <c r="B7" s="211"/>
      <c r="C7" s="211"/>
      <c r="D7" s="211"/>
      <c r="E7" s="211"/>
      <c r="F7" s="211"/>
      <c r="G7" s="211"/>
      <c r="H7" s="211"/>
      <c r="I7" s="212"/>
      <c r="J7" s="93"/>
      <c r="K7" s="224"/>
      <c r="L7" s="224"/>
      <c r="M7" s="224"/>
      <c r="N7" s="224"/>
    </row>
    <row r="8" spans="1:14" ht="15.75" customHeight="1" x14ac:dyDescent="0.4">
      <c r="A8" s="210"/>
      <c r="B8" s="211"/>
      <c r="C8" s="211"/>
      <c r="D8" s="211"/>
      <c r="E8" s="211"/>
      <c r="F8" s="211"/>
      <c r="G8" s="211"/>
      <c r="H8" s="211"/>
      <c r="I8" s="212"/>
      <c r="J8" s="93"/>
      <c r="K8" s="224"/>
      <c r="L8" s="224"/>
      <c r="M8" s="224"/>
      <c r="N8" s="224"/>
    </row>
    <row r="9" spans="1:14" ht="15.75" customHeight="1" x14ac:dyDescent="0.4">
      <c r="A9" s="210"/>
      <c r="B9" s="211"/>
      <c r="C9" s="211"/>
      <c r="D9" s="211"/>
      <c r="E9" s="211"/>
      <c r="F9" s="211"/>
      <c r="G9" s="211"/>
      <c r="H9" s="211"/>
      <c r="I9" s="212"/>
      <c r="J9" s="93"/>
      <c r="K9" s="224"/>
      <c r="L9" s="224"/>
      <c r="M9" s="224"/>
      <c r="N9" s="224"/>
    </row>
    <row r="10" spans="1:14" ht="15.75" customHeight="1" x14ac:dyDescent="0.4">
      <c r="A10" s="210"/>
      <c r="B10" s="211"/>
      <c r="C10" s="211"/>
      <c r="D10" s="211"/>
      <c r="E10" s="211"/>
      <c r="F10" s="211"/>
      <c r="G10" s="211"/>
      <c r="H10" s="211"/>
      <c r="I10" s="212"/>
      <c r="J10" s="93"/>
      <c r="K10" s="224"/>
      <c r="L10" s="224"/>
      <c r="M10" s="224"/>
      <c r="N10" s="224"/>
    </row>
    <row r="11" spans="1:14" ht="15.75" customHeight="1" x14ac:dyDescent="0.4">
      <c r="A11" s="210"/>
      <c r="B11" s="211"/>
      <c r="C11" s="211"/>
      <c r="D11" s="211"/>
      <c r="E11" s="211"/>
      <c r="F11" s="211"/>
      <c r="G11" s="211"/>
      <c r="H11" s="211"/>
      <c r="I11" s="212"/>
      <c r="J11" s="93"/>
      <c r="K11" s="224"/>
      <c r="L11" s="224"/>
      <c r="M11" s="224"/>
      <c r="N11" s="224"/>
    </row>
    <row r="12" spans="1:14" ht="15.75" customHeight="1" x14ac:dyDescent="0.4">
      <c r="A12" s="210"/>
      <c r="B12" s="211"/>
      <c r="C12" s="211"/>
      <c r="D12" s="211"/>
      <c r="E12" s="211"/>
      <c r="F12" s="211"/>
      <c r="G12" s="211"/>
      <c r="H12" s="211"/>
      <c r="I12" s="212"/>
      <c r="J12" s="93"/>
      <c r="K12" s="224"/>
      <c r="L12" s="224"/>
      <c r="M12" s="224"/>
      <c r="N12" s="224"/>
    </row>
    <row r="13" spans="1:14" ht="15.75" customHeight="1" x14ac:dyDescent="0.4">
      <c r="A13" s="210"/>
      <c r="B13" s="211"/>
      <c r="C13" s="211"/>
      <c r="D13" s="211"/>
      <c r="E13" s="211"/>
      <c r="F13" s="211"/>
      <c r="G13" s="211"/>
      <c r="H13" s="211"/>
      <c r="I13" s="212"/>
      <c r="J13" s="93"/>
      <c r="K13" s="224"/>
      <c r="L13" s="224"/>
      <c r="M13" s="224"/>
      <c r="N13" s="224"/>
    </row>
    <row r="14" spans="1:14" ht="15.75" customHeight="1" x14ac:dyDescent="0.4">
      <c r="A14" s="210"/>
      <c r="B14" s="211"/>
      <c r="C14" s="211"/>
      <c r="D14" s="211"/>
      <c r="E14" s="211"/>
      <c r="F14" s="211"/>
      <c r="G14" s="211"/>
      <c r="H14" s="211"/>
      <c r="I14" s="212"/>
      <c r="J14" s="93"/>
      <c r="K14" s="224"/>
      <c r="L14" s="224"/>
      <c r="M14" s="224"/>
      <c r="N14" s="224"/>
    </row>
    <row r="15" spans="1:14" ht="15.75" customHeight="1" x14ac:dyDescent="0.4">
      <c r="A15" s="210"/>
      <c r="B15" s="211"/>
      <c r="C15" s="211"/>
      <c r="D15" s="211"/>
      <c r="E15" s="211"/>
      <c r="F15" s="211"/>
      <c r="G15" s="211"/>
      <c r="H15" s="211"/>
      <c r="I15" s="212"/>
      <c r="J15" s="93"/>
      <c r="K15" s="93"/>
      <c r="L15" s="93"/>
      <c r="M15" s="93"/>
      <c r="N15" s="93"/>
    </row>
    <row r="16" spans="1:14" ht="15.75" customHeight="1" x14ac:dyDescent="0.4">
      <c r="A16" s="210"/>
      <c r="B16" s="211"/>
      <c r="C16" s="211"/>
      <c r="D16" s="211"/>
      <c r="E16" s="211"/>
      <c r="F16" s="211"/>
      <c r="G16" s="211"/>
      <c r="H16" s="211"/>
      <c r="I16" s="212"/>
      <c r="J16" s="93"/>
      <c r="K16" s="93"/>
      <c r="L16" s="93"/>
      <c r="M16" s="93"/>
      <c r="N16" s="93"/>
    </row>
    <row r="17" spans="1:14" ht="15.75" customHeight="1" x14ac:dyDescent="0.4">
      <c r="A17" s="210"/>
      <c r="B17" s="211"/>
      <c r="C17" s="211"/>
      <c r="D17" s="211"/>
      <c r="E17" s="211"/>
      <c r="F17" s="211"/>
      <c r="G17" s="211"/>
      <c r="H17" s="211"/>
      <c r="I17" s="212"/>
      <c r="J17" s="93"/>
      <c r="K17" s="93"/>
      <c r="L17" s="93"/>
      <c r="M17" s="93"/>
      <c r="N17" s="93"/>
    </row>
    <row r="18" spans="1:14" x14ac:dyDescent="0.4">
      <c r="A18" s="210"/>
      <c r="B18" s="211"/>
      <c r="C18" s="211"/>
      <c r="D18" s="211"/>
      <c r="E18" s="211"/>
      <c r="F18" s="211"/>
      <c r="G18" s="211"/>
      <c r="H18" s="211"/>
      <c r="I18" s="212"/>
      <c r="J18" s="93"/>
      <c r="K18" s="93"/>
      <c r="L18" s="93"/>
      <c r="M18" s="93"/>
      <c r="N18" s="93"/>
    </row>
    <row r="19" spans="1:14" x14ac:dyDescent="0.4">
      <c r="A19" s="210"/>
      <c r="B19" s="211"/>
      <c r="C19" s="211"/>
      <c r="D19" s="211"/>
      <c r="E19" s="211"/>
      <c r="F19" s="211"/>
      <c r="G19" s="211"/>
      <c r="H19" s="211"/>
      <c r="I19" s="212"/>
      <c r="J19" s="93"/>
      <c r="K19" s="93"/>
      <c r="L19" s="93"/>
      <c r="M19" s="93"/>
      <c r="N19" s="93"/>
    </row>
    <row r="20" spans="1:14" x14ac:dyDescent="0.4">
      <c r="A20" s="210"/>
      <c r="B20" s="211"/>
      <c r="C20" s="211"/>
      <c r="D20" s="211"/>
      <c r="E20" s="211"/>
      <c r="F20" s="211"/>
      <c r="G20" s="211"/>
      <c r="H20" s="211"/>
      <c r="I20" s="212"/>
      <c r="J20" s="93"/>
      <c r="K20" s="93"/>
      <c r="L20" s="93"/>
      <c r="M20" s="93"/>
      <c r="N20" s="93"/>
    </row>
    <row r="21" spans="1:14" x14ac:dyDescent="0.4">
      <c r="A21" s="210"/>
      <c r="B21" s="211"/>
      <c r="C21" s="211"/>
      <c r="D21" s="211"/>
      <c r="E21" s="211"/>
      <c r="F21" s="211"/>
      <c r="G21" s="211"/>
      <c r="H21" s="211"/>
      <c r="I21" s="212"/>
      <c r="J21" s="93"/>
      <c r="K21" s="93"/>
      <c r="L21" s="93"/>
      <c r="M21" s="93"/>
      <c r="N21" s="93"/>
    </row>
    <row r="22" spans="1:14" ht="15.6" customHeight="1" x14ac:dyDescent="0.4">
      <c r="A22" s="210"/>
      <c r="B22" s="211"/>
      <c r="C22" s="211"/>
      <c r="D22" s="211"/>
      <c r="E22" s="211"/>
      <c r="F22" s="211"/>
      <c r="G22" s="211"/>
      <c r="H22" s="211"/>
      <c r="I22" s="212"/>
      <c r="J22" s="93"/>
      <c r="K22" s="151"/>
      <c r="L22" s="151"/>
      <c r="M22" s="151"/>
      <c r="N22" s="151"/>
    </row>
    <row r="23" spans="1:14" x14ac:dyDescent="0.4">
      <c r="A23" s="210"/>
      <c r="B23" s="211"/>
      <c r="C23" s="211"/>
      <c r="D23" s="211"/>
      <c r="E23" s="211"/>
      <c r="F23" s="211"/>
      <c r="G23" s="211"/>
      <c r="H23" s="211"/>
      <c r="I23" s="212"/>
      <c r="J23" s="93"/>
      <c r="K23" s="151"/>
      <c r="L23" s="151"/>
      <c r="M23" s="151"/>
      <c r="N23" s="151"/>
    </row>
    <row r="24" spans="1:14" x14ac:dyDescent="0.4">
      <c r="A24" s="210"/>
      <c r="B24" s="211"/>
      <c r="C24" s="211"/>
      <c r="D24" s="211"/>
      <c r="E24" s="211"/>
      <c r="F24" s="211"/>
      <c r="G24" s="211"/>
      <c r="H24" s="211"/>
      <c r="I24" s="212"/>
      <c r="J24" s="93"/>
      <c r="K24" s="151"/>
      <c r="L24" s="151"/>
      <c r="M24" s="151"/>
      <c r="N24" s="151"/>
    </row>
    <row r="25" spans="1:14" x14ac:dyDescent="0.4">
      <c r="A25" s="210"/>
      <c r="B25" s="211"/>
      <c r="C25" s="211"/>
      <c r="D25" s="211"/>
      <c r="E25" s="211"/>
      <c r="F25" s="211"/>
      <c r="G25" s="211"/>
      <c r="H25" s="211"/>
      <c r="I25" s="212"/>
      <c r="J25" s="93"/>
      <c r="K25" s="151"/>
      <c r="L25" s="151"/>
      <c r="M25" s="151"/>
      <c r="N25" s="151"/>
    </row>
    <row r="26" spans="1:14" x14ac:dyDescent="0.4">
      <c r="A26" s="210"/>
      <c r="B26" s="211"/>
      <c r="C26" s="211"/>
      <c r="D26" s="211"/>
      <c r="E26" s="211"/>
      <c r="F26" s="211"/>
      <c r="G26" s="211"/>
      <c r="H26" s="211"/>
      <c r="I26" s="212"/>
      <c r="J26" s="93"/>
      <c r="K26" s="151"/>
      <c r="L26" s="151"/>
      <c r="M26" s="151"/>
      <c r="N26" s="151"/>
    </row>
    <row r="27" spans="1:14" x14ac:dyDescent="0.4">
      <c r="A27" s="213"/>
      <c r="B27" s="214"/>
      <c r="C27" s="214"/>
      <c r="D27" s="214"/>
      <c r="E27" s="214"/>
      <c r="F27" s="214"/>
      <c r="G27" s="214"/>
      <c r="H27" s="214"/>
      <c r="I27" s="215"/>
      <c r="J27" s="93"/>
      <c r="K27" s="151"/>
      <c r="L27" s="151"/>
      <c r="M27" s="151"/>
      <c r="N27" s="151"/>
    </row>
    <row r="28" spans="1:14" x14ac:dyDescent="0.4">
      <c r="A28" s="93"/>
      <c r="B28" s="93"/>
      <c r="C28" s="93"/>
      <c r="D28" s="93"/>
      <c r="E28" s="93"/>
      <c r="F28" s="93"/>
      <c r="G28" s="93"/>
      <c r="H28" s="93"/>
      <c r="I28" s="93"/>
      <c r="J28" s="93"/>
      <c r="K28" s="151"/>
      <c r="L28" s="151"/>
      <c r="M28" s="151"/>
      <c r="N28" s="151"/>
    </row>
    <row r="29" spans="1:14" x14ac:dyDescent="0.4">
      <c r="A29" s="51" t="s">
        <v>145</v>
      </c>
      <c r="B29" s="105"/>
      <c r="C29" s="105"/>
      <c r="D29" s="105"/>
      <c r="E29" s="105"/>
      <c r="F29" s="105"/>
      <c r="G29" s="105"/>
      <c r="H29" s="105"/>
      <c r="I29" s="106"/>
      <c r="J29" s="93"/>
      <c r="K29" s="151"/>
      <c r="L29" s="151"/>
      <c r="M29" s="151"/>
      <c r="N29" s="151"/>
    </row>
    <row r="30" spans="1:14" x14ac:dyDescent="0.4">
      <c r="A30" s="107"/>
      <c r="B30" s="108"/>
      <c r="C30" s="108"/>
      <c r="D30" s="108"/>
      <c r="E30" s="108"/>
      <c r="F30" s="108"/>
      <c r="G30" s="108"/>
      <c r="H30" s="108"/>
      <c r="I30" s="109"/>
      <c r="J30" s="93"/>
      <c r="K30" s="151"/>
      <c r="L30" s="151"/>
      <c r="M30" s="151"/>
      <c r="N30" s="151"/>
    </row>
    <row r="31" spans="1:14" x14ac:dyDescent="0.4">
      <c r="A31" s="207" t="s">
        <v>406</v>
      </c>
      <c r="B31" s="216"/>
      <c r="C31" s="216"/>
      <c r="D31" s="216"/>
      <c r="E31" s="216"/>
      <c r="F31" s="216"/>
      <c r="G31" s="216"/>
      <c r="H31" s="216"/>
      <c r="I31" s="217"/>
      <c r="J31" s="93"/>
      <c r="K31" s="224" t="s">
        <v>146</v>
      </c>
      <c r="L31" s="224"/>
      <c r="M31" s="224"/>
      <c r="N31" s="224"/>
    </row>
    <row r="32" spans="1:14" x14ac:dyDescent="0.4">
      <c r="A32" s="218"/>
      <c r="B32" s="219"/>
      <c r="C32" s="219"/>
      <c r="D32" s="219"/>
      <c r="E32" s="219"/>
      <c r="F32" s="219"/>
      <c r="G32" s="219"/>
      <c r="H32" s="219"/>
      <c r="I32" s="220"/>
      <c r="J32" s="93"/>
      <c r="K32" s="224"/>
      <c r="L32" s="224"/>
      <c r="M32" s="224"/>
      <c r="N32" s="224"/>
    </row>
    <row r="33" spans="1:14" x14ac:dyDescent="0.4">
      <c r="A33" s="218"/>
      <c r="B33" s="219"/>
      <c r="C33" s="219"/>
      <c r="D33" s="219"/>
      <c r="E33" s="219"/>
      <c r="F33" s="219"/>
      <c r="G33" s="219"/>
      <c r="H33" s="219"/>
      <c r="I33" s="220"/>
      <c r="J33" s="93"/>
      <c r="K33" s="224"/>
      <c r="L33" s="224"/>
      <c r="M33" s="224"/>
      <c r="N33" s="224"/>
    </row>
    <row r="34" spans="1:14" x14ac:dyDescent="0.4">
      <c r="A34" s="218"/>
      <c r="B34" s="219"/>
      <c r="C34" s="219"/>
      <c r="D34" s="219"/>
      <c r="E34" s="219"/>
      <c r="F34" s="219"/>
      <c r="G34" s="219"/>
      <c r="H34" s="219"/>
      <c r="I34" s="220"/>
      <c r="J34" s="93"/>
      <c r="K34" s="224"/>
      <c r="L34" s="224"/>
      <c r="M34" s="224"/>
      <c r="N34" s="224"/>
    </row>
    <row r="35" spans="1:14" x14ac:dyDescent="0.4">
      <c r="A35" s="218"/>
      <c r="B35" s="219"/>
      <c r="C35" s="219"/>
      <c r="D35" s="219"/>
      <c r="E35" s="219"/>
      <c r="F35" s="219"/>
      <c r="G35" s="219"/>
      <c r="H35" s="219"/>
      <c r="I35" s="220"/>
      <c r="J35" s="93"/>
      <c r="K35" s="224"/>
      <c r="L35" s="224"/>
      <c r="M35" s="224"/>
      <c r="N35" s="224"/>
    </row>
    <row r="36" spans="1:14" x14ac:dyDescent="0.4">
      <c r="A36" s="218"/>
      <c r="B36" s="219"/>
      <c r="C36" s="219"/>
      <c r="D36" s="219"/>
      <c r="E36" s="219"/>
      <c r="F36" s="219"/>
      <c r="G36" s="219"/>
      <c r="H36" s="219"/>
      <c r="I36" s="220"/>
      <c r="J36" s="93"/>
      <c r="K36" s="224"/>
      <c r="L36" s="224"/>
      <c r="M36" s="224"/>
      <c r="N36" s="224"/>
    </row>
    <row r="37" spans="1:14" x14ac:dyDescent="0.4">
      <c r="A37" s="218"/>
      <c r="B37" s="219"/>
      <c r="C37" s="219"/>
      <c r="D37" s="219"/>
      <c r="E37" s="219"/>
      <c r="F37" s="219"/>
      <c r="G37" s="219"/>
      <c r="H37" s="219"/>
      <c r="I37" s="220"/>
      <c r="J37" s="93"/>
      <c r="K37" s="224"/>
      <c r="L37" s="224"/>
      <c r="M37" s="224"/>
      <c r="N37" s="224"/>
    </row>
    <row r="38" spans="1:14" ht="14.25" customHeight="1" x14ac:dyDescent="0.4">
      <c r="A38" s="218"/>
      <c r="B38" s="219"/>
      <c r="C38" s="219"/>
      <c r="D38" s="219"/>
      <c r="E38" s="219"/>
      <c r="F38" s="219"/>
      <c r="G38" s="219"/>
      <c r="H38" s="219"/>
      <c r="I38" s="220"/>
      <c r="J38" s="93"/>
      <c r="K38" s="224"/>
      <c r="L38" s="224"/>
      <c r="M38" s="224"/>
      <c r="N38" s="224"/>
    </row>
    <row r="39" spans="1:14" x14ac:dyDescent="0.4">
      <c r="A39" s="218"/>
      <c r="B39" s="219"/>
      <c r="C39" s="219"/>
      <c r="D39" s="219"/>
      <c r="E39" s="219"/>
      <c r="F39" s="219"/>
      <c r="G39" s="219"/>
      <c r="H39" s="219"/>
      <c r="I39" s="220"/>
      <c r="J39" s="93"/>
      <c r="K39" s="224"/>
      <c r="L39" s="224"/>
      <c r="M39" s="224"/>
      <c r="N39" s="224"/>
    </row>
    <row r="40" spans="1:14" x14ac:dyDescent="0.4">
      <c r="A40" s="218"/>
      <c r="B40" s="219"/>
      <c r="C40" s="219"/>
      <c r="D40" s="219"/>
      <c r="E40" s="219"/>
      <c r="F40" s="219"/>
      <c r="G40" s="219"/>
      <c r="H40" s="219"/>
      <c r="I40" s="220"/>
      <c r="J40" s="93"/>
      <c r="K40" s="224"/>
      <c r="L40" s="224"/>
      <c r="M40" s="224"/>
      <c r="N40" s="224"/>
    </row>
    <row r="41" spans="1:14" x14ac:dyDescent="0.4">
      <c r="A41" s="218"/>
      <c r="B41" s="219"/>
      <c r="C41" s="219"/>
      <c r="D41" s="219"/>
      <c r="E41" s="219"/>
      <c r="F41" s="219"/>
      <c r="G41" s="219"/>
      <c r="H41" s="219"/>
      <c r="I41" s="220"/>
      <c r="J41" s="93"/>
      <c r="K41" s="93"/>
      <c r="L41" s="93"/>
      <c r="M41" s="93"/>
      <c r="N41" s="93"/>
    </row>
    <row r="42" spans="1:14" x14ac:dyDescent="0.4">
      <c r="A42" s="218"/>
      <c r="B42" s="219"/>
      <c r="C42" s="219"/>
      <c r="D42" s="219"/>
      <c r="E42" s="219"/>
      <c r="F42" s="219"/>
      <c r="G42" s="219"/>
      <c r="H42" s="219"/>
      <c r="I42" s="220"/>
      <c r="J42" s="93"/>
      <c r="K42" s="93"/>
      <c r="L42" s="93"/>
      <c r="M42" s="93"/>
      <c r="N42" s="93"/>
    </row>
    <row r="43" spans="1:14" x14ac:dyDescent="0.4">
      <c r="A43" s="218"/>
      <c r="B43" s="219"/>
      <c r="C43" s="219"/>
      <c r="D43" s="219"/>
      <c r="E43" s="219"/>
      <c r="F43" s="219"/>
      <c r="G43" s="219"/>
      <c r="H43" s="219"/>
      <c r="I43" s="220"/>
      <c r="J43" s="93"/>
      <c r="K43" s="93"/>
      <c r="L43" s="93"/>
      <c r="M43" s="93"/>
      <c r="N43" s="93"/>
    </row>
    <row r="44" spans="1:14" x14ac:dyDescent="0.4">
      <c r="A44" s="218"/>
      <c r="B44" s="219"/>
      <c r="C44" s="219"/>
      <c r="D44" s="219"/>
      <c r="E44" s="219"/>
      <c r="F44" s="219"/>
      <c r="G44" s="219"/>
      <c r="H44" s="219"/>
      <c r="I44" s="220"/>
      <c r="J44" s="93"/>
      <c r="K44" s="93"/>
      <c r="L44" s="93"/>
      <c r="M44" s="93"/>
      <c r="N44" s="93"/>
    </row>
    <row r="45" spans="1:14" x14ac:dyDescent="0.4">
      <c r="A45" s="218"/>
      <c r="B45" s="219"/>
      <c r="C45" s="219"/>
      <c r="D45" s="219"/>
      <c r="E45" s="219"/>
      <c r="F45" s="219"/>
      <c r="G45" s="219"/>
      <c r="H45" s="219"/>
      <c r="I45" s="220"/>
      <c r="J45" s="93"/>
      <c r="K45" s="93"/>
      <c r="L45" s="93"/>
      <c r="M45" s="93"/>
      <c r="N45" s="93"/>
    </row>
    <row r="46" spans="1:14" x14ac:dyDescent="0.4">
      <c r="A46" s="218"/>
      <c r="B46" s="219"/>
      <c r="C46" s="219"/>
      <c r="D46" s="219"/>
      <c r="E46" s="219"/>
      <c r="F46" s="219"/>
      <c r="G46" s="219"/>
      <c r="H46" s="219"/>
      <c r="I46" s="220"/>
      <c r="J46" s="93"/>
      <c r="K46" s="93"/>
      <c r="L46" s="93"/>
      <c r="M46" s="93"/>
      <c r="N46" s="93"/>
    </row>
    <row r="47" spans="1:14" x14ac:dyDescent="0.4">
      <c r="A47" s="218"/>
      <c r="B47" s="219"/>
      <c r="C47" s="219"/>
      <c r="D47" s="219"/>
      <c r="E47" s="219"/>
      <c r="F47" s="219"/>
      <c r="G47" s="219"/>
      <c r="H47" s="219"/>
      <c r="I47" s="220"/>
      <c r="J47" s="93"/>
      <c r="K47" s="93"/>
      <c r="L47" s="93"/>
      <c r="M47" s="93"/>
      <c r="N47" s="93"/>
    </row>
    <row r="48" spans="1:14" x14ac:dyDescent="0.4">
      <c r="A48" s="218"/>
      <c r="B48" s="219"/>
      <c r="C48" s="219"/>
      <c r="D48" s="219"/>
      <c r="E48" s="219"/>
      <c r="F48" s="219"/>
      <c r="G48" s="219"/>
      <c r="H48" s="219"/>
      <c r="I48" s="220"/>
      <c r="J48" s="93"/>
      <c r="K48" s="93"/>
      <c r="L48" s="93"/>
      <c r="M48" s="93"/>
      <c r="N48" s="93"/>
    </row>
    <row r="49" spans="1:9" x14ac:dyDescent="0.4">
      <c r="A49" s="218"/>
      <c r="B49" s="219"/>
      <c r="C49" s="219"/>
      <c r="D49" s="219"/>
      <c r="E49" s="219"/>
      <c r="F49" s="219"/>
      <c r="G49" s="219"/>
      <c r="H49" s="219"/>
      <c r="I49" s="220"/>
    </row>
    <row r="50" spans="1:9" x14ac:dyDescent="0.4">
      <c r="A50" s="218"/>
      <c r="B50" s="219"/>
      <c r="C50" s="219"/>
      <c r="D50" s="219"/>
      <c r="E50" s="219"/>
      <c r="F50" s="219"/>
      <c r="G50" s="219"/>
      <c r="H50" s="219"/>
      <c r="I50" s="220"/>
    </row>
    <row r="51" spans="1:9" x14ac:dyDescent="0.4">
      <c r="A51" s="218"/>
      <c r="B51" s="219"/>
      <c r="C51" s="219"/>
      <c r="D51" s="219"/>
      <c r="E51" s="219"/>
      <c r="F51" s="219"/>
      <c r="G51" s="219"/>
      <c r="H51" s="219"/>
      <c r="I51" s="220"/>
    </row>
    <row r="52" spans="1:9" x14ac:dyDescent="0.4">
      <c r="A52" s="221"/>
      <c r="B52" s="222"/>
      <c r="C52" s="222"/>
      <c r="D52" s="222"/>
      <c r="E52" s="222"/>
      <c r="F52" s="222"/>
      <c r="G52" s="222"/>
      <c r="H52" s="222"/>
      <c r="I52" s="223"/>
    </row>
    <row r="66" spans="6:6" x14ac:dyDescent="0.4">
      <c r="F66" s="3"/>
    </row>
  </sheetData>
  <mergeCells count="4">
    <mergeCell ref="A5:I27"/>
    <mergeCell ref="A31:I52"/>
    <mergeCell ref="K5:N14"/>
    <mergeCell ref="K31:N40"/>
  </mergeCells>
  <pageMargins left="0.7" right="0.7" top="0.75" bottom="0.75" header="0.3" footer="0.3"/>
  <pageSetup paperSize="9" scale="87" orientation="portrait"/>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K63"/>
  <sheetViews>
    <sheetView showGridLines="0" topLeftCell="A41" zoomScaleNormal="100" workbookViewId="0">
      <selection activeCell="J54" sqref="J54"/>
    </sheetView>
  </sheetViews>
  <sheetFormatPr defaultColWidth="9.265625" defaultRowHeight="15" x14ac:dyDescent="0.4"/>
  <cols>
    <col min="1" max="7" width="9.265625" style="2"/>
    <col min="8" max="8" width="14.59765625" style="2" bestFit="1" customWidth="1"/>
    <col min="9" max="16384" width="9.265625" style="2"/>
  </cols>
  <sheetData>
    <row r="1" spans="1:10" x14ac:dyDescent="0.4">
      <c r="A1" s="33">
        <f>+'Cover Page'!C39</f>
        <v>2022</v>
      </c>
      <c r="B1" s="34" t="s">
        <v>147</v>
      </c>
      <c r="C1" s="34"/>
      <c r="D1" s="34"/>
      <c r="E1" s="34"/>
      <c r="F1" s="34"/>
      <c r="G1" s="34"/>
      <c r="H1" s="34"/>
      <c r="I1" s="34"/>
      <c r="J1" s="34"/>
    </row>
    <row r="2" spans="1:10" ht="8.25" customHeight="1" x14ac:dyDescent="0.4">
      <c r="A2" s="93"/>
      <c r="B2" s="93"/>
      <c r="C2" s="93"/>
      <c r="D2" s="93"/>
      <c r="E2" s="93"/>
      <c r="F2" s="93"/>
      <c r="G2" s="93"/>
      <c r="H2" s="93"/>
      <c r="I2" s="93"/>
      <c r="J2" s="93"/>
    </row>
    <row r="3" spans="1:10" s="3" customFormat="1" ht="13.5" x14ac:dyDescent="0.35">
      <c r="A3" s="275" t="str">
        <f>+'Cover Page'!B31</f>
        <v>Permit EPR/GP3509PX</v>
      </c>
      <c r="B3" s="275"/>
      <c r="C3" s="275"/>
      <c r="D3" s="275"/>
      <c r="E3" s="275"/>
      <c r="F3" s="3" t="s">
        <v>148</v>
      </c>
      <c r="G3" s="276" t="str">
        <f>'Cover Page'!B33</f>
        <v>EQUANS FM Ltd</v>
      </c>
      <c r="H3" s="276"/>
      <c r="I3" s="276"/>
    </row>
    <row r="4" spans="1:10" s="3" customFormat="1" ht="13.5" x14ac:dyDescent="0.35">
      <c r="A4" s="171"/>
      <c r="B4" s="171"/>
      <c r="C4" s="171"/>
      <c r="D4" s="171"/>
      <c r="E4" s="171"/>
      <c r="G4" s="172"/>
      <c r="H4" s="172"/>
      <c r="I4" s="172"/>
    </row>
    <row r="5" spans="1:10" s="3" customFormat="1" ht="13.5" x14ac:dyDescent="0.35">
      <c r="A5" s="3" t="s">
        <v>149</v>
      </c>
      <c r="B5" s="275" t="str">
        <f>'Cover Page'!B35</f>
        <v>Birmingham Bio Power</v>
      </c>
      <c r="C5" s="275"/>
      <c r="D5" s="275"/>
      <c r="E5" s="275"/>
      <c r="F5" s="3" t="s">
        <v>150</v>
      </c>
      <c r="G5" s="3" t="s">
        <v>151</v>
      </c>
    </row>
    <row r="6" spans="1:10" s="3" customFormat="1" ht="11.25" customHeight="1" x14ac:dyDescent="0.35"/>
    <row r="7" spans="1:10" s="3" customFormat="1" ht="14.25" customHeight="1" x14ac:dyDescent="0.35">
      <c r="A7" s="3" t="s">
        <v>152</v>
      </c>
      <c r="D7" s="277">
        <v>44562</v>
      </c>
      <c r="E7" s="277"/>
      <c r="F7" s="35" t="s">
        <v>153</v>
      </c>
      <c r="G7" s="277">
        <v>44926</v>
      </c>
      <c r="H7" s="277"/>
    </row>
    <row r="8" spans="1:10" s="3" customFormat="1" ht="7.5" customHeight="1" x14ac:dyDescent="0.35"/>
    <row r="9" spans="1:10" s="3" customFormat="1" x14ac:dyDescent="0.45">
      <c r="A9" s="9">
        <f>+A1</f>
        <v>2022</v>
      </c>
      <c r="B9" s="34" t="s">
        <v>154</v>
      </c>
      <c r="C9"/>
      <c r="D9"/>
      <c r="E9"/>
      <c r="F9"/>
      <c r="G9"/>
    </row>
    <row r="10" spans="1:10" s="3" customFormat="1" ht="28.5" customHeight="1" x14ac:dyDescent="0.35">
      <c r="A10" s="278" t="s">
        <v>155</v>
      </c>
      <c r="B10" s="278"/>
      <c r="C10" s="278" t="s">
        <v>156</v>
      </c>
      <c r="D10" s="278"/>
      <c r="E10" s="278" t="s">
        <v>157</v>
      </c>
      <c r="F10" s="278"/>
      <c r="G10" s="278" t="s">
        <v>158</v>
      </c>
      <c r="H10" s="278"/>
      <c r="I10" s="278" t="s">
        <v>159</v>
      </c>
      <c r="J10" s="278"/>
    </row>
    <row r="11" spans="1:10" s="3" customFormat="1" ht="14.25" customHeight="1" x14ac:dyDescent="0.35">
      <c r="A11" s="237" t="s">
        <v>160</v>
      </c>
      <c r="B11" s="237"/>
      <c r="C11" s="237"/>
      <c r="D11" s="237"/>
      <c r="E11" s="237"/>
      <c r="F11" s="237"/>
      <c r="G11" s="237"/>
      <c r="H11" s="237"/>
      <c r="I11" s="237"/>
      <c r="J11" s="237"/>
    </row>
    <row r="12" spans="1:10" s="3" customFormat="1" ht="14.25" customHeight="1" x14ac:dyDescent="0.35">
      <c r="A12" s="237" t="s">
        <v>161</v>
      </c>
      <c r="B12" s="237"/>
      <c r="C12" s="264" t="s">
        <v>162</v>
      </c>
      <c r="D12" s="264"/>
      <c r="E12" s="265">
        <v>850.46</v>
      </c>
      <c r="F12" s="265"/>
      <c r="G12" s="265">
        <v>0</v>
      </c>
      <c r="H12" s="265"/>
      <c r="I12" s="266">
        <f>IF((E12+G12)&gt;0,(E12+G12)/'Operational Data'!$G$21, "-")</f>
        <v>1.4735766018643657E-2</v>
      </c>
      <c r="J12" s="266"/>
    </row>
    <row r="13" spans="1:10" s="3" customFormat="1" ht="14.25" customHeight="1" x14ac:dyDescent="0.35">
      <c r="A13" s="237" t="s">
        <v>163</v>
      </c>
      <c r="B13" s="237"/>
      <c r="C13" s="264" t="s">
        <v>162</v>
      </c>
      <c r="D13" s="264"/>
      <c r="E13" s="265">
        <v>1960.94</v>
      </c>
      <c r="F13" s="265"/>
      <c r="G13" s="265">
        <v>0</v>
      </c>
      <c r="H13" s="265"/>
      <c r="I13" s="266">
        <f>IF((E13+G13)&gt;0,(E13+G13)/'Operational Data'!$G$21, "-")</f>
        <v>3.3976851370551342E-2</v>
      </c>
      <c r="J13" s="266"/>
    </row>
    <row r="14" spans="1:10" s="3" customFormat="1" ht="14.25" customHeight="1" x14ac:dyDescent="0.35">
      <c r="A14" s="273"/>
      <c r="B14" s="273"/>
      <c r="C14" s="264"/>
      <c r="D14" s="264"/>
      <c r="E14" s="265"/>
      <c r="F14" s="265"/>
      <c r="G14" s="265"/>
      <c r="H14" s="265"/>
      <c r="I14" s="266" t="str">
        <f>IF((E14+G14)&gt;0,(E14+G14)/'Operational Data'!$G$21, "-")</f>
        <v>-</v>
      </c>
      <c r="J14" s="266"/>
    </row>
    <row r="15" spans="1:10" s="3" customFormat="1" ht="14.25" customHeight="1" x14ac:dyDescent="0.35">
      <c r="A15" s="273"/>
      <c r="B15" s="273"/>
      <c r="C15" s="264"/>
      <c r="D15" s="264"/>
      <c r="E15" s="265"/>
      <c r="F15" s="265"/>
      <c r="G15" s="265"/>
      <c r="H15" s="265"/>
      <c r="I15" s="266" t="str">
        <f>IF((E15+G15)&gt;0,(E15+G15)/'Operational Data'!$G$21, "-")</f>
        <v>-</v>
      </c>
      <c r="J15" s="266"/>
    </row>
    <row r="16" spans="1:10" s="3" customFormat="1" ht="14.25" customHeight="1" x14ac:dyDescent="0.35">
      <c r="A16" s="274" t="s">
        <v>164</v>
      </c>
      <c r="B16" s="274"/>
      <c r="C16" s="274"/>
      <c r="D16" s="274"/>
      <c r="E16" s="268">
        <f>SUM(E12:F15)</f>
        <v>2811.4</v>
      </c>
      <c r="F16" s="268"/>
      <c r="G16" s="268">
        <f>SUM(G12:H15)</f>
        <v>0</v>
      </c>
      <c r="H16" s="268"/>
      <c r="I16" s="266">
        <f>IF((E16+G16)&gt;0,(E16+G16)/'Operational Data'!$G$21, "-")</f>
        <v>4.8712617389194995E-2</v>
      </c>
      <c r="J16" s="266"/>
    </row>
    <row r="17" spans="1:10" s="3" customFormat="1" ht="14.25" customHeight="1" x14ac:dyDescent="0.35">
      <c r="A17" s="241"/>
      <c r="B17" s="242"/>
      <c r="C17" s="242"/>
      <c r="D17" s="242"/>
      <c r="E17" s="270"/>
      <c r="F17" s="270"/>
      <c r="G17" s="270"/>
      <c r="H17" s="270"/>
      <c r="I17" s="271"/>
      <c r="J17" s="245"/>
    </row>
    <row r="18" spans="1:10" s="3" customFormat="1" ht="14.25" customHeight="1" x14ac:dyDescent="0.35">
      <c r="A18" s="272" t="s">
        <v>165</v>
      </c>
      <c r="B18" s="272"/>
      <c r="C18" s="272"/>
      <c r="D18" s="272"/>
      <c r="E18" s="272"/>
      <c r="F18" s="272"/>
      <c r="G18" s="272"/>
      <c r="H18" s="272"/>
      <c r="I18" s="272"/>
      <c r="J18" s="272"/>
    </row>
    <row r="19" spans="1:10" ht="14.25" customHeight="1" x14ac:dyDescent="0.4">
      <c r="A19" s="237" t="s">
        <v>163</v>
      </c>
      <c r="B19" s="237"/>
      <c r="C19" s="264"/>
      <c r="D19" s="264"/>
      <c r="E19" s="265"/>
      <c r="F19" s="265"/>
      <c r="G19" s="265"/>
      <c r="H19" s="265"/>
      <c r="I19" s="266" t="str">
        <f>IF((E19+G19)&gt;0,(E19+G19)/'Operational Data'!$G$21, "-")</f>
        <v>-</v>
      </c>
      <c r="J19" s="266"/>
    </row>
    <row r="20" spans="1:10" s="3" customFormat="1" ht="14.25" customHeight="1" x14ac:dyDescent="0.35">
      <c r="A20" s="237" t="s">
        <v>166</v>
      </c>
      <c r="B20" s="237"/>
      <c r="C20" s="269" t="s">
        <v>167</v>
      </c>
      <c r="D20" s="269"/>
      <c r="E20" s="265">
        <v>223.52</v>
      </c>
      <c r="F20" s="265"/>
      <c r="G20" s="265">
        <v>110</v>
      </c>
      <c r="H20" s="265"/>
      <c r="I20" s="266">
        <f>IF((E20+G20)&gt;0,(E20+G20)/'Operational Data'!$G$21, "-")</f>
        <v>5.7788404893093529E-3</v>
      </c>
      <c r="J20" s="266"/>
    </row>
    <row r="21" spans="1:10" s="3" customFormat="1" ht="14.25" customHeight="1" x14ac:dyDescent="0.35">
      <c r="A21" s="237" t="s">
        <v>168</v>
      </c>
      <c r="B21" s="237"/>
      <c r="C21" s="264"/>
      <c r="D21" s="264"/>
      <c r="E21" s="265"/>
      <c r="F21" s="265"/>
      <c r="G21" s="265"/>
      <c r="H21" s="265"/>
      <c r="I21" s="266" t="str">
        <f>IF((E21+G21)&gt;0,(E21+G21)/'Operational Data'!$G$21, "-")</f>
        <v>-</v>
      </c>
      <c r="J21" s="266"/>
    </row>
    <row r="22" spans="1:10" s="3" customFormat="1" ht="14.25" customHeight="1" x14ac:dyDescent="0.35">
      <c r="A22" s="263"/>
      <c r="B22" s="263"/>
      <c r="C22" s="264"/>
      <c r="D22" s="264"/>
      <c r="E22" s="265"/>
      <c r="F22" s="265"/>
      <c r="G22" s="265"/>
      <c r="H22" s="265"/>
      <c r="I22" s="266" t="str">
        <f>IF((E22+G22)&gt;0,(E22+G22)/'Operational Data'!$G$21, "-")</f>
        <v>-</v>
      </c>
      <c r="J22" s="266"/>
    </row>
    <row r="23" spans="1:10" s="3" customFormat="1" ht="14.25" customHeight="1" x14ac:dyDescent="0.35">
      <c r="A23" s="263"/>
      <c r="B23" s="263"/>
      <c r="C23" s="264"/>
      <c r="D23" s="264"/>
      <c r="E23" s="265"/>
      <c r="F23" s="265"/>
      <c r="G23" s="265"/>
      <c r="H23" s="265"/>
      <c r="I23" s="266" t="str">
        <f>IF((E23+G23)&gt;0,(E23+G23)/'Operational Data'!$G$21, "-")</f>
        <v>-</v>
      </c>
      <c r="J23" s="266"/>
    </row>
    <row r="24" spans="1:10" s="3" customFormat="1" ht="14.25" customHeight="1" x14ac:dyDescent="0.35">
      <c r="A24" s="267" t="s">
        <v>169</v>
      </c>
      <c r="B24" s="267"/>
      <c r="C24" s="267"/>
      <c r="D24" s="267"/>
      <c r="E24" s="268">
        <f>SUM(E19:F23)</f>
        <v>223.52</v>
      </c>
      <c r="F24" s="268"/>
      <c r="G24" s="268">
        <f>SUM(G19:H23)</f>
        <v>110</v>
      </c>
      <c r="H24" s="268"/>
      <c r="I24" s="266">
        <f>IF((E24+G24)&gt;0,(E24+G24)/'Operational Data'!$G$21, "-")</f>
        <v>5.7788404893093529E-3</v>
      </c>
      <c r="J24" s="266"/>
    </row>
    <row r="25" spans="1:10" s="3" customFormat="1" ht="14.25" customHeight="1" x14ac:dyDescent="0.35">
      <c r="A25" s="260" t="s">
        <v>170</v>
      </c>
      <c r="B25" s="260"/>
      <c r="C25" s="260"/>
      <c r="D25" s="260"/>
      <c r="E25" s="261">
        <f>+E24+E16</f>
        <v>3034.92</v>
      </c>
      <c r="F25" s="261"/>
      <c r="G25" s="261">
        <f>+G24+G16</f>
        <v>110</v>
      </c>
      <c r="H25" s="261"/>
      <c r="I25" s="262">
        <f>IF((E25+G25)&gt;0,(E25+G25)/'Operational Data'!$G$21, "-")</f>
        <v>5.4491457878504353E-2</v>
      </c>
      <c r="J25" s="262"/>
    </row>
    <row r="26" spans="1:10" s="3" customFormat="1" ht="8.25" customHeight="1" x14ac:dyDescent="0.45">
      <c r="A26" s="154"/>
      <c r="B26"/>
      <c r="C26"/>
      <c r="D26"/>
      <c r="E26"/>
      <c r="F26"/>
      <c r="G26"/>
    </row>
    <row r="27" spans="1:10" s="3" customFormat="1" ht="14.25" customHeight="1" x14ac:dyDescent="0.35">
      <c r="A27" s="238" t="s">
        <v>171</v>
      </c>
      <c r="B27" s="238"/>
      <c r="C27" s="238"/>
      <c r="D27" s="238"/>
      <c r="E27" s="238"/>
      <c r="F27" s="238"/>
      <c r="G27" s="238"/>
      <c r="H27" s="238"/>
      <c r="I27" s="238"/>
      <c r="J27" s="238"/>
    </row>
    <row r="28" spans="1:10" s="3" customFormat="1" ht="14.25" customHeight="1" x14ac:dyDescent="0.35">
      <c r="A28" s="239"/>
      <c r="B28" s="239"/>
      <c r="C28" s="239"/>
      <c r="D28" s="239"/>
      <c r="E28" s="239"/>
      <c r="F28" s="239"/>
      <c r="G28" s="239"/>
      <c r="H28" s="239"/>
      <c r="I28" s="239"/>
      <c r="J28" s="239"/>
    </row>
    <row r="29" spans="1:10" s="3" customFormat="1" ht="14.25" customHeight="1" x14ac:dyDescent="0.35">
      <c r="A29" s="239"/>
      <c r="B29" s="239"/>
      <c r="C29" s="239"/>
      <c r="D29" s="239"/>
      <c r="E29" s="239"/>
      <c r="F29" s="239"/>
      <c r="G29" s="239"/>
      <c r="H29" s="239"/>
      <c r="I29" s="239"/>
      <c r="J29" s="239"/>
    </row>
    <row r="30" spans="1:10" s="3" customFormat="1" ht="14.25" customHeight="1" x14ac:dyDescent="0.35">
      <c r="A30" s="239"/>
      <c r="B30" s="239"/>
      <c r="C30" s="239"/>
      <c r="D30" s="239"/>
      <c r="E30" s="239"/>
      <c r="F30" s="239"/>
      <c r="G30" s="239"/>
      <c r="H30" s="239"/>
      <c r="I30" s="239"/>
      <c r="J30" s="239"/>
    </row>
    <row r="31" spans="1:10" s="3" customFormat="1" ht="14.25" customHeight="1" x14ac:dyDescent="0.45">
      <c r="A31" s="154"/>
      <c r="B31"/>
      <c r="C31"/>
      <c r="D31"/>
      <c r="E31"/>
      <c r="F31"/>
      <c r="G31"/>
    </row>
    <row r="32" spans="1:10" s="3" customFormat="1" ht="14.25" customHeight="1" x14ac:dyDescent="0.4">
      <c r="A32" s="1">
        <f>+A1</f>
        <v>2022</v>
      </c>
      <c r="B32" s="34" t="s">
        <v>172</v>
      </c>
      <c r="C32" s="34"/>
      <c r="D32" s="34"/>
      <c r="E32" s="34"/>
      <c r="F32" s="34"/>
    </row>
    <row r="33" spans="1:11" s="3" customFormat="1" ht="24.75" customHeight="1" x14ac:dyDescent="0.35">
      <c r="A33" s="255" t="s">
        <v>173</v>
      </c>
      <c r="B33" s="256"/>
      <c r="C33" s="256"/>
      <c r="D33" s="257"/>
      <c r="E33" s="38" t="s">
        <v>174</v>
      </c>
      <c r="F33" s="39"/>
      <c r="G33" s="40" t="s">
        <v>73</v>
      </c>
      <c r="H33" s="258" t="s">
        <v>175</v>
      </c>
      <c r="I33" s="259"/>
      <c r="J33" s="41" t="s">
        <v>73</v>
      </c>
    </row>
    <row r="34" spans="1:11" s="3" customFormat="1" ht="14.25" customHeight="1" x14ac:dyDescent="0.35">
      <c r="A34" s="241" t="s">
        <v>115</v>
      </c>
      <c r="B34" s="242"/>
      <c r="C34" s="242"/>
      <c r="D34" s="243"/>
      <c r="E34" s="244">
        <f>+'Operational Data'!G42</f>
        <v>17510000</v>
      </c>
      <c r="F34" s="245"/>
      <c r="G34" s="155" t="s">
        <v>176</v>
      </c>
      <c r="H34" s="246">
        <f>IF(E34&gt;0,E34/'Operational Data'!$G$21,"-")</f>
        <v>303.39259105243093</v>
      </c>
      <c r="I34" s="247"/>
      <c r="J34" s="155" t="s">
        <v>177</v>
      </c>
    </row>
    <row r="35" spans="1:11" s="3" customFormat="1" ht="14.25" customHeight="1" x14ac:dyDescent="0.35">
      <c r="A35" s="241" t="s">
        <v>178</v>
      </c>
      <c r="B35" s="242"/>
      <c r="C35" s="242"/>
      <c r="D35" s="243"/>
      <c r="E35" s="244">
        <f>+'Operational Data'!G43+'Operational Data'!G42</f>
        <v>17510000</v>
      </c>
      <c r="F35" s="245"/>
      <c r="G35" s="155" t="s">
        <v>176</v>
      </c>
      <c r="H35" s="246">
        <f>IF(E35&gt;0,E35/'Operational Data'!$G$21,"-")</f>
        <v>303.39259105243093</v>
      </c>
      <c r="I35" s="247"/>
      <c r="J35" s="155" t="s">
        <v>177</v>
      </c>
    </row>
    <row r="36" spans="1:11" s="3" customFormat="1" ht="14.25" customHeight="1" x14ac:dyDescent="0.35">
      <c r="A36" s="241" t="s">
        <v>179</v>
      </c>
      <c r="B36" s="242"/>
      <c r="C36" s="242"/>
      <c r="D36" s="243"/>
      <c r="E36" s="244">
        <f>+'Operational Data'!G45</f>
        <v>396090.9</v>
      </c>
      <c r="F36" s="245"/>
      <c r="G36" s="155" t="s">
        <v>180</v>
      </c>
      <c r="H36" s="246">
        <f>IF(E36&gt;0,E36/'Operational Data'!$G$21,"-")</f>
        <v>6.8629951138371972</v>
      </c>
      <c r="I36" s="247"/>
      <c r="J36" s="155" t="s">
        <v>181</v>
      </c>
    </row>
    <row r="37" spans="1:11" s="3" customFormat="1" ht="14.25" customHeight="1" x14ac:dyDescent="0.35">
      <c r="A37" s="241" t="s">
        <v>121</v>
      </c>
      <c r="B37" s="242"/>
      <c r="C37" s="242"/>
      <c r="D37" s="243"/>
      <c r="E37" s="244">
        <f>+'Operational Data'!G46</f>
        <v>0</v>
      </c>
      <c r="F37" s="245"/>
      <c r="G37" s="155" t="s">
        <v>180</v>
      </c>
      <c r="H37" s="246" t="str">
        <f>IF(E37&gt;0,E37/'Operational Data'!$G$21,"-")</f>
        <v>-</v>
      </c>
      <c r="I37" s="247"/>
      <c r="J37" s="155" t="s">
        <v>181</v>
      </c>
    </row>
    <row r="38" spans="1:11" s="3" customFormat="1" ht="14.25" customHeight="1" x14ac:dyDescent="0.35">
      <c r="A38" s="241" t="s">
        <v>182</v>
      </c>
      <c r="B38" s="242"/>
      <c r="C38" s="242"/>
      <c r="D38" s="243"/>
      <c r="E38" s="244">
        <f>+'Operational Data'!G47</f>
        <v>533883</v>
      </c>
      <c r="F38" s="245"/>
      <c r="G38" s="155" t="s">
        <v>180</v>
      </c>
      <c r="H38" s="246">
        <f>IF(E38&gt;0,E38/'Operational Data'!$G$21,"-")</f>
        <v>9.2504938143258126</v>
      </c>
      <c r="I38" s="247"/>
      <c r="J38" s="155" t="s">
        <v>181</v>
      </c>
    </row>
    <row r="39" spans="1:11" s="3" customFormat="1" ht="14.25" customHeight="1" x14ac:dyDescent="0.35">
      <c r="A39" s="248"/>
      <c r="B39" s="249"/>
      <c r="C39" s="249"/>
      <c r="D39" s="250"/>
      <c r="E39" s="251"/>
      <c r="F39" s="252"/>
      <c r="G39" s="156"/>
      <c r="H39" s="253"/>
      <c r="I39" s="254"/>
      <c r="J39" s="156"/>
    </row>
    <row r="40" spans="1:11" s="3" customFormat="1" ht="14.25" customHeight="1" x14ac:dyDescent="0.35">
      <c r="A40" s="238" t="s">
        <v>171</v>
      </c>
      <c r="B40" s="238"/>
      <c r="C40" s="238"/>
      <c r="D40" s="238"/>
      <c r="E40" s="238"/>
      <c r="F40" s="238"/>
      <c r="G40" s="238"/>
      <c r="H40" s="238"/>
      <c r="I40" s="238"/>
      <c r="J40" s="238"/>
    </row>
    <row r="41" spans="1:11" s="3" customFormat="1" ht="14.25" customHeight="1" x14ac:dyDescent="0.35">
      <c r="A41" s="239"/>
      <c r="B41" s="239"/>
      <c r="C41" s="239"/>
      <c r="D41" s="239"/>
      <c r="E41" s="239"/>
      <c r="F41" s="239"/>
      <c r="G41" s="239"/>
      <c r="H41" s="239"/>
      <c r="I41" s="239"/>
      <c r="J41" s="239"/>
    </row>
    <row r="42" spans="1:11" s="3" customFormat="1" ht="14.25" customHeight="1" x14ac:dyDescent="0.35">
      <c r="A42" s="239"/>
      <c r="B42" s="239"/>
      <c r="C42" s="239"/>
      <c r="D42" s="239"/>
      <c r="E42" s="239"/>
      <c r="F42" s="239"/>
      <c r="G42" s="239"/>
      <c r="H42" s="239"/>
      <c r="I42" s="239"/>
      <c r="J42" s="239"/>
    </row>
    <row r="43" spans="1:11" s="3" customFormat="1" ht="14.25" customHeight="1" x14ac:dyDescent="0.35">
      <c r="A43" s="42"/>
      <c r="B43" s="42"/>
      <c r="C43" s="42"/>
      <c r="D43" s="42"/>
      <c r="E43" s="42"/>
      <c r="F43" s="42"/>
      <c r="G43" s="42"/>
      <c r="H43" s="42"/>
      <c r="I43" s="42"/>
      <c r="J43" s="42"/>
    </row>
    <row r="44" spans="1:11" s="3" customFormat="1" ht="14.25" customHeight="1" x14ac:dyDescent="0.4">
      <c r="A44" s="34">
        <f>+A32</f>
        <v>2022</v>
      </c>
      <c r="B44" s="34" t="s">
        <v>183</v>
      </c>
      <c r="C44" s="34"/>
      <c r="D44" s="34"/>
      <c r="E44" s="34"/>
      <c r="F44" s="34"/>
      <c r="G44" s="93"/>
    </row>
    <row r="45" spans="1:11" ht="14.25" customHeight="1" x14ac:dyDescent="0.4">
      <c r="A45" s="240" t="s">
        <v>184</v>
      </c>
      <c r="B45" s="240"/>
      <c r="C45" s="240" t="s">
        <v>185</v>
      </c>
      <c r="D45" s="240"/>
      <c r="E45" s="240"/>
      <c r="F45" s="240"/>
      <c r="G45" s="240"/>
      <c r="H45" s="240"/>
      <c r="I45" s="240"/>
      <c r="J45" s="240"/>
      <c r="K45" s="93"/>
    </row>
    <row r="46" spans="1:11" ht="14.25" customHeight="1" x14ac:dyDescent="0.4">
      <c r="A46" s="43"/>
      <c r="B46" s="43"/>
      <c r="C46" s="36" t="s">
        <v>186</v>
      </c>
      <c r="D46" s="36" t="s">
        <v>187</v>
      </c>
      <c r="E46" s="36" t="s">
        <v>188</v>
      </c>
      <c r="F46" s="36" t="s">
        <v>189</v>
      </c>
      <c r="G46" s="36" t="s">
        <v>190</v>
      </c>
      <c r="H46" s="36"/>
      <c r="I46" s="36" t="s">
        <v>191</v>
      </c>
      <c r="J46" s="36" t="s">
        <v>192</v>
      </c>
      <c r="K46" s="93"/>
    </row>
    <row r="47" spans="1:11" ht="31.5" customHeight="1" x14ac:dyDescent="0.4">
      <c r="A47" s="237" t="s">
        <v>193</v>
      </c>
      <c r="B47" s="237"/>
      <c r="C47" s="152">
        <v>6145</v>
      </c>
      <c r="D47" s="152"/>
      <c r="E47" s="152"/>
      <c r="F47" s="157"/>
      <c r="G47" s="157"/>
      <c r="H47" s="157"/>
      <c r="I47" s="157"/>
      <c r="J47" s="157"/>
      <c r="K47" s="93"/>
    </row>
    <row r="48" spans="1:11" ht="43.5" customHeight="1" x14ac:dyDescent="0.4">
      <c r="A48" s="237" t="s">
        <v>194</v>
      </c>
      <c r="B48" s="237"/>
      <c r="C48" s="173">
        <v>1</v>
      </c>
      <c r="D48" s="152"/>
      <c r="E48" s="152"/>
      <c r="F48" s="157"/>
      <c r="G48" s="157"/>
      <c r="H48" s="157"/>
      <c r="I48" s="157"/>
      <c r="J48" s="157"/>
      <c r="K48" s="179"/>
    </row>
    <row r="49" spans="1:11" ht="42.75" customHeight="1" x14ac:dyDescent="0.4">
      <c r="A49" s="237" t="s">
        <v>195</v>
      </c>
      <c r="B49" s="237"/>
      <c r="C49" s="152">
        <v>0.5</v>
      </c>
      <c r="D49" s="152"/>
      <c r="E49" s="152"/>
      <c r="F49" s="157"/>
      <c r="G49" s="157"/>
      <c r="H49" s="157"/>
      <c r="I49" s="157"/>
      <c r="J49" s="157"/>
      <c r="K49" s="93"/>
    </row>
    <row r="50" spans="1:11" ht="8.25" customHeight="1" x14ac:dyDescent="0.4">
      <c r="A50" s="93"/>
      <c r="B50" s="93"/>
      <c r="C50" s="93"/>
      <c r="D50" s="93"/>
      <c r="E50" s="93"/>
      <c r="F50" s="93"/>
      <c r="G50" s="93"/>
      <c r="H50" s="93"/>
      <c r="I50" s="93"/>
      <c r="J50" s="93"/>
    </row>
    <row r="51" spans="1:11" x14ac:dyDescent="0.4">
      <c r="A51" s="238" t="s">
        <v>171</v>
      </c>
      <c r="B51" s="238"/>
      <c r="C51" s="238"/>
      <c r="D51" s="238"/>
      <c r="E51" s="238"/>
      <c r="F51" s="238"/>
      <c r="G51" s="238"/>
      <c r="H51" s="238"/>
      <c r="I51" s="238"/>
      <c r="J51" s="238"/>
    </row>
    <row r="52" spans="1:11" x14ac:dyDescent="0.4">
      <c r="A52" s="239"/>
      <c r="B52" s="239"/>
      <c r="C52" s="239"/>
      <c r="D52" s="239"/>
      <c r="E52" s="239"/>
      <c r="F52" s="239"/>
      <c r="G52" s="239"/>
      <c r="H52" s="239"/>
      <c r="I52" s="239"/>
      <c r="J52" s="239"/>
    </row>
    <row r="53" spans="1:11" x14ac:dyDescent="0.4">
      <c r="A53" s="239"/>
      <c r="B53" s="239"/>
      <c r="C53" s="239"/>
      <c r="D53" s="239"/>
      <c r="E53" s="239"/>
      <c r="F53" s="239"/>
      <c r="G53" s="239"/>
      <c r="H53" s="239"/>
      <c r="I53" s="239"/>
      <c r="J53" s="239"/>
    </row>
    <row r="55" spans="1:11" ht="21.4" x14ac:dyDescent="0.7">
      <c r="A55" s="3" t="s">
        <v>196</v>
      </c>
      <c r="B55" s="175" t="s">
        <v>197</v>
      </c>
      <c r="C55" s="44"/>
      <c r="D55" s="44"/>
      <c r="E55" s="44"/>
      <c r="F55" s="3"/>
      <c r="G55" s="3" t="s">
        <v>198</v>
      </c>
      <c r="H55" s="176">
        <v>44959</v>
      </c>
      <c r="I55" s="44"/>
      <c r="J55" s="93"/>
    </row>
    <row r="63" spans="1:11" x14ac:dyDescent="0.4">
      <c r="A63" s="93"/>
      <c r="B63" s="93"/>
      <c r="C63" s="93"/>
      <c r="D63" s="93"/>
      <c r="E63" s="93"/>
      <c r="F63" s="3"/>
      <c r="G63" s="93"/>
      <c r="H63" s="93"/>
      <c r="I63" s="93"/>
      <c r="J63" s="93"/>
    </row>
  </sheetData>
  <mergeCells count="105">
    <mergeCell ref="A11:J11"/>
    <mergeCell ref="A12:B12"/>
    <mergeCell ref="C12:D12"/>
    <mergeCell ref="E12:F12"/>
    <mergeCell ref="G12:H12"/>
    <mergeCell ref="I12:J12"/>
    <mergeCell ref="A3:E3"/>
    <mergeCell ref="G3:I3"/>
    <mergeCell ref="B5:E5"/>
    <mergeCell ref="D7:E7"/>
    <mergeCell ref="G7:H7"/>
    <mergeCell ref="A10:B10"/>
    <mergeCell ref="C10:D10"/>
    <mergeCell ref="E10:F10"/>
    <mergeCell ref="G10:H10"/>
    <mergeCell ref="I10:J10"/>
    <mergeCell ref="A13:B13"/>
    <mergeCell ref="C13:D13"/>
    <mergeCell ref="E13:F13"/>
    <mergeCell ref="G13:H13"/>
    <mergeCell ref="I13:J13"/>
    <mergeCell ref="A14:B14"/>
    <mergeCell ref="C14:D14"/>
    <mergeCell ref="E14:F14"/>
    <mergeCell ref="G14:H14"/>
    <mergeCell ref="I14:J14"/>
    <mergeCell ref="A17:B17"/>
    <mergeCell ref="C17:D17"/>
    <mergeCell ref="E17:F17"/>
    <mergeCell ref="G17:H17"/>
    <mergeCell ref="I17:J17"/>
    <mergeCell ref="A18:J18"/>
    <mergeCell ref="A15:B15"/>
    <mergeCell ref="C15:D15"/>
    <mergeCell ref="E15:F15"/>
    <mergeCell ref="G15:H15"/>
    <mergeCell ref="I15:J15"/>
    <mergeCell ref="A16:D16"/>
    <mergeCell ref="E16:F16"/>
    <mergeCell ref="G16:H16"/>
    <mergeCell ref="I16:J16"/>
    <mergeCell ref="A19:B19"/>
    <mergeCell ref="C19:D19"/>
    <mergeCell ref="E19:F19"/>
    <mergeCell ref="G19:H19"/>
    <mergeCell ref="I19:J19"/>
    <mergeCell ref="A20:B20"/>
    <mergeCell ref="C20:D20"/>
    <mergeCell ref="E20:F20"/>
    <mergeCell ref="G20:H20"/>
    <mergeCell ref="I20:J20"/>
    <mergeCell ref="A21:B21"/>
    <mergeCell ref="C21:D21"/>
    <mergeCell ref="E21:F21"/>
    <mergeCell ref="G21:H21"/>
    <mergeCell ref="I21:J21"/>
    <mergeCell ref="A22:B22"/>
    <mergeCell ref="C22:D22"/>
    <mergeCell ref="E22:F22"/>
    <mergeCell ref="G22:H22"/>
    <mergeCell ref="I22:J22"/>
    <mergeCell ref="A23:B23"/>
    <mergeCell ref="C23:D23"/>
    <mergeCell ref="E23:F23"/>
    <mergeCell ref="G23:H23"/>
    <mergeCell ref="I23:J23"/>
    <mergeCell ref="A24:D24"/>
    <mergeCell ref="E24:F24"/>
    <mergeCell ref="G24:H24"/>
    <mergeCell ref="I24:J24"/>
    <mergeCell ref="A33:D33"/>
    <mergeCell ref="H33:I33"/>
    <mergeCell ref="A34:D34"/>
    <mergeCell ref="E34:F34"/>
    <mergeCell ref="H34:I34"/>
    <mergeCell ref="A35:D35"/>
    <mergeCell ref="E35:F35"/>
    <mergeCell ref="H35:I35"/>
    <mergeCell ref="A25:D25"/>
    <mergeCell ref="E25:F25"/>
    <mergeCell ref="G25:H25"/>
    <mergeCell ref="I25:J25"/>
    <mergeCell ref="A27:J27"/>
    <mergeCell ref="A28:J30"/>
    <mergeCell ref="A38:D38"/>
    <mergeCell ref="E38:F38"/>
    <mergeCell ref="H38:I38"/>
    <mergeCell ref="A39:D39"/>
    <mergeCell ref="E39:F39"/>
    <mergeCell ref="H39:I39"/>
    <mergeCell ref="A36:D36"/>
    <mergeCell ref="E36:F36"/>
    <mergeCell ref="H36:I36"/>
    <mergeCell ref="A37:D37"/>
    <mergeCell ref="E37:F37"/>
    <mergeCell ref="H37:I37"/>
    <mergeCell ref="A49:B49"/>
    <mergeCell ref="A51:J51"/>
    <mergeCell ref="A52:J53"/>
    <mergeCell ref="A40:J40"/>
    <mergeCell ref="A41:J42"/>
    <mergeCell ref="A45:B45"/>
    <mergeCell ref="C45:J45"/>
    <mergeCell ref="A47:B47"/>
    <mergeCell ref="A48:B48"/>
  </mergeCells>
  <pageMargins left="0.7" right="0.7" top="0.75" bottom="0.75" header="0.3" footer="0.3"/>
  <pageSetup paperSize="9" scale="87" orientation="portrait" r:id="rId1"/>
  <headerFooter scaleWithDoc="0">
    <oddFooter>&amp;C&amp;"Arial,Regular"Page &amp;P</oddFoot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showGridLines="0" topLeftCell="A14" zoomScaleNormal="100" workbookViewId="0">
      <selection activeCell="K28" sqref="K28"/>
    </sheetView>
  </sheetViews>
  <sheetFormatPr defaultColWidth="9.265625" defaultRowHeight="15" x14ac:dyDescent="0.4"/>
  <cols>
    <col min="1" max="1" width="9.3984375" style="2" bestFit="1" customWidth="1"/>
    <col min="2" max="7" width="9.265625" style="2"/>
    <col min="8" max="8" width="14.59765625" style="2" bestFit="1" customWidth="1"/>
    <col min="9" max="16384" width="9.265625" style="2"/>
  </cols>
  <sheetData>
    <row r="1" spans="1:10" x14ac:dyDescent="0.4">
      <c r="A1" s="33">
        <f>+'Cover Page'!C39</f>
        <v>2022</v>
      </c>
      <c r="B1" s="34" t="s">
        <v>199</v>
      </c>
      <c r="C1" s="34"/>
      <c r="D1" s="34"/>
      <c r="E1" s="34"/>
      <c r="F1" s="34"/>
      <c r="G1" s="34"/>
      <c r="H1" s="34"/>
      <c r="I1" s="34"/>
      <c r="J1" s="34"/>
    </row>
    <row r="3" spans="1:10" s="3" customFormat="1" ht="15" customHeight="1" x14ac:dyDescent="0.35">
      <c r="A3" s="3" t="str">
        <f>+'Cover Page'!B31</f>
        <v>Permit EPR/GP3509PX</v>
      </c>
      <c r="F3" s="3" t="s">
        <v>148</v>
      </c>
      <c r="G3" s="285" t="str">
        <f>'Cover Page'!B33</f>
        <v>EQUANS FM Ltd</v>
      </c>
      <c r="H3" s="285"/>
      <c r="I3" s="285"/>
    </row>
    <row r="4" spans="1:10" s="3" customFormat="1" ht="13.5" x14ac:dyDescent="0.35"/>
    <row r="5" spans="1:10" s="3" customFormat="1" ht="13.5" x14ac:dyDescent="0.35">
      <c r="A5" s="3" t="s">
        <v>149</v>
      </c>
      <c r="B5" s="275" t="str">
        <f>'Cover Page'!B35</f>
        <v>Birmingham Bio Power</v>
      </c>
      <c r="C5" s="275"/>
      <c r="D5" s="275"/>
      <c r="E5" s="275"/>
      <c r="F5" s="3" t="s">
        <v>150</v>
      </c>
      <c r="G5" s="3" t="s">
        <v>200</v>
      </c>
    </row>
    <row r="6" spans="1:10" s="3" customFormat="1" ht="13.5" x14ac:dyDescent="0.35"/>
    <row r="7" spans="1:10" s="3" customFormat="1" ht="15.75" customHeight="1" x14ac:dyDescent="0.35">
      <c r="A7" s="3" t="s">
        <v>152</v>
      </c>
      <c r="D7" s="286">
        <f>+'Perf. Form 1'!D7:E7</f>
        <v>44562</v>
      </c>
      <c r="E7" s="286"/>
      <c r="F7" s="35" t="s">
        <v>153</v>
      </c>
      <c r="G7" s="286">
        <f>+'Perf. Form 1'!G7:H7</f>
        <v>44926</v>
      </c>
      <c r="H7" s="286"/>
    </row>
    <row r="8" spans="1:10" s="3" customFormat="1" ht="14.25" x14ac:dyDescent="0.45">
      <c r="B8"/>
      <c r="C8"/>
      <c r="D8"/>
    </row>
    <row r="9" spans="1:10" s="3" customFormat="1" ht="37.5" customHeight="1" x14ac:dyDescent="0.35">
      <c r="A9" s="240" t="s">
        <v>201</v>
      </c>
      <c r="B9" s="240"/>
      <c r="C9" s="240"/>
      <c r="D9" s="278" t="s">
        <v>202</v>
      </c>
      <c r="E9" s="278"/>
      <c r="F9" s="36" t="s">
        <v>73</v>
      </c>
      <c r="G9" s="240" t="s">
        <v>203</v>
      </c>
      <c r="H9" s="240"/>
      <c r="I9" s="240"/>
    </row>
    <row r="10" spans="1:10" s="3" customFormat="1" ht="24.75" customHeight="1" x14ac:dyDescent="0.35">
      <c r="A10" s="237" t="s">
        <v>204</v>
      </c>
      <c r="B10" s="237"/>
      <c r="C10" s="237"/>
      <c r="D10" s="280">
        <f>+'Operational Data'!G24</f>
        <v>49405</v>
      </c>
      <c r="E10" s="280"/>
      <c r="F10" s="158" t="s">
        <v>97</v>
      </c>
      <c r="G10" s="281">
        <f>+'Operational Data'!H24</f>
        <v>856.03146550230451</v>
      </c>
      <c r="H10" s="281"/>
      <c r="I10" s="281"/>
    </row>
    <row r="11" spans="1:10" s="3" customFormat="1" ht="24.75" customHeight="1" x14ac:dyDescent="0.35">
      <c r="A11" s="237" t="s">
        <v>205</v>
      </c>
      <c r="B11" s="237"/>
      <c r="C11" s="237"/>
      <c r="D11" s="284">
        <f>+'Operational Data'!G27</f>
        <v>1131.2</v>
      </c>
      <c r="E11" s="284"/>
      <c r="F11" s="158" t="s">
        <v>97</v>
      </c>
      <c r="G11" s="281">
        <f>+'Operational Data'!H27</f>
        <v>19.600097030183317</v>
      </c>
      <c r="H11" s="281"/>
      <c r="I11" s="281"/>
    </row>
    <row r="12" spans="1:10" s="3" customFormat="1" ht="24.75" customHeight="1" x14ac:dyDescent="0.35">
      <c r="A12" s="237" t="s">
        <v>206</v>
      </c>
      <c r="B12" s="237"/>
      <c r="C12" s="237"/>
      <c r="D12" s="280">
        <f>+'Operational Data'!G25</f>
        <v>43067</v>
      </c>
      <c r="E12" s="280"/>
      <c r="F12" s="158" t="s">
        <v>97</v>
      </c>
      <c r="G12" s="281">
        <f>+'Operational Data'!H25</f>
        <v>746.21409016876316</v>
      </c>
      <c r="H12" s="281"/>
      <c r="I12" s="281"/>
    </row>
    <row r="13" spans="1:10" s="3" customFormat="1" ht="24.75" customHeight="1" x14ac:dyDescent="0.35">
      <c r="A13" s="237" t="s">
        <v>207</v>
      </c>
      <c r="B13" s="237"/>
      <c r="C13" s="237"/>
      <c r="D13" s="282">
        <v>29</v>
      </c>
      <c r="E13" s="282"/>
      <c r="F13" s="158" t="s">
        <v>81</v>
      </c>
      <c r="G13" s="283"/>
      <c r="H13" s="283"/>
      <c r="I13" s="283"/>
    </row>
    <row r="14" spans="1:10" s="3" customFormat="1" ht="24.75" customHeight="1" x14ac:dyDescent="0.35">
      <c r="A14" s="237" t="s">
        <v>208</v>
      </c>
      <c r="B14" s="237"/>
      <c r="C14" s="237"/>
      <c r="D14" s="280">
        <f>+'Operational Data'!G30</f>
        <v>0</v>
      </c>
      <c r="E14" s="280"/>
      <c r="F14" s="158" t="s">
        <v>209</v>
      </c>
      <c r="G14" s="281" t="str">
        <f>+'Operational Data'!H30</f>
        <v>-</v>
      </c>
      <c r="H14" s="281"/>
      <c r="I14" s="281"/>
    </row>
    <row r="15" spans="1:10" s="3" customFormat="1" ht="24.75" customHeight="1" x14ac:dyDescent="0.35">
      <c r="A15" s="273"/>
      <c r="B15" s="273"/>
      <c r="C15" s="273"/>
      <c r="D15" s="273"/>
      <c r="E15" s="273"/>
      <c r="F15" s="95"/>
      <c r="G15" s="203"/>
      <c r="H15" s="203"/>
      <c r="I15" s="203"/>
    </row>
    <row r="16" spans="1:10" s="3" customFormat="1" ht="24.75" customHeight="1" x14ac:dyDescent="0.35">
      <c r="A16" s="273"/>
      <c r="B16" s="273"/>
      <c r="C16" s="273"/>
      <c r="D16" s="273"/>
      <c r="E16" s="273"/>
      <c r="F16" s="95"/>
      <c r="G16" s="203"/>
      <c r="H16" s="203"/>
      <c r="I16" s="203"/>
    </row>
    <row r="17" spans="1:9" s="3" customFormat="1" ht="14.25" x14ac:dyDescent="0.45">
      <c r="A17" s="45"/>
      <c r="B17"/>
      <c r="C17"/>
      <c r="D17"/>
    </row>
    <row r="18" spans="1:9" s="3" customFormat="1" ht="24" customHeight="1" x14ac:dyDescent="0.35">
      <c r="A18" s="238" t="s">
        <v>171</v>
      </c>
      <c r="B18" s="238"/>
      <c r="C18" s="238"/>
      <c r="D18" s="238"/>
      <c r="E18" s="238"/>
      <c r="F18" s="238"/>
      <c r="G18" s="238"/>
      <c r="H18" s="238"/>
      <c r="I18" s="238"/>
    </row>
    <row r="19" spans="1:9" s="3" customFormat="1" ht="13.5" x14ac:dyDescent="0.35">
      <c r="A19" s="279" t="s">
        <v>210</v>
      </c>
      <c r="B19" s="279"/>
      <c r="C19" s="279"/>
      <c r="D19" s="279"/>
      <c r="E19" s="279"/>
      <c r="F19" s="279"/>
      <c r="G19" s="279"/>
      <c r="H19" s="279"/>
      <c r="I19" s="279"/>
    </row>
    <row r="20" spans="1:9" s="3" customFormat="1" ht="13.5" x14ac:dyDescent="0.35">
      <c r="A20" s="279"/>
      <c r="B20" s="279"/>
      <c r="C20" s="279"/>
      <c r="D20" s="279"/>
      <c r="E20" s="279"/>
      <c r="F20" s="279"/>
      <c r="G20" s="279"/>
      <c r="H20" s="279"/>
      <c r="I20" s="279"/>
    </row>
    <row r="21" spans="1:9" s="3" customFormat="1" ht="13.5" x14ac:dyDescent="0.35">
      <c r="A21" s="279"/>
      <c r="B21" s="279"/>
      <c r="C21" s="279"/>
      <c r="D21" s="279"/>
      <c r="E21" s="279"/>
      <c r="F21" s="279"/>
      <c r="G21" s="279"/>
      <c r="H21" s="279"/>
      <c r="I21" s="279"/>
    </row>
    <row r="22" spans="1:9" s="3" customFormat="1" ht="13.5" x14ac:dyDescent="0.35">
      <c r="A22" s="279"/>
      <c r="B22" s="279"/>
      <c r="C22" s="279"/>
      <c r="D22" s="279"/>
      <c r="E22" s="279"/>
      <c r="F22" s="279"/>
      <c r="G22" s="279"/>
      <c r="H22" s="279"/>
      <c r="I22" s="279"/>
    </row>
    <row r="23" spans="1:9" s="3" customFormat="1" ht="13.5" x14ac:dyDescent="0.35">
      <c r="A23" s="279"/>
      <c r="B23" s="279"/>
      <c r="C23" s="279"/>
      <c r="D23" s="279"/>
      <c r="E23" s="279"/>
      <c r="F23" s="279"/>
      <c r="G23" s="279"/>
      <c r="H23" s="279"/>
      <c r="I23" s="279"/>
    </row>
    <row r="24" spans="1:9" s="3" customFormat="1" ht="13.5" x14ac:dyDescent="0.35">
      <c r="A24" s="279"/>
      <c r="B24" s="279"/>
      <c r="C24" s="279"/>
      <c r="D24" s="279"/>
      <c r="E24" s="279"/>
      <c r="F24" s="279"/>
      <c r="G24" s="279"/>
      <c r="H24" s="279"/>
      <c r="I24" s="279"/>
    </row>
    <row r="25" spans="1:9" s="3" customFormat="1" ht="13.5" x14ac:dyDescent="0.35">
      <c r="A25" s="279"/>
      <c r="B25" s="279"/>
      <c r="C25" s="279"/>
      <c r="D25" s="279"/>
      <c r="E25" s="279"/>
      <c r="F25" s="279"/>
      <c r="G25" s="279"/>
      <c r="H25" s="279"/>
      <c r="I25" s="279"/>
    </row>
    <row r="26" spans="1:9" s="3" customFormat="1" ht="13.5" x14ac:dyDescent="0.35">
      <c r="A26" s="42"/>
      <c r="B26" s="42"/>
      <c r="C26" s="42"/>
      <c r="D26" s="42"/>
      <c r="E26" s="42"/>
      <c r="F26" s="42"/>
      <c r="G26" s="42"/>
      <c r="H26" s="42"/>
      <c r="I26" s="42"/>
    </row>
    <row r="27" spans="1:9" s="3" customFormat="1" ht="13.5" x14ac:dyDescent="0.35"/>
    <row r="28" spans="1:9" s="3" customFormat="1" ht="13.5" x14ac:dyDescent="0.35"/>
    <row r="29" spans="1:9" s="3" customFormat="1" ht="21.4" x14ac:dyDescent="0.7">
      <c r="A29" s="3" t="s">
        <v>196</v>
      </c>
      <c r="B29" s="44"/>
      <c r="C29" s="175" t="s">
        <v>197</v>
      </c>
      <c r="D29" s="44"/>
      <c r="E29" s="44"/>
      <c r="G29" s="3" t="s">
        <v>198</v>
      </c>
      <c r="H29" s="176">
        <v>44959</v>
      </c>
      <c r="I29" s="44"/>
    </row>
    <row r="30" spans="1:9" s="3" customFormat="1" ht="13.5" x14ac:dyDescent="0.35"/>
    <row r="31" spans="1:9" ht="14.25" customHeight="1" x14ac:dyDescent="0.4">
      <c r="A31" s="3"/>
      <c r="B31" s="3"/>
      <c r="C31" s="3"/>
      <c r="D31" s="3"/>
      <c r="E31" s="3"/>
      <c r="F31" s="3"/>
      <c r="G31" s="3"/>
      <c r="H31" s="3"/>
      <c r="I31" s="3"/>
    </row>
    <row r="32" spans="1:9" s="3" customFormat="1" ht="13.5" x14ac:dyDescent="0.35"/>
    <row r="33" spans="1:9" s="3" customFormat="1" ht="13.5" x14ac:dyDescent="0.35"/>
    <row r="34" spans="1:9" s="3" customFormat="1" x14ac:dyDescent="0.4">
      <c r="A34" s="93"/>
      <c r="B34" s="93"/>
      <c r="C34" s="93"/>
      <c r="D34" s="93"/>
      <c r="E34" s="93"/>
      <c r="F34" s="93"/>
      <c r="G34" s="93"/>
      <c r="H34" s="93"/>
      <c r="I34" s="93"/>
    </row>
    <row r="35" spans="1:9" s="3" customFormat="1" ht="13.5" x14ac:dyDescent="0.35"/>
    <row r="36" spans="1:9" s="3" customFormat="1" ht="13.5" x14ac:dyDescent="0.35"/>
    <row r="37" spans="1:9" s="3" customFormat="1" ht="13.5" x14ac:dyDescent="0.35"/>
    <row r="38" spans="1:9" s="3" customFormat="1" ht="13.5" x14ac:dyDescent="0.35"/>
    <row r="39" spans="1:9" s="3" customFormat="1" ht="13.5" x14ac:dyDescent="0.35"/>
    <row r="40" spans="1:9" s="3" customFormat="1" ht="13.5" x14ac:dyDescent="0.35"/>
    <row r="41" spans="1:9" s="3" customFormat="1" ht="13.5" x14ac:dyDescent="0.35"/>
    <row r="42" spans="1:9" s="3" customFormat="1" ht="13.5" x14ac:dyDescent="0.35"/>
    <row r="43" spans="1:9" x14ac:dyDescent="0.4">
      <c r="A43" s="3"/>
      <c r="B43" s="3"/>
      <c r="C43" s="3"/>
      <c r="D43" s="3"/>
      <c r="E43" s="3"/>
      <c r="F43" s="3"/>
      <c r="G43" s="3"/>
      <c r="H43" s="3"/>
      <c r="I43" s="3"/>
    </row>
    <row r="44" spans="1:9" x14ac:dyDescent="0.4">
      <c r="A44" s="3"/>
      <c r="B44" s="3"/>
      <c r="C44" s="3"/>
      <c r="D44" s="3"/>
      <c r="E44" s="3"/>
      <c r="F44" s="3"/>
      <c r="G44" s="3"/>
      <c r="H44" s="3"/>
      <c r="I44" s="3"/>
    </row>
    <row r="45" spans="1:9" x14ac:dyDescent="0.4">
      <c r="A45" s="3"/>
      <c r="B45" s="3"/>
      <c r="C45" s="3"/>
      <c r="D45" s="3"/>
      <c r="E45" s="3"/>
      <c r="F45" s="3"/>
      <c r="G45" s="3"/>
      <c r="H45" s="3"/>
      <c r="I45" s="3"/>
    </row>
    <row r="64" spans="6:6" x14ac:dyDescent="0.4">
      <c r="F64" s="3"/>
    </row>
  </sheetData>
  <mergeCells count="30">
    <mergeCell ref="G3:I3"/>
    <mergeCell ref="B5:E5"/>
    <mergeCell ref="D7:E7"/>
    <mergeCell ref="G7:H7"/>
    <mergeCell ref="A9:C9"/>
    <mergeCell ref="D9:E9"/>
    <mergeCell ref="G9:I9"/>
    <mergeCell ref="A10:C10"/>
    <mergeCell ref="D10:E10"/>
    <mergeCell ref="G10:I10"/>
    <mergeCell ref="A11:C11"/>
    <mergeCell ref="D11:E11"/>
    <mergeCell ref="G11:I11"/>
    <mergeCell ref="A12:C12"/>
    <mergeCell ref="D12:E12"/>
    <mergeCell ref="G12:I12"/>
    <mergeCell ref="A13:C13"/>
    <mergeCell ref="D13:E13"/>
    <mergeCell ref="G13:I13"/>
    <mergeCell ref="A14:C14"/>
    <mergeCell ref="D14:E14"/>
    <mergeCell ref="G14:I14"/>
    <mergeCell ref="A15:C15"/>
    <mergeCell ref="D15:E15"/>
    <mergeCell ref="G15:I15"/>
    <mergeCell ref="A16:C16"/>
    <mergeCell ref="D16:E16"/>
    <mergeCell ref="G16:I16"/>
    <mergeCell ref="A18:I18"/>
    <mergeCell ref="A19:I25"/>
  </mergeCells>
  <pageMargins left="0.7" right="0.7" top="0.75" bottom="0.75" header="0.3" footer="0.3"/>
  <pageSetup paperSize="9" scale="87" orientation="portrait"/>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P67"/>
  <sheetViews>
    <sheetView showGridLines="0" topLeftCell="A28" zoomScaleNormal="100" workbookViewId="0">
      <selection activeCell="O20" sqref="O20"/>
    </sheetView>
  </sheetViews>
  <sheetFormatPr defaultColWidth="9.265625" defaultRowHeight="15" x14ac:dyDescent="0.4"/>
  <cols>
    <col min="1" max="1" width="12.265625" style="2" customWidth="1"/>
    <col min="2" max="2" width="11.73046875" style="2" customWidth="1"/>
    <col min="3" max="3" width="18.265625" style="2" bestFit="1" customWidth="1"/>
    <col min="4" max="4" width="12.59765625" style="2" bestFit="1" customWidth="1"/>
    <col min="5" max="5" width="3.265625" style="2" customWidth="1"/>
    <col min="6" max="8" width="9.265625" style="2"/>
    <col min="9" max="9" width="8.73046875" style="2" customWidth="1"/>
    <col min="10" max="10" width="9.265625" style="2" hidden="1" customWidth="1"/>
    <col min="11" max="11" width="16.59765625" style="2" bestFit="1" customWidth="1"/>
    <col min="12" max="12" width="14.59765625" style="2" bestFit="1" customWidth="1"/>
    <col min="13" max="13" width="31.86328125" style="2" customWidth="1"/>
    <col min="14" max="16384" width="9.265625" style="2"/>
  </cols>
  <sheetData>
    <row r="1" spans="1:16" x14ac:dyDescent="0.4">
      <c r="A1" s="93" t="str">
        <f>+'Cover Page'!$B$29</f>
        <v>Annual Performance Report 2022</v>
      </c>
      <c r="B1" s="93"/>
      <c r="C1" s="93"/>
      <c r="D1" s="93"/>
      <c r="E1" s="93" t="str">
        <f>+'Cover Page'!$B$33</f>
        <v>EQUANS FM Ltd</v>
      </c>
      <c r="F1" s="93"/>
      <c r="G1" s="93"/>
      <c r="H1" s="93"/>
      <c r="I1" s="93"/>
      <c r="J1" s="93"/>
      <c r="K1" s="93"/>
      <c r="L1" s="93"/>
      <c r="M1" s="93"/>
      <c r="N1" s="93"/>
      <c r="O1" s="93"/>
      <c r="P1" s="93"/>
    </row>
    <row r="3" spans="1:16" x14ac:dyDescent="0.4">
      <c r="A3" s="1" t="s">
        <v>211</v>
      </c>
      <c r="B3" s="93"/>
      <c r="C3" s="93"/>
      <c r="D3" s="93"/>
      <c r="E3" s="93"/>
      <c r="F3" s="93"/>
      <c r="G3" s="93"/>
      <c r="H3" s="93"/>
      <c r="I3" s="93"/>
      <c r="J3" s="93"/>
      <c r="K3" s="93"/>
      <c r="L3" s="93"/>
      <c r="M3" s="93"/>
      <c r="N3" s="93"/>
      <c r="O3" s="93"/>
      <c r="P3" s="93"/>
    </row>
    <row r="4" spans="1:16" x14ac:dyDescent="0.4">
      <c r="A4" s="1"/>
      <c r="B4" s="93"/>
      <c r="C4" s="93"/>
      <c r="D4" s="93"/>
      <c r="E4" s="93"/>
      <c r="F4" s="93"/>
      <c r="G4" s="93"/>
      <c r="H4" s="93"/>
      <c r="I4" s="93"/>
      <c r="J4" s="93"/>
      <c r="K4" s="93"/>
      <c r="L4" s="93"/>
      <c r="M4" s="93"/>
      <c r="N4" s="93"/>
      <c r="O4" s="93"/>
      <c r="P4" s="93"/>
    </row>
    <row r="5" spans="1:16" x14ac:dyDescent="0.4">
      <c r="A5" s="9" t="s">
        <v>212</v>
      </c>
      <c r="B5" s="93"/>
      <c r="C5" s="93"/>
      <c r="D5" s="93"/>
      <c r="E5" s="93"/>
      <c r="F5" s="93"/>
      <c r="G5" s="93"/>
      <c r="H5" s="93"/>
      <c r="I5" s="93"/>
      <c r="J5" s="93"/>
      <c r="K5" s="93"/>
      <c r="L5" s="93"/>
      <c r="M5" s="93"/>
      <c r="N5" s="93"/>
      <c r="O5" s="93"/>
      <c r="P5" s="93"/>
    </row>
    <row r="6" spans="1:16" x14ac:dyDescent="0.4">
      <c r="A6" s="9"/>
      <c r="B6" s="93"/>
      <c r="C6" s="93"/>
      <c r="D6" s="93"/>
      <c r="E6" s="93"/>
      <c r="F6" s="93"/>
      <c r="G6" s="93"/>
      <c r="H6" s="93"/>
      <c r="I6" s="93"/>
      <c r="J6" s="93"/>
      <c r="K6" s="93"/>
      <c r="L6" s="93"/>
      <c r="M6" s="93"/>
      <c r="N6" s="93"/>
      <c r="O6" s="93"/>
      <c r="P6" s="93"/>
    </row>
    <row r="7" spans="1:16" x14ac:dyDescent="0.4">
      <c r="A7" s="110" t="s">
        <v>213</v>
      </c>
      <c r="B7" s="93"/>
      <c r="C7" s="93"/>
      <c r="D7" s="93"/>
      <c r="E7" s="93"/>
      <c r="F7" s="93"/>
      <c r="G7" s="93"/>
      <c r="H7" s="93"/>
      <c r="I7" s="93"/>
      <c r="J7" s="93"/>
      <c r="K7" s="93"/>
      <c r="L7" s="93"/>
      <c r="M7" s="93"/>
      <c r="N7" s="93"/>
      <c r="O7" s="93"/>
      <c r="P7" s="93"/>
    </row>
    <row r="8" spans="1:16" s="3" customFormat="1" ht="25.5" customHeight="1" x14ac:dyDescent="0.4">
      <c r="A8" s="299" t="s">
        <v>214</v>
      </c>
      <c r="B8" s="300"/>
      <c r="C8" s="299" t="s">
        <v>215</v>
      </c>
      <c r="D8" s="301"/>
      <c r="E8" s="301"/>
      <c r="F8" s="301"/>
      <c r="G8" s="301"/>
      <c r="H8" s="301"/>
      <c r="I8" s="300"/>
      <c r="K8" s="76" t="s">
        <v>216</v>
      </c>
      <c r="L8" s="76" t="s">
        <v>217</v>
      </c>
      <c r="M8" s="81" t="s">
        <v>3</v>
      </c>
    </row>
    <row r="9" spans="1:16" s="3" customFormat="1" ht="22.5" customHeight="1" x14ac:dyDescent="0.4">
      <c r="A9" s="302"/>
      <c r="B9" s="303"/>
      <c r="C9" s="304" t="s">
        <v>218</v>
      </c>
      <c r="D9" s="304"/>
      <c r="E9" s="304"/>
      <c r="F9" s="304" t="s">
        <v>219</v>
      </c>
      <c r="G9" s="304"/>
      <c r="H9" s="304"/>
      <c r="I9" s="304"/>
      <c r="K9" s="76" t="s">
        <v>220</v>
      </c>
      <c r="L9" s="76" t="s">
        <v>221</v>
      </c>
      <c r="M9" s="224" t="s">
        <v>222</v>
      </c>
      <c r="N9" s="224"/>
      <c r="O9" s="224"/>
      <c r="P9" s="224"/>
    </row>
    <row r="10" spans="1:16" s="3" customFormat="1" ht="22.5" customHeight="1" x14ac:dyDescent="0.35">
      <c r="A10" s="298" t="s">
        <v>223</v>
      </c>
      <c r="B10" s="298"/>
      <c r="C10" s="295">
        <f>1-(K10/17520)</f>
        <v>1</v>
      </c>
      <c r="D10" s="295"/>
      <c r="E10" s="295"/>
      <c r="F10" s="295">
        <f>1-(L10/365)</f>
        <v>1</v>
      </c>
      <c r="G10" s="295"/>
      <c r="H10" s="295"/>
      <c r="I10" s="295"/>
      <c r="K10" s="35"/>
      <c r="L10" s="35"/>
      <c r="M10" s="224"/>
      <c r="N10" s="224"/>
      <c r="O10" s="224"/>
      <c r="P10" s="224"/>
    </row>
    <row r="11" spans="1:16" s="3" customFormat="1" ht="22.5" customHeight="1" x14ac:dyDescent="0.35">
      <c r="A11" s="298" t="s">
        <v>224</v>
      </c>
      <c r="B11" s="298"/>
      <c r="C11" s="295">
        <f t="shared" ref="C11:C16" si="0">1-(K11/17520)</f>
        <v>1</v>
      </c>
      <c r="D11" s="295"/>
      <c r="E11" s="295"/>
      <c r="F11" s="295">
        <f t="shared" ref="F11:F16" si="1">1-(L11/365)</f>
        <v>1</v>
      </c>
      <c r="G11" s="295"/>
      <c r="H11" s="295"/>
      <c r="I11" s="295"/>
      <c r="K11" s="35"/>
      <c r="L11" s="35"/>
      <c r="M11" s="224"/>
      <c r="N11" s="224"/>
      <c r="O11" s="224"/>
      <c r="P11" s="224"/>
    </row>
    <row r="12" spans="1:16" s="3" customFormat="1" ht="22.5" customHeight="1" x14ac:dyDescent="0.35">
      <c r="A12" s="298" t="s">
        <v>225</v>
      </c>
      <c r="B12" s="298"/>
      <c r="C12" s="295">
        <f t="shared" si="0"/>
        <v>1</v>
      </c>
      <c r="D12" s="295"/>
      <c r="E12" s="295"/>
      <c r="F12" s="295">
        <f t="shared" si="1"/>
        <v>1</v>
      </c>
      <c r="G12" s="295"/>
      <c r="H12" s="295"/>
      <c r="I12" s="295"/>
      <c r="K12" s="35"/>
      <c r="L12" s="35"/>
      <c r="M12" s="224"/>
      <c r="N12" s="224"/>
      <c r="O12" s="224"/>
      <c r="P12" s="224"/>
    </row>
    <row r="13" spans="1:16" s="3" customFormat="1" ht="22.5" customHeight="1" x14ac:dyDescent="0.35">
      <c r="A13" s="298" t="s">
        <v>226</v>
      </c>
      <c r="B13" s="298"/>
      <c r="C13" s="295">
        <f t="shared" si="0"/>
        <v>0.99994292237442928</v>
      </c>
      <c r="D13" s="295"/>
      <c r="E13" s="295"/>
      <c r="F13" s="295">
        <f t="shared" si="1"/>
        <v>1</v>
      </c>
      <c r="G13" s="295"/>
      <c r="H13" s="295"/>
      <c r="I13" s="295"/>
      <c r="K13" s="35">
        <v>1</v>
      </c>
      <c r="L13" s="35"/>
      <c r="M13" s="224"/>
      <c r="N13" s="224"/>
      <c r="O13" s="224"/>
      <c r="P13" s="224"/>
    </row>
    <row r="14" spans="1:16" s="3" customFormat="1" ht="22.5" customHeight="1" x14ac:dyDescent="0.35">
      <c r="A14" s="298" t="s">
        <v>227</v>
      </c>
      <c r="B14" s="298"/>
      <c r="C14" s="295">
        <f t="shared" si="0"/>
        <v>1</v>
      </c>
      <c r="D14" s="295"/>
      <c r="E14" s="295"/>
      <c r="F14" s="295">
        <f t="shared" si="1"/>
        <v>1</v>
      </c>
      <c r="G14" s="295"/>
      <c r="H14" s="295"/>
      <c r="I14" s="295"/>
      <c r="K14" s="35"/>
      <c r="L14" s="35"/>
      <c r="M14" s="224"/>
      <c r="N14" s="224"/>
      <c r="O14" s="224"/>
      <c r="P14" s="224"/>
    </row>
    <row r="15" spans="1:16" s="3" customFormat="1" ht="22.5" customHeight="1" x14ac:dyDescent="0.35">
      <c r="A15" s="298" t="s">
        <v>228</v>
      </c>
      <c r="B15" s="298"/>
      <c r="C15" s="295">
        <f t="shared" si="0"/>
        <v>1</v>
      </c>
      <c r="D15" s="295"/>
      <c r="E15" s="295"/>
      <c r="F15" s="295">
        <f t="shared" si="1"/>
        <v>1</v>
      </c>
      <c r="G15" s="295"/>
      <c r="H15" s="295"/>
      <c r="I15" s="295"/>
      <c r="K15" s="35"/>
      <c r="L15" s="35"/>
      <c r="M15" s="224"/>
      <c r="N15" s="224"/>
      <c r="O15" s="224"/>
      <c r="P15" s="224"/>
    </row>
    <row r="16" spans="1:16" s="3" customFormat="1" ht="22.5" customHeight="1" x14ac:dyDescent="0.35">
      <c r="A16" s="298" t="s">
        <v>229</v>
      </c>
      <c r="B16" s="298"/>
      <c r="C16" s="295">
        <f t="shared" si="0"/>
        <v>1</v>
      </c>
      <c r="D16" s="295"/>
      <c r="E16" s="295"/>
      <c r="F16" s="295">
        <f t="shared" si="1"/>
        <v>1</v>
      </c>
      <c r="G16" s="295"/>
      <c r="H16" s="295"/>
      <c r="I16" s="295"/>
      <c r="K16" s="35"/>
      <c r="L16" s="35"/>
      <c r="M16" s="224"/>
      <c r="N16" s="224"/>
      <c r="O16" s="224"/>
      <c r="P16" s="224"/>
    </row>
    <row r="17" spans="1:16" s="3" customFormat="1" ht="22.5" customHeight="1" x14ac:dyDescent="0.35">
      <c r="A17" s="296"/>
      <c r="B17" s="297"/>
      <c r="C17" s="295">
        <f>AVERAGE(C10:E16)</f>
        <v>0.9999918460534899</v>
      </c>
      <c r="D17" s="295"/>
      <c r="E17" s="295"/>
      <c r="F17" s="295">
        <f>AVERAGE(F10:I16)</f>
        <v>1</v>
      </c>
      <c r="G17" s="295"/>
      <c r="H17" s="295"/>
      <c r="I17" s="295"/>
      <c r="K17" s="35"/>
      <c r="L17" s="35"/>
      <c r="M17" s="224"/>
      <c r="N17" s="224"/>
      <c r="O17" s="224"/>
      <c r="P17" s="224"/>
    </row>
    <row r="18" spans="1:16" s="3" customFormat="1" ht="13.5" x14ac:dyDescent="0.35">
      <c r="M18" s="224"/>
      <c r="N18" s="224"/>
      <c r="O18" s="224"/>
      <c r="P18" s="224"/>
    </row>
    <row r="19" spans="1:16" s="45" customFormat="1" ht="21.75" customHeight="1" x14ac:dyDescent="0.45">
      <c r="A19" s="287" t="s">
        <v>230</v>
      </c>
      <c r="B19" s="288"/>
      <c r="C19" s="288"/>
      <c r="D19" s="288"/>
      <c r="E19" s="288"/>
      <c r="F19" s="288"/>
      <c r="G19" s="288"/>
      <c r="H19" s="288"/>
      <c r="I19" s="288"/>
      <c r="J19" s="288"/>
      <c r="K19" s="289"/>
      <c r="L19" s="289"/>
    </row>
    <row r="20" spans="1:16" s="3" customFormat="1" ht="38.25" customHeight="1" x14ac:dyDescent="0.35">
      <c r="A20" s="46" t="s">
        <v>49</v>
      </c>
      <c r="B20" s="291" t="s">
        <v>231</v>
      </c>
      <c r="C20" s="291"/>
      <c r="D20" s="291"/>
      <c r="E20" s="291" t="s">
        <v>232</v>
      </c>
      <c r="F20" s="291"/>
      <c r="G20" s="291"/>
      <c r="H20" s="291" t="s">
        <v>233</v>
      </c>
      <c r="I20" s="291"/>
      <c r="J20" s="292"/>
      <c r="K20" s="168"/>
      <c r="L20" s="72"/>
    </row>
    <row r="21" spans="1:16" s="3" customFormat="1" ht="49.5" customHeight="1" x14ac:dyDescent="0.35">
      <c r="A21" s="160">
        <v>44921</v>
      </c>
      <c r="B21" s="293" t="s">
        <v>409</v>
      </c>
      <c r="C21" s="293"/>
      <c r="D21" s="293"/>
      <c r="E21" s="293" t="s">
        <v>408</v>
      </c>
      <c r="F21" s="203"/>
      <c r="G21" s="203"/>
      <c r="H21" s="293" t="s">
        <v>410</v>
      </c>
      <c r="I21" s="293"/>
      <c r="J21" s="294"/>
      <c r="K21" s="167"/>
      <c r="L21" s="72"/>
    </row>
    <row r="22" spans="1:16" s="3" customFormat="1" ht="13.5" x14ac:dyDescent="0.35">
      <c r="A22" s="160"/>
      <c r="B22" s="203"/>
      <c r="C22" s="203"/>
      <c r="D22" s="203"/>
      <c r="E22" s="203"/>
      <c r="F22" s="203"/>
      <c r="G22" s="203"/>
      <c r="H22" s="203"/>
      <c r="I22" s="203"/>
      <c r="J22" s="290"/>
      <c r="K22" s="167"/>
      <c r="L22" s="72"/>
    </row>
    <row r="23" spans="1:16" s="3" customFormat="1" ht="13.5" x14ac:dyDescent="0.35">
      <c r="A23" s="160"/>
      <c r="B23" s="203"/>
      <c r="C23" s="203"/>
      <c r="D23" s="203"/>
      <c r="E23" s="293"/>
      <c r="F23" s="293"/>
      <c r="G23" s="293"/>
      <c r="H23" s="293"/>
      <c r="I23" s="293"/>
      <c r="J23" s="294"/>
      <c r="K23" s="167"/>
      <c r="L23" s="72"/>
    </row>
    <row r="24" spans="1:16" s="3" customFormat="1" ht="13.5" x14ac:dyDescent="0.35">
      <c r="A24" s="103"/>
      <c r="B24" s="203"/>
      <c r="C24" s="203"/>
      <c r="D24" s="203"/>
      <c r="E24" s="203"/>
      <c r="F24" s="203"/>
      <c r="G24" s="203"/>
      <c r="H24" s="203"/>
      <c r="I24" s="203"/>
      <c r="J24" s="290"/>
      <c r="K24" s="167"/>
      <c r="L24" s="72"/>
    </row>
    <row r="25" spans="1:16" s="3" customFormat="1" ht="13.5" x14ac:dyDescent="0.35">
      <c r="A25" s="103"/>
      <c r="B25" s="203"/>
      <c r="C25" s="203"/>
      <c r="D25" s="203"/>
      <c r="E25" s="203"/>
      <c r="F25" s="203"/>
      <c r="G25" s="203"/>
      <c r="H25" s="203"/>
      <c r="I25" s="203"/>
      <c r="J25" s="290"/>
      <c r="K25" s="167"/>
      <c r="L25" s="72"/>
    </row>
    <row r="26" spans="1:16" s="3" customFormat="1" ht="13.5" x14ac:dyDescent="0.35"/>
    <row r="27" spans="1:16" s="45" customFormat="1" ht="22.5" customHeight="1" x14ac:dyDescent="0.45">
      <c r="A27" s="287" t="s">
        <v>234</v>
      </c>
      <c r="B27" s="288"/>
      <c r="C27" s="288"/>
      <c r="D27" s="288"/>
      <c r="E27" s="288"/>
      <c r="F27" s="288"/>
      <c r="G27" s="288"/>
      <c r="H27" s="288"/>
      <c r="I27" s="288"/>
      <c r="J27" s="288"/>
      <c r="K27" s="289"/>
      <c r="L27" s="289"/>
    </row>
    <row r="28" spans="1:16" s="3" customFormat="1" ht="39" customHeight="1" x14ac:dyDescent="0.35">
      <c r="A28" s="46" t="s">
        <v>49</v>
      </c>
      <c r="B28" s="291" t="s">
        <v>235</v>
      </c>
      <c r="C28" s="291"/>
      <c r="D28" s="291"/>
      <c r="E28" s="291" t="s">
        <v>236</v>
      </c>
      <c r="F28" s="291"/>
      <c r="G28" s="291"/>
      <c r="H28" s="291" t="s">
        <v>233</v>
      </c>
      <c r="I28" s="291"/>
      <c r="J28" s="292"/>
      <c r="K28" s="168"/>
      <c r="L28" s="72"/>
    </row>
    <row r="29" spans="1:16" s="3" customFormat="1" ht="13.5" x14ac:dyDescent="0.35">
      <c r="A29" s="103"/>
      <c r="B29" s="203"/>
      <c r="C29" s="203"/>
      <c r="D29" s="203"/>
      <c r="E29" s="203"/>
      <c r="F29" s="203"/>
      <c r="G29" s="203"/>
      <c r="H29" s="203"/>
      <c r="I29" s="203"/>
      <c r="J29" s="290"/>
      <c r="K29" s="167"/>
      <c r="L29" s="72"/>
    </row>
    <row r="30" spans="1:16" s="3" customFormat="1" ht="13.5" x14ac:dyDescent="0.35">
      <c r="A30" s="103"/>
      <c r="B30" s="203"/>
      <c r="C30" s="203"/>
      <c r="D30" s="203"/>
      <c r="E30" s="203"/>
      <c r="F30" s="203"/>
      <c r="G30" s="203"/>
      <c r="H30" s="203"/>
      <c r="I30" s="203"/>
      <c r="J30" s="290"/>
      <c r="K30" s="167"/>
      <c r="L30" s="72"/>
    </row>
    <row r="31" spans="1:16" ht="14.25" customHeight="1" x14ac:dyDescent="0.4">
      <c r="A31" s="103"/>
      <c r="B31" s="203"/>
      <c r="C31" s="203"/>
      <c r="D31" s="203"/>
      <c r="E31" s="203"/>
      <c r="F31" s="203"/>
      <c r="G31" s="203"/>
      <c r="H31" s="203"/>
      <c r="I31" s="203"/>
      <c r="J31" s="290"/>
      <c r="K31" s="167"/>
      <c r="L31" s="72"/>
      <c r="M31" s="93"/>
      <c r="N31" s="93"/>
      <c r="O31" s="93"/>
      <c r="P31" s="93"/>
    </row>
    <row r="32" spans="1:16" s="3" customFormat="1" ht="13.5" x14ac:dyDescent="0.35">
      <c r="A32" s="103"/>
      <c r="B32" s="203"/>
      <c r="C32" s="203"/>
      <c r="D32" s="203"/>
      <c r="E32" s="203"/>
      <c r="F32" s="203"/>
      <c r="G32" s="203"/>
      <c r="H32" s="203"/>
      <c r="I32" s="203"/>
      <c r="J32" s="290"/>
      <c r="K32" s="167"/>
      <c r="L32" s="72"/>
    </row>
    <row r="33" spans="1:12" s="3" customFormat="1" ht="13.5" x14ac:dyDescent="0.35">
      <c r="A33" s="103"/>
      <c r="B33" s="203"/>
      <c r="C33" s="203"/>
      <c r="D33" s="203"/>
      <c r="E33" s="203"/>
      <c r="F33" s="203"/>
      <c r="G33" s="203"/>
      <c r="H33" s="203"/>
      <c r="I33" s="203"/>
      <c r="J33" s="290"/>
      <c r="K33" s="167"/>
      <c r="L33" s="72"/>
    </row>
    <row r="34" spans="1:12" s="3" customFormat="1" ht="29.25" customHeight="1" x14ac:dyDescent="0.4">
      <c r="A34" s="110"/>
      <c r="E34" s="305" t="s">
        <v>237</v>
      </c>
      <c r="F34" s="305"/>
      <c r="G34" s="305"/>
      <c r="H34" s="305"/>
      <c r="I34" s="305"/>
      <c r="J34" s="110"/>
      <c r="K34" s="110"/>
    </row>
    <row r="67" spans="6:6" x14ac:dyDescent="0.4">
      <c r="F67" s="3"/>
    </row>
  </sheetData>
  <mergeCells count="69">
    <mergeCell ref="M9:P18"/>
    <mergeCell ref="E34:I34"/>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 ref="A8:B8"/>
    <mergeCell ref="C8:I8"/>
    <mergeCell ref="A9:B9"/>
    <mergeCell ref="C9:E9"/>
    <mergeCell ref="F9:I9"/>
    <mergeCell ref="F14:I14"/>
    <mergeCell ref="A15:B15"/>
    <mergeCell ref="C15:E15"/>
    <mergeCell ref="F15:I15"/>
    <mergeCell ref="A16:B16"/>
    <mergeCell ref="C17:E17"/>
    <mergeCell ref="F17:I17"/>
    <mergeCell ref="C16:E16"/>
    <mergeCell ref="F16:I16"/>
    <mergeCell ref="A17:B17"/>
    <mergeCell ref="B20:D20"/>
    <mergeCell ref="E20:G20"/>
    <mergeCell ref="H20:J20"/>
    <mergeCell ref="B21:D21"/>
    <mergeCell ref="E21:G21"/>
    <mergeCell ref="H21:J21"/>
    <mergeCell ref="H25:J25"/>
    <mergeCell ref="B22:D22"/>
    <mergeCell ref="E22:G22"/>
    <mergeCell ref="H22:J22"/>
    <mergeCell ref="B23:D23"/>
    <mergeCell ref="E23:G23"/>
    <mergeCell ref="H23:J23"/>
    <mergeCell ref="B33:D33"/>
    <mergeCell ref="E33:G33"/>
    <mergeCell ref="H33:J33"/>
    <mergeCell ref="B30:D30"/>
    <mergeCell ref="E30:G30"/>
    <mergeCell ref="H30:J30"/>
    <mergeCell ref="B31:D31"/>
    <mergeCell ref="E31:G31"/>
    <mergeCell ref="H31:J31"/>
    <mergeCell ref="A27:L27"/>
    <mergeCell ref="A19:L19"/>
    <mergeCell ref="B32:D32"/>
    <mergeCell ref="E32:G32"/>
    <mergeCell ref="H32:J32"/>
    <mergeCell ref="B28:D28"/>
    <mergeCell ref="E28:G28"/>
    <mergeCell ref="H28:J28"/>
    <mergeCell ref="B29:D29"/>
    <mergeCell ref="E29:G29"/>
    <mergeCell ref="H29:J29"/>
    <mergeCell ref="B24:D24"/>
    <mergeCell ref="E24:G24"/>
    <mergeCell ref="H24:J24"/>
    <mergeCell ref="B25:D25"/>
    <mergeCell ref="E25:G25"/>
  </mergeCells>
  <pageMargins left="0.7" right="0.7" top="0.75" bottom="0.75" header="0.3" footer="0.3"/>
  <pageSetup paperSize="9" scale="87" orientation="portrait" r:id="rId1"/>
  <headerFooter scaleWithDoc="0">
    <oddFooter>&amp;C&amp;"Arial,Regular"Page &amp;P</oddFooter>
  </headerFooter>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J66"/>
  <sheetViews>
    <sheetView showGridLines="0" topLeftCell="A25" zoomScaleNormal="100" workbookViewId="0">
      <selection activeCell="L38" sqref="L38"/>
    </sheetView>
  </sheetViews>
  <sheetFormatPr defaultColWidth="9.265625" defaultRowHeight="15" x14ac:dyDescent="0.4"/>
  <cols>
    <col min="1" max="1" width="9.265625" style="2" customWidth="1"/>
    <col min="2" max="2" width="14.59765625" style="2" bestFit="1" customWidth="1"/>
    <col min="3" max="9" width="9.265625" style="2"/>
    <col min="10" max="10" width="11.59765625" style="2" customWidth="1"/>
    <col min="11" max="16384" width="9.265625" style="2"/>
  </cols>
  <sheetData>
    <row r="1" spans="1:10" x14ac:dyDescent="0.4">
      <c r="A1" s="93" t="str">
        <f>+'Cover Page'!$B$29</f>
        <v>Annual Performance Report 2022</v>
      </c>
      <c r="B1" s="93"/>
      <c r="C1" s="93"/>
      <c r="D1" s="93"/>
      <c r="E1" s="93" t="str">
        <f>+'Cover Page'!$B$33</f>
        <v>EQUANS FM Ltd</v>
      </c>
      <c r="F1" s="93"/>
      <c r="G1" s="93"/>
      <c r="H1" s="93"/>
      <c r="I1" s="93"/>
      <c r="J1" s="93"/>
    </row>
    <row r="3" spans="1:10" x14ac:dyDescent="0.4">
      <c r="A3" s="1" t="s">
        <v>238</v>
      </c>
      <c r="B3" s="93"/>
      <c r="C3" s="93"/>
      <c r="D3" s="93"/>
      <c r="E3" s="93"/>
      <c r="F3" s="93"/>
      <c r="G3" s="93"/>
      <c r="H3" s="93"/>
      <c r="I3" s="93"/>
      <c r="J3" s="93"/>
    </row>
    <row r="4" spans="1:10" x14ac:dyDescent="0.4">
      <c r="A4" s="1"/>
      <c r="B4" s="93"/>
      <c r="C4" s="93"/>
      <c r="D4" s="93"/>
      <c r="E4" s="93"/>
      <c r="F4" s="93"/>
      <c r="G4" s="93"/>
      <c r="H4" s="93"/>
      <c r="I4" s="93"/>
      <c r="J4" s="93"/>
    </row>
    <row r="5" spans="1:10" s="3" customFormat="1" ht="13.9" x14ac:dyDescent="0.35">
      <c r="A5" s="309" t="s">
        <v>239</v>
      </c>
      <c r="B5" s="310"/>
      <c r="C5" s="310"/>
      <c r="D5" s="310"/>
      <c r="E5" s="310"/>
      <c r="F5" s="310"/>
      <c r="G5" s="310"/>
      <c r="H5" s="310"/>
      <c r="I5" s="310"/>
      <c r="J5" s="311"/>
    </row>
    <row r="6" spans="1:10" s="3" customFormat="1" ht="15.75" customHeight="1" x14ac:dyDescent="0.35">
      <c r="A6" s="207" t="s">
        <v>411</v>
      </c>
      <c r="B6" s="216"/>
      <c r="C6" s="216"/>
      <c r="D6" s="216"/>
      <c r="E6" s="216"/>
      <c r="F6" s="216"/>
      <c r="G6" s="216"/>
      <c r="H6" s="216"/>
      <c r="I6" s="216"/>
      <c r="J6" s="217"/>
    </row>
    <row r="7" spans="1:10" s="3" customFormat="1" ht="15.75" customHeight="1" x14ac:dyDescent="0.35">
      <c r="A7" s="218"/>
      <c r="B7" s="219"/>
      <c r="C7" s="219"/>
      <c r="D7" s="219"/>
      <c r="E7" s="219"/>
      <c r="F7" s="219"/>
      <c r="G7" s="219"/>
      <c r="H7" s="219"/>
      <c r="I7" s="219"/>
      <c r="J7" s="220"/>
    </row>
    <row r="8" spans="1:10" s="3" customFormat="1" ht="15.75" customHeight="1" x14ac:dyDescent="0.35">
      <c r="A8" s="218"/>
      <c r="B8" s="219"/>
      <c r="C8" s="219"/>
      <c r="D8" s="219"/>
      <c r="E8" s="219"/>
      <c r="F8" s="219"/>
      <c r="G8" s="219"/>
      <c r="H8" s="219"/>
      <c r="I8" s="219"/>
      <c r="J8" s="220"/>
    </row>
    <row r="9" spans="1:10" s="3" customFormat="1" ht="15.75" customHeight="1" x14ac:dyDescent="0.35">
      <c r="A9" s="218"/>
      <c r="B9" s="219"/>
      <c r="C9" s="219"/>
      <c r="D9" s="219"/>
      <c r="E9" s="219"/>
      <c r="F9" s="219"/>
      <c r="G9" s="219"/>
      <c r="H9" s="219"/>
      <c r="I9" s="219"/>
      <c r="J9" s="220"/>
    </row>
    <row r="10" spans="1:10" s="3" customFormat="1" ht="15.75" customHeight="1" x14ac:dyDescent="0.35">
      <c r="A10" s="218"/>
      <c r="B10" s="219"/>
      <c r="C10" s="219"/>
      <c r="D10" s="219"/>
      <c r="E10" s="219"/>
      <c r="F10" s="219"/>
      <c r="G10" s="219"/>
      <c r="H10" s="219"/>
      <c r="I10" s="219"/>
      <c r="J10" s="220"/>
    </row>
    <row r="11" spans="1:10" s="3" customFormat="1" ht="15.75" customHeight="1" x14ac:dyDescent="0.35">
      <c r="A11" s="218"/>
      <c r="B11" s="219"/>
      <c r="C11" s="219"/>
      <c r="D11" s="219"/>
      <c r="E11" s="219"/>
      <c r="F11" s="219"/>
      <c r="G11" s="219"/>
      <c r="H11" s="219"/>
      <c r="I11" s="219"/>
      <c r="J11" s="220"/>
    </row>
    <row r="12" spans="1:10" s="3" customFormat="1" ht="15.75" customHeight="1" x14ac:dyDescent="0.35">
      <c r="A12" s="218"/>
      <c r="B12" s="219"/>
      <c r="C12" s="219"/>
      <c r="D12" s="219"/>
      <c r="E12" s="219"/>
      <c r="F12" s="219"/>
      <c r="G12" s="219"/>
      <c r="H12" s="219"/>
      <c r="I12" s="219"/>
      <c r="J12" s="220"/>
    </row>
    <row r="13" spans="1:10" s="3" customFormat="1" ht="15.75" customHeight="1" x14ac:dyDescent="0.35">
      <c r="A13" s="218"/>
      <c r="B13" s="219"/>
      <c r="C13" s="219"/>
      <c r="D13" s="219"/>
      <c r="E13" s="219"/>
      <c r="F13" s="219"/>
      <c r="G13" s="219"/>
      <c r="H13" s="219"/>
      <c r="I13" s="219"/>
      <c r="J13" s="220"/>
    </row>
    <row r="14" spans="1:10" s="3" customFormat="1" ht="15.75" customHeight="1" x14ac:dyDescent="0.35">
      <c r="A14" s="221"/>
      <c r="B14" s="222"/>
      <c r="C14" s="222"/>
      <c r="D14" s="222"/>
      <c r="E14" s="222"/>
      <c r="F14" s="222"/>
      <c r="G14" s="222"/>
      <c r="H14" s="222"/>
      <c r="I14" s="222"/>
      <c r="J14" s="223"/>
    </row>
    <row r="15" spans="1:10" s="3" customFormat="1" ht="13.5" x14ac:dyDescent="0.35"/>
    <row r="16" spans="1:10" s="47" customFormat="1" ht="33.75" customHeight="1" x14ac:dyDescent="0.45">
      <c r="A16" s="306" t="s">
        <v>240</v>
      </c>
      <c r="B16" s="307"/>
      <c r="C16" s="307"/>
      <c r="D16" s="307"/>
      <c r="E16" s="307"/>
      <c r="F16" s="307"/>
      <c r="G16" s="307"/>
      <c r="H16" s="307"/>
      <c r="I16" s="307"/>
      <c r="J16" s="308"/>
    </row>
    <row r="17" spans="1:10" ht="15.75" customHeight="1" x14ac:dyDescent="0.4">
      <c r="A17" s="312" t="s">
        <v>241</v>
      </c>
      <c r="B17" s="216"/>
      <c r="C17" s="216"/>
      <c r="D17" s="216"/>
      <c r="E17" s="216"/>
      <c r="F17" s="216"/>
      <c r="G17" s="216"/>
      <c r="H17" s="216"/>
      <c r="I17" s="216"/>
      <c r="J17" s="217"/>
    </row>
    <row r="18" spans="1:10" ht="15.75" customHeight="1" x14ac:dyDescent="0.4">
      <c r="A18" s="218"/>
      <c r="B18" s="219"/>
      <c r="C18" s="219"/>
      <c r="D18" s="219"/>
      <c r="E18" s="219"/>
      <c r="F18" s="219"/>
      <c r="G18" s="219"/>
      <c r="H18" s="219"/>
      <c r="I18" s="219"/>
      <c r="J18" s="220"/>
    </row>
    <row r="19" spans="1:10" ht="15.75" customHeight="1" x14ac:dyDescent="0.4">
      <c r="A19" s="218"/>
      <c r="B19" s="219"/>
      <c r="C19" s="219"/>
      <c r="D19" s="219"/>
      <c r="E19" s="219"/>
      <c r="F19" s="219"/>
      <c r="G19" s="219"/>
      <c r="H19" s="219"/>
      <c r="I19" s="219"/>
      <c r="J19" s="220"/>
    </row>
    <row r="20" spans="1:10" ht="15.75" customHeight="1" x14ac:dyDescent="0.4">
      <c r="A20" s="218"/>
      <c r="B20" s="219"/>
      <c r="C20" s="219"/>
      <c r="D20" s="219"/>
      <c r="E20" s="219"/>
      <c r="F20" s="219"/>
      <c r="G20" s="219"/>
      <c r="H20" s="219"/>
      <c r="I20" s="219"/>
      <c r="J20" s="220"/>
    </row>
    <row r="21" spans="1:10" ht="15.75" customHeight="1" x14ac:dyDescent="0.4">
      <c r="A21" s="218"/>
      <c r="B21" s="219"/>
      <c r="C21" s="219"/>
      <c r="D21" s="219"/>
      <c r="E21" s="219"/>
      <c r="F21" s="219"/>
      <c r="G21" s="219"/>
      <c r="H21" s="219"/>
      <c r="I21" s="219"/>
      <c r="J21" s="220"/>
    </row>
    <row r="22" spans="1:10" ht="15.75" customHeight="1" x14ac:dyDescent="0.4">
      <c r="A22" s="218"/>
      <c r="B22" s="219"/>
      <c r="C22" s="219"/>
      <c r="D22" s="219"/>
      <c r="E22" s="219"/>
      <c r="F22" s="219"/>
      <c r="G22" s="219"/>
      <c r="H22" s="219"/>
      <c r="I22" s="219"/>
      <c r="J22" s="220"/>
    </row>
    <row r="23" spans="1:10" ht="15.75" customHeight="1" x14ac:dyDescent="0.4">
      <c r="A23" s="218"/>
      <c r="B23" s="219"/>
      <c r="C23" s="219"/>
      <c r="D23" s="219"/>
      <c r="E23" s="219"/>
      <c r="F23" s="219"/>
      <c r="G23" s="219"/>
      <c r="H23" s="219"/>
      <c r="I23" s="219"/>
      <c r="J23" s="220"/>
    </row>
    <row r="24" spans="1:10" ht="15.75" customHeight="1" x14ac:dyDescent="0.4">
      <c r="A24" s="218"/>
      <c r="B24" s="219"/>
      <c r="C24" s="219"/>
      <c r="D24" s="219"/>
      <c r="E24" s="219"/>
      <c r="F24" s="219"/>
      <c r="G24" s="219"/>
      <c r="H24" s="219"/>
      <c r="I24" s="219"/>
      <c r="J24" s="220"/>
    </row>
    <row r="25" spans="1:10" ht="15.75" customHeight="1" x14ac:dyDescent="0.4">
      <c r="A25" s="221"/>
      <c r="B25" s="222"/>
      <c r="C25" s="222"/>
      <c r="D25" s="222"/>
      <c r="E25" s="222"/>
      <c r="F25" s="222"/>
      <c r="G25" s="222"/>
      <c r="H25" s="222"/>
      <c r="I25" s="222"/>
      <c r="J25" s="223"/>
    </row>
    <row r="26" spans="1:10" x14ac:dyDescent="0.4">
      <c r="A26" s="1"/>
      <c r="B26" s="93"/>
      <c r="C26" s="93"/>
      <c r="D26" s="93"/>
      <c r="E26" s="93"/>
      <c r="F26" s="93"/>
      <c r="G26" s="93"/>
      <c r="H26" s="93"/>
      <c r="I26" s="93"/>
      <c r="J26" s="93"/>
    </row>
    <row r="27" spans="1:10" ht="36.75" customHeight="1" x14ac:dyDescent="0.4">
      <c r="A27" s="306" t="s">
        <v>242</v>
      </c>
      <c r="B27" s="307"/>
      <c r="C27" s="307"/>
      <c r="D27" s="307"/>
      <c r="E27" s="307"/>
      <c r="F27" s="307"/>
      <c r="G27" s="307"/>
      <c r="H27" s="307"/>
      <c r="I27" s="307"/>
      <c r="J27" s="308"/>
    </row>
    <row r="28" spans="1:10" ht="15.75" customHeight="1" x14ac:dyDescent="0.4">
      <c r="A28" s="312" t="s">
        <v>241</v>
      </c>
      <c r="B28" s="216"/>
      <c r="C28" s="216"/>
      <c r="D28" s="216"/>
      <c r="E28" s="216"/>
      <c r="F28" s="216"/>
      <c r="G28" s="216"/>
      <c r="H28" s="216"/>
      <c r="I28" s="216"/>
      <c r="J28" s="217"/>
    </row>
    <row r="29" spans="1:10" ht="15.75" customHeight="1" x14ac:dyDescent="0.4">
      <c r="A29" s="218"/>
      <c r="B29" s="219"/>
      <c r="C29" s="219"/>
      <c r="D29" s="219"/>
      <c r="E29" s="219"/>
      <c r="F29" s="219"/>
      <c r="G29" s="219"/>
      <c r="H29" s="219"/>
      <c r="I29" s="219"/>
      <c r="J29" s="220"/>
    </row>
    <row r="30" spans="1:10" ht="15.75" customHeight="1" x14ac:dyDescent="0.4">
      <c r="A30" s="218"/>
      <c r="B30" s="219"/>
      <c r="C30" s="219"/>
      <c r="D30" s="219"/>
      <c r="E30" s="219"/>
      <c r="F30" s="219"/>
      <c r="G30" s="219"/>
      <c r="H30" s="219"/>
      <c r="I30" s="219"/>
      <c r="J30" s="220"/>
    </row>
    <row r="31" spans="1:10" ht="15.75" customHeight="1" x14ac:dyDescent="0.4">
      <c r="A31" s="218"/>
      <c r="B31" s="219"/>
      <c r="C31" s="219"/>
      <c r="D31" s="219"/>
      <c r="E31" s="219"/>
      <c r="F31" s="219"/>
      <c r="G31" s="219"/>
      <c r="H31" s="219"/>
      <c r="I31" s="219"/>
      <c r="J31" s="220"/>
    </row>
    <row r="32" spans="1:10" ht="15.75" customHeight="1" x14ac:dyDescent="0.4">
      <c r="A32" s="218"/>
      <c r="B32" s="219"/>
      <c r="C32" s="219"/>
      <c r="D32" s="219"/>
      <c r="E32" s="219"/>
      <c r="F32" s="219"/>
      <c r="G32" s="219"/>
      <c r="H32" s="219"/>
      <c r="I32" s="219"/>
      <c r="J32" s="220"/>
    </row>
    <row r="33" spans="1:10" ht="15.75" customHeight="1" x14ac:dyDescent="0.4">
      <c r="A33" s="218"/>
      <c r="B33" s="219"/>
      <c r="C33" s="219"/>
      <c r="D33" s="219"/>
      <c r="E33" s="219"/>
      <c r="F33" s="219"/>
      <c r="G33" s="219"/>
      <c r="H33" s="219"/>
      <c r="I33" s="219"/>
      <c r="J33" s="220"/>
    </row>
    <row r="34" spans="1:10" ht="15.75" customHeight="1" x14ac:dyDescent="0.4">
      <c r="A34" s="218"/>
      <c r="B34" s="219"/>
      <c r="C34" s="219"/>
      <c r="D34" s="219"/>
      <c r="E34" s="219"/>
      <c r="F34" s="219"/>
      <c r="G34" s="219"/>
      <c r="H34" s="219"/>
      <c r="I34" s="219"/>
      <c r="J34" s="220"/>
    </row>
    <row r="35" spans="1:10" ht="15.75" customHeight="1" x14ac:dyDescent="0.4">
      <c r="A35" s="218"/>
      <c r="B35" s="219"/>
      <c r="C35" s="219"/>
      <c r="D35" s="219"/>
      <c r="E35" s="219"/>
      <c r="F35" s="219"/>
      <c r="G35" s="219"/>
      <c r="H35" s="219"/>
      <c r="I35" s="219"/>
      <c r="J35" s="220"/>
    </row>
    <row r="36" spans="1:10" ht="15.75" customHeight="1" x14ac:dyDescent="0.4">
      <c r="A36" s="221"/>
      <c r="B36" s="222"/>
      <c r="C36" s="222"/>
      <c r="D36" s="222"/>
      <c r="E36" s="222"/>
      <c r="F36" s="222"/>
      <c r="G36" s="222"/>
      <c r="H36" s="222"/>
      <c r="I36" s="222"/>
      <c r="J36" s="223"/>
    </row>
    <row r="38" spans="1:10" ht="33" customHeight="1" x14ac:dyDescent="0.4">
      <c r="A38" s="306" t="s">
        <v>243</v>
      </c>
      <c r="B38" s="307"/>
      <c r="C38" s="307"/>
      <c r="D38" s="307"/>
      <c r="E38" s="307"/>
      <c r="F38" s="307"/>
      <c r="G38" s="307"/>
      <c r="H38" s="307"/>
      <c r="I38" s="307"/>
      <c r="J38" s="308"/>
    </row>
    <row r="39" spans="1:10" ht="15.75" customHeight="1" x14ac:dyDescent="0.4">
      <c r="A39" s="207" t="s">
        <v>412</v>
      </c>
      <c r="B39" s="216"/>
      <c r="C39" s="216"/>
      <c r="D39" s="216"/>
      <c r="E39" s="216"/>
      <c r="F39" s="216"/>
      <c r="G39" s="216"/>
      <c r="H39" s="216"/>
      <c r="I39" s="216"/>
      <c r="J39" s="217"/>
    </row>
    <row r="40" spans="1:10" ht="15.75" customHeight="1" x14ac:dyDescent="0.4">
      <c r="A40" s="218"/>
      <c r="B40" s="219"/>
      <c r="C40" s="219"/>
      <c r="D40" s="219"/>
      <c r="E40" s="219"/>
      <c r="F40" s="219"/>
      <c r="G40" s="219"/>
      <c r="H40" s="219"/>
      <c r="I40" s="219"/>
      <c r="J40" s="220"/>
    </row>
    <row r="41" spans="1:10" ht="15.75" customHeight="1" x14ac:dyDescent="0.4">
      <c r="A41" s="218"/>
      <c r="B41" s="219"/>
      <c r="C41" s="219"/>
      <c r="D41" s="219"/>
      <c r="E41" s="219"/>
      <c r="F41" s="219"/>
      <c r="G41" s="219"/>
      <c r="H41" s="219"/>
      <c r="I41" s="219"/>
      <c r="J41" s="220"/>
    </row>
    <row r="42" spans="1:10" ht="15.75" customHeight="1" x14ac:dyDescent="0.4">
      <c r="A42" s="218"/>
      <c r="B42" s="219"/>
      <c r="C42" s="219"/>
      <c r="D42" s="219"/>
      <c r="E42" s="219"/>
      <c r="F42" s="219"/>
      <c r="G42" s="219"/>
      <c r="H42" s="219"/>
      <c r="I42" s="219"/>
      <c r="J42" s="220"/>
    </row>
    <row r="43" spans="1:10" ht="15.75" customHeight="1" x14ac:dyDescent="0.4">
      <c r="A43" s="218"/>
      <c r="B43" s="219"/>
      <c r="C43" s="219"/>
      <c r="D43" s="219"/>
      <c r="E43" s="219"/>
      <c r="F43" s="219"/>
      <c r="G43" s="219"/>
      <c r="H43" s="219"/>
      <c r="I43" s="219"/>
      <c r="J43" s="220"/>
    </row>
    <row r="44" spans="1:10" ht="15.75" customHeight="1" x14ac:dyDescent="0.4">
      <c r="A44" s="218"/>
      <c r="B44" s="219"/>
      <c r="C44" s="219"/>
      <c r="D44" s="219"/>
      <c r="E44" s="219"/>
      <c r="F44" s="219"/>
      <c r="G44" s="219"/>
      <c r="H44" s="219"/>
      <c r="I44" s="219"/>
      <c r="J44" s="220"/>
    </row>
    <row r="45" spans="1:10" ht="15.75" customHeight="1" x14ac:dyDescent="0.4">
      <c r="A45" s="218"/>
      <c r="B45" s="219"/>
      <c r="C45" s="219"/>
      <c r="D45" s="219"/>
      <c r="E45" s="219"/>
      <c r="F45" s="219"/>
      <c r="G45" s="219"/>
      <c r="H45" s="219"/>
      <c r="I45" s="219"/>
      <c r="J45" s="220"/>
    </row>
    <row r="46" spans="1:10" ht="15.75" customHeight="1" x14ac:dyDescent="0.4">
      <c r="A46" s="218"/>
      <c r="B46" s="219"/>
      <c r="C46" s="219"/>
      <c r="D46" s="219"/>
      <c r="E46" s="219"/>
      <c r="F46" s="219"/>
      <c r="G46" s="219"/>
      <c r="H46" s="219"/>
      <c r="I46" s="219"/>
      <c r="J46" s="220"/>
    </row>
    <row r="47" spans="1:10" ht="15.75" customHeight="1" x14ac:dyDescent="0.4">
      <c r="A47" s="218"/>
      <c r="B47" s="219"/>
      <c r="C47" s="219"/>
      <c r="D47" s="219"/>
      <c r="E47" s="219"/>
      <c r="F47" s="219"/>
      <c r="G47" s="219"/>
      <c r="H47" s="219"/>
      <c r="I47" s="219"/>
      <c r="J47" s="220"/>
    </row>
    <row r="48" spans="1:10" ht="15.75" customHeight="1" x14ac:dyDescent="0.4">
      <c r="A48" s="221"/>
      <c r="B48" s="222"/>
      <c r="C48" s="222"/>
      <c r="D48" s="222"/>
      <c r="E48" s="222"/>
      <c r="F48" s="222"/>
      <c r="G48" s="222"/>
      <c r="H48" s="222"/>
      <c r="I48" s="222"/>
      <c r="J48" s="223"/>
    </row>
    <row r="66" spans="6:6" x14ac:dyDescent="0.4">
      <c r="F66" s="3"/>
    </row>
  </sheetData>
  <mergeCells count="8">
    <mergeCell ref="A38:J38"/>
    <mergeCell ref="A39:J48"/>
    <mergeCell ref="A5:J5"/>
    <mergeCell ref="A6:J14"/>
    <mergeCell ref="A16:J16"/>
    <mergeCell ref="A17:J25"/>
    <mergeCell ref="A27:J27"/>
    <mergeCell ref="A28:J36"/>
  </mergeCells>
  <pageMargins left="0.7" right="0.7" top="0.75" bottom="0.75" header="0.3" footer="0.3"/>
  <pageSetup paperSize="9" scale="87" orientation="portrait"/>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J66"/>
  <sheetViews>
    <sheetView showGridLines="0" zoomScaleNormal="100" workbookViewId="0">
      <selection activeCell="A7" sqref="A7:B8"/>
    </sheetView>
  </sheetViews>
  <sheetFormatPr defaultColWidth="9.265625" defaultRowHeight="15" x14ac:dyDescent="0.4"/>
  <cols>
    <col min="1" max="1" width="9.265625" style="2" customWidth="1"/>
    <col min="2" max="2" width="14.59765625" style="2" bestFit="1" customWidth="1"/>
    <col min="3" max="9" width="9.265625" style="2"/>
    <col min="10" max="10" width="11.59765625" style="2" customWidth="1"/>
    <col min="11" max="16384" width="9.265625" style="2"/>
  </cols>
  <sheetData>
    <row r="1" spans="1:10" x14ac:dyDescent="0.4">
      <c r="A1" s="93" t="str">
        <f>+'Cover Page'!$B$29</f>
        <v>Annual Performance Report 2022</v>
      </c>
      <c r="B1" s="93"/>
      <c r="C1" s="93"/>
      <c r="D1" s="93"/>
      <c r="E1" s="93" t="str">
        <f>+'Cover Page'!$B$33</f>
        <v>EQUANS FM Ltd</v>
      </c>
      <c r="F1" s="93"/>
      <c r="G1" s="93"/>
      <c r="H1" s="93"/>
      <c r="I1" s="93"/>
      <c r="J1" s="93"/>
    </row>
    <row r="3" spans="1:10" x14ac:dyDescent="0.4">
      <c r="A3" s="1" t="s">
        <v>244</v>
      </c>
      <c r="B3" s="93"/>
      <c r="C3" s="93"/>
      <c r="D3" s="93"/>
      <c r="E3" s="93"/>
      <c r="F3" s="93"/>
      <c r="G3" s="93"/>
      <c r="H3" s="93"/>
      <c r="I3" s="93"/>
      <c r="J3" s="93"/>
    </row>
    <row r="4" spans="1:10" x14ac:dyDescent="0.4">
      <c r="A4" s="1"/>
      <c r="B4" s="93"/>
      <c r="C4" s="93"/>
      <c r="D4" s="93"/>
      <c r="E4" s="93"/>
      <c r="F4" s="93"/>
      <c r="G4" s="93"/>
      <c r="H4" s="93"/>
      <c r="I4" s="93"/>
      <c r="J4" s="93"/>
    </row>
    <row r="5" spans="1:10" s="3" customFormat="1" ht="28.5" customHeight="1" x14ac:dyDescent="0.35">
      <c r="A5" s="48" t="s">
        <v>245</v>
      </c>
      <c r="B5" s="49"/>
      <c r="C5" s="49"/>
      <c r="D5" s="49"/>
      <c r="E5" s="49"/>
      <c r="F5" s="49"/>
      <c r="G5" s="49"/>
      <c r="H5" s="49"/>
      <c r="I5" s="49"/>
      <c r="J5" s="50"/>
    </row>
    <row r="6" spans="1:10" s="3" customFormat="1" ht="15.75" customHeight="1" x14ac:dyDescent="0.35">
      <c r="A6" s="309" t="s">
        <v>49</v>
      </c>
      <c r="B6" s="311"/>
      <c r="C6" s="309" t="s">
        <v>246</v>
      </c>
      <c r="D6" s="310"/>
      <c r="E6" s="310"/>
      <c r="F6" s="310"/>
      <c r="G6" s="310"/>
      <c r="H6" s="310"/>
      <c r="I6" s="310"/>
      <c r="J6" s="311"/>
    </row>
    <row r="7" spans="1:10" s="3" customFormat="1" ht="15.75" customHeight="1" x14ac:dyDescent="0.35">
      <c r="A7" s="313">
        <v>44562</v>
      </c>
      <c r="B7" s="217"/>
      <c r="C7" s="312" t="s">
        <v>248</v>
      </c>
      <c r="D7" s="216"/>
      <c r="E7" s="216"/>
      <c r="F7" s="216"/>
      <c r="G7" s="216"/>
      <c r="H7" s="216"/>
      <c r="I7" s="216"/>
      <c r="J7" s="217"/>
    </row>
    <row r="8" spans="1:10" s="3" customFormat="1" ht="15.75" customHeight="1" x14ac:dyDescent="0.35">
      <c r="A8" s="221"/>
      <c r="B8" s="223"/>
      <c r="C8" s="221"/>
      <c r="D8" s="222"/>
      <c r="E8" s="222"/>
      <c r="F8" s="222"/>
      <c r="G8" s="222"/>
      <c r="H8" s="222"/>
      <c r="I8" s="222"/>
      <c r="J8" s="223"/>
    </row>
    <row r="9" spans="1:10" s="3" customFormat="1" ht="15.75" customHeight="1" x14ac:dyDescent="0.35">
      <c r="A9" s="313">
        <v>44805</v>
      </c>
      <c r="B9" s="217"/>
      <c r="C9" s="312" t="s">
        <v>248</v>
      </c>
      <c r="D9" s="216"/>
      <c r="E9" s="216"/>
      <c r="F9" s="216"/>
      <c r="G9" s="216"/>
      <c r="H9" s="216"/>
      <c r="I9" s="216"/>
      <c r="J9" s="217"/>
    </row>
    <row r="10" spans="1:10" s="3" customFormat="1" ht="15.75" customHeight="1" x14ac:dyDescent="0.35">
      <c r="A10" s="221"/>
      <c r="B10" s="223"/>
      <c r="C10" s="221"/>
      <c r="D10" s="222"/>
      <c r="E10" s="222"/>
      <c r="F10" s="222"/>
      <c r="G10" s="222"/>
      <c r="H10" s="222"/>
      <c r="I10" s="222"/>
      <c r="J10" s="223"/>
    </row>
    <row r="11" spans="1:10" s="3" customFormat="1" ht="15.75" customHeight="1" x14ac:dyDescent="0.35">
      <c r="A11" s="312"/>
      <c r="B11" s="217"/>
      <c r="C11" s="312"/>
      <c r="D11" s="216"/>
      <c r="E11" s="216"/>
      <c r="F11" s="216"/>
      <c r="G11" s="216"/>
      <c r="H11" s="216"/>
      <c r="I11" s="216"/>
      <c r="J11" s="217"/>
    </row>
    <row r="12" spans="1:10" s="3" customFormat="1" ht="15.75" customHeight="1" x14ac:dyDescent="0.35">
      <c r="A12" s="221"/>
      <c r="B12" s="223"/>
      <c r="C12" s="221"/>
      <c r="D12" s="222"/>
      <c r="E12" s="222"/>
      <c r="F12" s="222"/>
      <c r="G12" s="222"/>
      <c r="H12" s="222"/>
      <c r="I12" s="222"/>
      <c r="J12" s="223"/>
    </row>
    <row r="13" spans="1:10" s="3" customFormat="1" ht="15.75" customHeight="1" x14ac:dyDescent="0.35">
      <c r="A13" s="312"/>
      <c r="B13" s="217"/>
      <c r="C13" s="312"/>
      <c r="D13" s="216"/>
      <c r="E13" s="216"/>
      <c r="F13" s="216"/>
      <c r="G13" s="216"/>
      <c r="H13" s="216"/>
      <c r="I13" s="216"/>
      <c r="J13" s="217"/>
    </row>
    <row r="14" spans="1:10" s="3" customFormat="1" ht="15.75" customHeight="1" x14ac:dyDescent="0.35">
      <c r="A14" s="221"/>
      <c r="B14" s="223"/>
      <c r="C14" s="221"/>
      <c r="D14" s="222"/>
      <c r="E14" s="222"/>
      <c r="F14" s="222"/>
      <c r="G14" s="222"/>
      <c r="H14" s="222"/>
      <c r="I14" s="222"/>
      <c r="J14" s="223"/>
    </row>
    <row r="15" spans="1:10" s="3" customFormat="1" ht="13.5" x14ac:dyDescent="0.35"/>
    <row r="16" spans="1:10" s="47" customFormat="1" ht="33.75" customHeight="1" x14ac:dyDescent="0.45">
      <c r="A16" s="306" t="s">
        <v>247</v>
      </c>
      <c r="B16" s="307"/>
      <c r="C16" s="307"/>
      <c r="D16" s="307"/>
      <c r="E16" s="307"/>
      <c r="F16" s="307"/>
      <c r="G16" s="307"/>
      <c r="H16" s="307"/>
      <c r="I16" s="307"/>
      <c r="J16" s="308"/>
    </row>
    <row r="17" spans="1:10" ht="15.75" customHeight="1" x14ac:dyDescent="0.4">
      <c r="A17" s="309" t="s">
        <v>49</v>
      </c>
      <c r="B17" s="311"/>
      <c r="C17" s="309" t="s">
        <v>246</v>
      </c>
      <c r="D17" s="310"/>
      <c r="E17" s="310"/>
      <c r="F17" s="310"/>
      <c r="G17" s="310"/>
      <c r="H17" s="310"/>
      <c r="I17" s="310"/>
      <c r="J17" s="310"/>
    </row>
    <row r="18" spans="1:10" ht="15.75" customHeight="1" x14ac:dyDescent="0.4">
      <c r="A18" s="313"/>
      <c r="B18" s="217"/>
      <c r="C18" s="312"/>
      <c r="D18" s="216"/>
      <c r="E18" s="216"/>
      <c r="F18" s="216"/>
      <c r="G18" s="216"/>
      <c r="H18" s="216"/>
      <c r="I18" s="216"/>
      <c r="J18" s="217"/>
    </row>
    <row r="19" spans="1:10" ht="15.75" customHeight="1" x14ac:dyDescent="0.4">
      <c r="A19" s="221"/>
      <c r="B19" s="223"/>
      <c r="C19" s="221"/>
      <c r="D19" s="222"/>
      <c r="E19" s="222"/>
      <c r="F19" s="222"/>
      <c r="G19" s="222"/>
      <c r="H19" s="222"/>
      <c r="I19" s="222"/>
      <c r="J19" s="223"/>
    </row>
    <row r="20" spans="1:10" ht="15.75" customHeight="1" x14ac:dyDescent="0.4">
      <c r="A20" s="313"/>
      <c r="B20" s="217"/>
      <c r="C20" s="312"/>
      <c r="D20" s="216"/>
      <c r="E20" s="216"/>
      <c r="F20" s="216"/>
      <c r="G20" s="216"/>
      <c r="H20" s="216"/>
      <c r="I20" s="216"/>
      <c r="J20" s="217"/>
    </row>
    <row r="21" spans="1:10" ht="15.75" customHeight="1" x14ac:dyDescent="0.4">
      <c r="A21" s="221"/>
      <c r="B21" s="223"/>
      <c r="C21" s="221"/>
      <c r="D21" s="222"/>
      <c r="E21" s="222"/>
      <c r="F21" s="222"/>
      <c r="G21" s="222"/>
      <c r="H21" s="222"/>
      <c r="I21" s="222"/>
      <c r="J21" s="223"/>
    </row>
    <row r="22" spans="1:10" ht="15.75" customHeight="1" x14ac:dyDescent="0.4">
      <c r="A22" s="312"/>
      <c r="B22" s="217"/>
      <c r="C22" s="312"/>
      <c r="D22" s="216"/>
      <c r="E22" s="216"/>
      <c r="F22" s="216"/>
      <c r="G22" s="216"/>
      <c r="H22" s="216"/>
      <c r="I22" s="216"/>
      <c r="J22" s="217"/>
    </row>
    <row r="23" spans="1:10" ht="15.75" customHeight="1" x14ac:dyDescent="0.4">
      <c r="A23" s="221"/>
      <c r="B23" s="223"/>
      <c r="C23" s="221"/>
      <c r="D23" s="222"/>
      <c r="E23" s="222"/>
      <c r="F23" s="222"/>
      <c r="G23" s="222"/>
      <c r="H23" s="222"/>
      <c r="I23" s="222"/>
      <c r="J23" s="223"/>
    </row>
    <row r="24" spans="1:10" ht="15.75" customHeight="1" x14ac:dyDescent="0.4">
      <c r="A24" s="312"/>
      <c r="B24" s="217"/>
      <c r="C24" s="312"/>
      <c r="D24" s="216"/>
      <c r="E24" s="216"/>
      <c r="F24" s="216"/>
      <c r="G24" s="216"/>
      <c r="H24" s="216"/>
      <c r="I24" s="216"/>
      <c r="J24" s="217"/>
    </row>
    <row r="25" spans="1:10" ht="15.75" customHeight="1" x14ac:dyDescent="0.4">
      <c r="A25" s="221"/>
      <c r="B25" s="223"/>
      <c r="C25" s="221"/>
      <c r="D25" s="222"/>
      <c r="E25" s="222"/>
      <c r="F25" s="222"/>
      <c r="G25" s="222"/>
      <c r="H25" s="222"/>
      <c r="I25" s="222"/>
      <c r="J25" s="223"/>
    </row>
    <row r="26" spans="1:10" ht="15.75" customHeight="1" x14ac:dyDescent="0.4">
      <c r="A26" s="312"/>
      <c r="B26" s="217"/>
      <c r="C26" s="312"/>
      <c r="D26" s="216"/>
      <c r="E26" s="216"/>
      <c r="F26" s="216"/>
      <c r="G26" s="216"/>
      <c r="H26" s="216"/>
      <c r="I26" s="216"/>
      <c r="J26" s="217"/>
    </row>
    <row r="27" spans="1:10" ht="15.75" customHeight="1" x14ac:dyDescent="0.4">
      <c r="A27" s="221"/>
      <c r="B27" s="223"/>
      <c r="C27" s="221"/>
      <c r="D27" s="222"/>
      <c r="E27" s="222"/>
      <c r="F27" s="222"/>
      <c r="G27" s="222"/>
      <c r="H27" s="222"/>
      <c r="I27" s="222"/>
      <c r="J27" s="223"/>
    </row>
    <row r="28" spans="1:10" x14ac:dyDescent="0.4">
      <c r="A28" s="1"/>
      <c r="B28" s="93"/>
      <c r="C28" s="93"/>
      <c r="D28" s="93"/>
      <c r="E28" s="93"/>
      <c r="F28" s="93"/>
      <c r="G28" s="93"/>
      <c r="H28" s="93"/>
      <c r="I28" s="93"/>
      <c r="J28" s="93"/>
    </row>
    <row r="29" spans="1:10" ht="36.75" customHeight="1" x14ac:dyDescent="0.4">
      <c r="A29" s="306" t="s">
        <v>249</v>
      </c>
      <c r="B29" s="307"/>
      <c r="C29" s="307"/>
      <c r="D29" s="307"/>
      <c r="E29" s="307"/>
      <c r="F29" s="307"/>
      <c r="G29" s="307"/>
      <c r="H29" s="307"/>
      <c r="I29" s="307"/>
      <c r="J29" s="308"/>
    </row>
    <row r="66" spans="6:6" x14ac:dyDescent="0.4">
      <c r="F66" s="3"/>
    </row>
  </sheetData>
  <mergeCells count="24">
    <mergeCell ref="A17:B17"/>
    <mergeCell ref="C17:J17"/>
    <mergeCell ref="A6:B6"/>
    <mergeCell ref="C6:J6"/>
    <mergeCell ref="A7:B8"/>
    <mergeCell ref="C7:J8"/>
    <mergeCell ref="A9:B10"/>
    <mergeCell ref="C9:J10"/>
    <mergeCell ref="A11:B12"/>
    <mergeCell ref="C11:J12"/>
    <mergeCell ref="A13:B14"/>
    <mergeCell ref="C13:J14"/>
    <mergeCell ref="A16:J16"/>
    <mergeCell ref="A18:B19"/>
    <mergeCell ref="C18:J19"/>
    <mergeCell ref="A20:B21"/>
    <mergeCell ref="C20:J21"/>
    <mergeCell ref="A22:B23"/>
    <mergeCell ref="C22:J23"/>
    <mergeCell ref="A24:B25"/>
    <mergeCell ref="C24:J25"/>
    <mergeCell ref="A26:B27"/>
    <mergeCell ref="C26:J27"/>
    <mergeCell ref="A29:J29"/>
  </mergeCells>
  <pageMargins left="0.7" right="0.7" top="0.75" bottom="0.75" header="0.3" footer="0.3"/>
  <pageSetup paperSize="9" scale="87" orientation="portrait"/>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6"/>
  <sheetViews>
    <sheetView showGridLines="0" zoomScaleNormal="100" workbookViewId="0">
      <selection activeCell="E1" sqref="E1"/>
    </sheetView>
  </sheetViews>
  <sheetFormatPr defaultColWidth="9.265625" defaultRowHeight="15" x14ac:dyDescent="0.4"/>
  <cols>
    <col min="1" max="1" width="9.265625" style="2" customWidth="1"/>
    <col min="2" max="2" width="14.59765625" style="2" bestFit="1" customWidth="1"/>
    <col min="3" max="3" width="9.265625" style="2"/>
    <col min="4" max="4" width="17.59765625" style="2" customWidth="1"/>
    <col min="5" max="5" width="9.265625" style="2" customWidth="1"/>
    <col min="6" max="6" width="21.59765625" style="2" customWidth="1"/>
    <col min="7" max="7" width="10.3984375" style="2" customWidth="1"/>
    <col min="8" max="16384" width="9.265625" style="2"/>
  </cols>
  <sheetData>
    <row r="1" spans="1:7" x14ac:dyDescent="0.4">
      <c r="A1" s="93" t="str">
        <f>+'Cover Page'!$B$29</f>
        <v>Annual Performance Report 2022</v>
      </c>
      <c r="B1" s="93"/>
      <c r="C1" s="93"/>
      <c r="D1" s="93"/>
      <c r="E1" s="93" t="str">
        <f>+'Cover Page'!$B$33</f>
        <v>EQUANS FM Ltd</v>
      </c>
      <c r="F1" s="93"/>
      <c r="G1" s="93"/>
    </row>
    <row r="3" spans="1:7" x14ac:dyDescent="0.4">
      <c r="A3" s="1" t="s">
        <v>250</v>
      </c>
      <c r="B3" s="93"/>
      <c r="C3" s="93"/>
      <c r="D3" s="93"/>
      <c r="E3" s="93"/>
      <c r="F3" s="93"/>
      <c r="G3" s="93"/>
    </row>
    <row r="4" spans="1:7" x14ac:dyDescent="0.4">
      <c r="A4" s="1"/>
      <c r="B4" s="93"/>
      <c r="C4" s="93"/>
      <c r="D4" s="93"/>
      <c r="E4" s="93"/>
      <c r="F4" s="93"/>
      <c r="G4" s="93"/>
    </row>
    <row r="5" spans="1:7" s="3" customFormat="1" ht="21.75" customHeight="1" x14ac:dyDescent="0.35">
      <c r="A5" s="48" t="s">
        <v>251</v>
      </c>
      <c r="B5" s="49"/>
      <c r="C5" s="49"/>
      <c r="D5" s="49"/>
      <c r="E5" s="49"/>
      <c r="F5" s="49"/>
      <c r="G5" s="50"/>
    </row>
    <row r="6" spans="1:7" s="3" customFormat="1" ht="15.75" customHeight="1" x14ac:dyDescent="0.35">
      <c r="A6" s="312" t="s">
        <v>252</v>
      </c>
      <c r="B6" s="216"/>
      <c r="C6" s="216"/>
      <c r="D6" s="216"/>
      <c r="E6" s="216"/>
      <c r="F6" s="216"/>
      <c r="G6" s="217"/>
    </row>
    <row r="7" spans="1:7" s="3" customFormat="1" ht="15.75" customHeight="1" x14ac:dyDescent="0.35">
      <c r="A7" s="221"/>
      <c r="B7" s="222"/>
      <c r="C7" s="222"/>
      <c r="D7" s="222"/>
      <c r="E7" s="222"/>
      <c r="F7" s="222"/>
      <c r="G7" s="223"/>
    </row>
    <row r="8" spans="1:7" s="3" customFormat="1" ht="15.75" customHeight="1" x14ac:dyDescent="0.35">
      <c r="A8" s="207"/>
      <c r="B8" s="208"/>
      <c r="C8" s="208"/>
      <c r="D8" s="208"/>
      <c r="E8" s="208"/>
      <c r="F8" s="208"/>
      <c r="G8" s="209"/>
    </row>
    <row r="9" spans="1:7" s="3" customFormat="1" ht="15.75" customHeight="1" x14ac:dyDescent="0.35">
      <c r="A9" s="213"/>
      <c r="B9" s="214"/>
      <c r="C9" s="214"/>
      <c r="D9" s="214"/>
      <c r="E9" s="214"/>
      <c r="F9" s="214"/>
      <c r="G9" s="215"/>
    </row>
    <row r="10" spans="1:7" s="3" customFormat="1" ht="15.75" customHeight="1" x14ac:dyDescent="0.35">
      <c r="A10" s="207"/>
      <c r="B10" s="208"/>
      <c r="C10" s="208"/>
      <c r="D10" s="208"/>
      <c r="E10" s="208"/>
      <c r="F10" s="208"/>
      <c r="G10" s="209"/>
    </row>
    <row r="11" spans="1:7" s="3" customFormat="1" ht="15.75" customHeight="1" x14ac:dyDescent="0.35">
      <c r="A11" s="213"/>
      <c r="B11" s="214"/>
      <c r="C11" s="214"/>
      <c r="D11" s="214"/>
      <c r="E11" s="214"/>
      <c r="F11" s="214"/>
      <c r="G11" s="215"/>
    </row>
    <row r="12" spans="1:7" s="3" customFormat="1" ht="13.5" x14ac:dyDescent="0.35"/>
    <row r="13" spans="1:7" s="47" customFormat="1" ht="33.75" customHeight="1" x14ac:dyDescent="0.45">
      <c r="A13" s="306" t="s">
        <v>253</v>
      </c>
      <c r="B13" s="307"/>
      <c r="C13" s="307"/>
      <c r="D13" s="307"/>
      <c r="E13" s="307"/>
      <c r="F13" s="307"/>
      <c r="G13" s="308"/>
    </row>
    <row r="14" spans="1:7" ht="15.75" customHeight="1" x14ac:dyDescent="0.4">
      <c r="A14" s="309" t="s">
        <v>254</v>
      </c>
      <c r="B14" s="311"/>
      <c r="C14" s="309" t="s">
        <v>246</v>
      </c>
      <c r="D14" s="310"/>
      <c r="E14" s="310"/>
      <c r="F14" s="310"/>
      <c r="G14" s="310"/>
    </row>
    <row r="15" spans="1:7" ht="15.75" customHeight="1" x14ac:dyDescent="0.4">
      <c r="A15" s="207"/>
      <c r="B15" s="209"/>
      <c r="C15" s="312"/>
      <c r="D15" s="216"/>
      <c r="E15" s="216"/>
      <c r="F15" s="216"/>
      <c r="G15" s="217"/>
    </row>
    <row r="16" spans="1:7" ht="15.75" customHeight="1" x14ac:dyDescent="0.4">
      <c r="A16" s="213"/>
      <c r="B16" s="215"/>
      <c r="C16" s="221"/>
      <c r="D16" s="222"/>
      <c r="E16" s="222"/>
      <c r="F16" s="222"/>
      <c r="G16" s="223"/>
    </row>
    <row r="17" spans="1:11" ht="15.75" customHeight="1" x14ac:dyDescent="0.4">
      <c r="A17" s="312"/>
      <c r="B17" s="217"/>
      <c r="C17" s="312"/>
      <c r="D17" s="216"/>
      <c r="E17" s="216"/>
      <c r="F17" s="216"/>
      <c r="G17" s="217"/>
      <c r="H17" s="93"/>
      <c r="I17" s="93"/>
      <c r="J17" s="93"/>
      <c r="K17" s="93"/>
    </row>
    <row r="18" spans="1:11" ht="15.75" customHeight="1" x14ac:dyDescent="0.4">
      <c r="A18" s="221"/>
      <c r="B18" s="223"/>
      <c r="C18" s="221"/>
      <c r="D18" s="222"/>
      <c r="E18" s="222"/>
      <c r="F18" s="222"/>
      <c r="G18" s="223"/>
      <c r="H18" s="93"/>
      <c r="I18" s="93"/>
      <c r="J18" s="93"/>
      <c r="K18" s="93"/>
    </row>
    <row r="19" spans="1:11" ht="15.75" customHeight="1" x14ac:dyDescent="0.4">
      <c r="A19" s="312"/>
      <c r="B19" s="217"/>
      <c r="C19" s="312"/>
      <c r="D19" s="216"/>
      <c r="E19" s="216"/>
      <c r="F19" s="216"/>
      <c r="G19" s="217"/>
      <c r="H19" s="93"/>
      <c r="I19" s="93"/>
      <c r="J19" s="93"/>
      <c r="K19" s="93"/>
    </row>
    <row r="20" spans="1:11" ht="15.75" customHeight="1" x14ac:dyDescent="0.4">
      <c r="A20" s="221"/>
      <c r="B20" s="223"/>
      <c r="C20" s="221"/>
      <c r="D20" s="222"/>
      <c r="E20" s="222"/>
      <c r="F20" s="222"/>
      <c r="G20" s="223"/>
      <c r="H20" s="93"/>
      <c r="I20" s="93"/>
      <c r="J20" s="93"/>
      <c r="K20" s="93"/>
    </row>
    <row r="21" spans="1:11" ht="15.75" customHeight="1" x14ac:dyDescent="0.4">
      <c r="A21" s="312"/>
      <c r="B21" s="217"/>
      <c r="C21" s="312"/>
      <c r="D21" s="216"/>
      <c r="E21" s="216"/>
      <c r="F21" s="216"/>
      <c r="G21" s="217"/>
      <c r="H21" s="93"/>
      <c r="I21" s="93"/>
      <c r="J21" s="93"/>
      <c r="K21" s="93"/>
    </row>
    <row r="22" spans="1:11" ht="15.75" customHeight="1" x14ac:dyDescent="0.4">
      <c r="A22" s="221"/>
      <c r="B22" s="223"/>
      <c r="C22" s="221"/>
      <c r="D22" s="222"/>
      <c r="E22" s="222"/>
      <c r="F22" s="222"/>
      <c r="G22" s="223"/>
      <c r="H22" s="93"/>
      <c r="I22" s="93"/>
      <c r="J22" s="93"/>
      <c r="K22" s="93"/>
    </row>
    <row r="23" spans="1:11" ht="15.75" customHeight="1" x14ac:dyDescent="0.4">
      <c r="A23" s="312"/>
      <c r="B23" s="217"/>
      <c r="C23" s="312"/>
      <c r="D23" s="216"/>
      <c r="E23" s="216"/>
      <c r="F23" s="216"/>
      <c r="G23" s="217"/>
      <c r="H23" s="93"/>
      <c r="I23" s="93"/>
      <c r="J23" s="93"/>
      <c r="K23" s="93"/>
    </row>
    <row r="24" spans="1:11" ht="15.75" customHeight="1" x14ac:dyDescent="0.4">
      <c r="A24" s="221"/>
      <c r="B24" s="223"/>
      <c r="C24" s="221"/>
      <c r="D24" s="222"/>
      <c r="E24" s="222"/>
      <c r="F24" s="222"/>
      <c r="G24" s="223"/>
      <c r="H24" s="93"/>
      <c r="I24" s="93"/>
      <c r="J24" s="93"/>
      <c r="K24" s="93"/>
    </row>
    <row r="26" spans="1:11" x14ac:dyDescent="0.4">
      <c r="A26" s="110"/>
      <c r="B26" s="110"/>
      <c r="C26" s="110"/>
      <c r="D26" s="110"/>
      <c r="E26" s="110"/>
      <c r="F26" s="110"/>
      <c r="G26" s="110"/>
      <c r="H26" s="93"/>
      <c r="I26" s="93"/>
      <c r="J26" s="93"/>
      <c r="K26" s="93"/>
    </row>
    <row r="27" spans="1:11" s="56" customFormat="1" ht="16.5" customHeight="1" x14ac:dyDescent="0.4">
      <c r="A27" s="321" t="s">
        <v>255</v>
      </c>
      <c r="B27" s="321"/>
      <c r="C27" s="321"/>
      <c r="D27" s="321"/>
      <c r="E27" s="321"/>
      <c r="F27" s="321"/>
      <c r="G27" s="321"/>
    </row>
    <row r="28" spans="1:11" s="12" customFormat="1" ht="17.25" customHeight="1" x14ac:dyDescent="0.35">
      <c r="A28" s="316" t="s">
        <v>256</v>
      </c>
      <c r="B28" s="316"/>
      <c r="C28" s="291" t="s">
        <v>257</v>
      </c>
      <c r="D28" s="291" t="s">
        <v>258</v>
      </c>
      <c r="E28" s="291"/>
      <c r="F28" s="291"/>
      <c r="G28" s="291"/>
      <c r="H28" s="110"/>
      <c r="I28" s="110"/>
      <c r="J28" s="110"/>
      <c r="K28" s="110"/>
    </row>
    <row r="29" spans="1:11" s="12" customFormat="1" ht="17.25" customHeight="1" x14ac:dyDescent="0.35">
      <c r="A29" s="316"/>
      <c r="B29" s="316"/>
      <c r="C29" s="291"/>
      <c r="D29" s="291" t="s">
        <v>259</v>
      </c>
      <c r="E29" s="291"/>
      <c r="F29" s="291" t="s">
        <v>161</v>
      </c>
      <c r="G29" s="291"/>
      <c r="H29" s="110"/>
      <c r="I29" s="110"/>
      <c r="J29" s="110"/>
      <c r="K29" s="110"/>
    </row>
    <row r="30" spans="1:11" s="37" customFormat="1" ht="38.1" customHeight="1" x14ac:dyDescent="0.35">
      <c r="A30" s="237" t="s">
        <v>260</v>
      </c>
      <c r="B30" s="237"/>
      <c r="C30" s="161" t="s">
        <v>261</v>
      </c>
      <c r="D30" s="315">
        <v>3.07</v>
      </c>
      <c r="E30" s="315"/>
      <c r="F30" s="317">
        <v>0.56599999999999995</v>
      </c>
      <c r="G30" s="318"/>
      <c r="H30" s="154"/>
      <c r="I30" s="154"/>
      <c r="J30" s="110"/>
      <c r="K30" s="110"/>
    </row>
    <row r="31" spans="1:11" s="37" customFormat="1" ht="38.1" customHeight="1" x14ac:dyDescent="0.35">
      <c r="A31" s="237" t="s">
        <v>262</v>
      </c>
      <c r="B31" s="237"/>
      <c r="C31" s="158" t="s">
        <v>263</v>
      </c>
      <c r="D31" s="315">
        <v>1.903</v>
      </c>
      <c r="E31" s="315"/>
      <c r="F31" s="317">
        <v>0.35799999999999998</v>
      </c>
      <c r="G31" s="318"/>
      <c r="H31" s="154"/>
      <c r="I31" s="154"/>
      <c r="J31" s="110"/>
      <c r="K31" s="110"/>
    </row>
    <row r="32" spans="1:11" s="37" customFormat="1" ht="38.1" customHeight="1" x14ac:dyDescent="0.35">
      <c r="A32" s="237" t="s">
        <v>264</v>
      </c>
      <c r="B32" s="237"/>
      <c r="C32" s="158" t="s">
        <v>265</v>
      </c>
      <c r="D32" s="315">
        <v>11</v>
      </c>
      <c r="E32" s="315"/>
      <c r="F32" s="319">
        <v>10</v>
      </c>
      <c r="G32" s="320"/>
      <c r="H32" s="154"/>
      <c r="I32" s="154"/>
      <c r="J32" s="110"/>
      <c r="K32" s="110"/>
    </row>
    <row r="33" spans="1:7" s="37" customFormat="1" ht="38.1" customHeight="1" x14ac:dyDescent="0.45">
      <c r="A33" s="237" t="s">
        <v>266</v>
      </c>
      <c r="B33" s="237"/>
      <c r="C33" s="158" t="s">
        <v>265</v>
      </c>
      <c r="D33" s="315"/>
      <c r="E33" s="315"/>
      <c r="F33" s="317"/>
      <c r="G33" s="318"/>
    </row>
    <row r="35" spans="1:7" x14ac:dyDescent="0.4">
      <c r="A35" s="238" t="s">
        <v>267</v>
      </c>
      <c r="B35" s="238"/>
      <c r="C35" s="238"/>
      <c r="D35" s="238"/>
      <c r="E35" s="238"/>
      <c r="F35" s="238"/>
      <c r="G35" s="238"/>
    </row>
    <row r="36" spans="1:7" x14ac:dyDescent="0.4">
      <c r="A36" s="314"/>
      <c r="B36" s="314"/>
      <c r="C36" s="314"/>
      <c r="D36" s="314"/>
      <c r="E36" s="314"/>
      <c r="F36" s="314"/>
      <c r="G36" s="314"/>
    </row>
    <row r="37" spans="1:7" x14ac:dyDescent="0.4">
      <c r="A37" s="314"/>
      <c r="B37" s="314"/>
      <c r="C37" s="314"/>
      <c r="D37" s="314"/>
      <c r="E37" s="314"/>
      <c r="F37" s="314"/>
      <c r="G37" s="314"/>
    </row>
    <row r="38" spans="1:7" x14ac:dyDescent="0.4">
      <c r="A38" s="314"/>
      <c r="B38" s="314"/>
      <c r="C38" s="314"/>
      <c r="D38" s="314"/>
      <c r="E38" s="314"/>
      <c r="F38" s="314"/>
      <c r="G38" s="314"/>
    </row>
    <row r="39" spans="1:7" x14ac:dyDescent="0.4">
      <c r="A39" s="314"/>
      <c r="B39" s="314"/>
      <c r="C39" s="314"/>
      <c r="D39" s="314"/>
      <c r="E39" s="314"/>
      <c r="F39" s="314"/>
      <c r="G39" s="314"/>
    </row>
    <row r="40" spans="1:7" x14ac:dyDescent="0.4">
      <c r="A40" s="314"/>
      <c r="B40" s="314"/>
      <c r="C40" s="314"/>
      <c r="D40" s="314"/>
      <c r="E40" s="314"/>
      <c r="F40" s="314"/>
      <c r="G40" s="314"/>
    </row>
    <row r="41" spans="1:7" x14ac:dyDescent="0.4">
      <c r="A41" s="314"/>
      <c r="B41" s="314"/>
      <c r="C41" s="314"/>
      <c r="D41" s="314"/>
      <c r="E41" s="314"/>
      <c r="F41" s="314"/>
      <c r="G41" s="314"/>
    </row>
    <row r="56" spans="6:6" x14ac:dyDescent="0.4">
      <c r="F56" s="3"/>
    </row>
  </sheetData>
  <mergeCells count="36">
    <mergeCell ref="A17:B18"/>
    <mergeCell ref="C17:G18"/>
    <mergeCell ref="A19:B20"/>
    <mergeCell ref="C19:G20"/>
    <mergeCell ref="A13:G13"/>
    <mergeCell ref="A14:B14"/>
    <mergeCell ref="C14:G14"/>
    <mergeCell ref="A6:G7"/>
    <mergeCell ref="A8:G9"/>
    <mergeCell ref="A10:G11"/>
    <mergeCell ref="A15:B16"/>
    <mergeCell ref="C15:G16"/>
    <mergeCell ref="A21:B22"/>
    <mergeCell ref="C21:G22"/>
    <mergeCell ref="A23:B24"/>
    <mergeCell ref="C23:G24"/>
    <mergeCell ref="D32:E32"/>
    <mergeCell ref="C28:C29"/>
    <mergeCell ref="D29:E29"/>
    <mergeCell ref="F29:G29"/>
    <mergeCell ref="D28:G28"/>
    <mergeCell ref="A27:G27"/>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s>
  <pageMargins left="0.7" right="0.7" top="0.75" bottom="0.75" header="0.3" footer="0.3"/>
  <pageSetup paperSize="9" scale="87" orientation="portrait"/>
  <headerFooter scaleWithDoc="0">
    <oddFooter>&amp;C&amp;"Arial,Regular"Page &amp;P</oddFooter>
  </headerFooter>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J66"/>
  <sheetViews>
    <sheetView showGridLines="0" zoomScaleNormal="100" workbookViewId="0">
      <selection activeCell="A6" sqref="A6:J7"/>
    </sheetView>
  </sheetViews>
  <sheetFormatPr defaultColWidth="9.265625" defaultRowHeight="15" x14ac:dyDescent="0.4"/>
  <cols>
    <col min="1" max="1" width="9.265625" style="2" customWidth="1"/>
    <col min="2" max="2" width="14.59765625" style="2" bestFit="1" customWidth="1"/>
    <col min="3" max="9" width="9.265625" style="2"/>
    <col min="10" max="10" width="11.59765625" style="2" customWidth="1"/>
    <col min="11" max="16384" width="9.265625" style="2"/>
  </cols>
  <sheetData>
    <row r="1" spans="1:10" x14ac:dyDescent="0.4">
      <c r="A1" s="93" t="str">
        <f>+'Cover Page'!$B$29</f>
        <v>Annual Performance Report 2022</v>
      </c>
      <c r="B1" s="93"/>
      <c r="C1" s="93"/>
      <c r="D1" s="93"/>
      <c r="E1" s="93" t="str">
        <f>+'Cover Page'!$B$33</f>
        <v>EQUANS FM Ltd</v>
      </c>
      <c r="F1" s="93"/>
      <c r="G1" s="93"/>
      <c r="H1" s="93"/>
      <c r="I1" s="93"/>
      <c r="J1" s="93"/>
    </row>
    <row r="3" spans="1:10" x14ac:dyDescent="0.4">
      <c r="A3" s="1" t="s">
        <v>37</v>
      </c>
      <c r="B3" s="93"/>
      <c r="C3" s="93"/>
      <c r="D3" s="93"/>
      <c r="E3" s="93"/>
      <c r="F3" s="93"/>
      <c r="G3" s="93"/>
      <c r="H3" s="93"/>
      <c r="I3" s="93"/>
      <c r="J3" s="93"/>
    </row>
    <row r="4" spans="1:10" x14ac:dyDescent="0.4">
      <c r="A4" s="1"/>
      <c r="B4" s="93"/>
      <c r="C4" s="93"/>
      <c r="D4" s="93"/>
      <c r="E4" s="93"/>
      <c r="F4" s="93"/>
      <c r="G4" s="93"/>
      <c r="H4" s="93"/>
      <c r="I4" s="93"/>
      <c r="J4" s="93"/>
    </row>
    <row r="5" spans="1:10" s="3" customFormat="1" ht="21.75" customHeight="1" x14ac:dyDescent="0.35">
      <c r="A5" s="48" t="s">
        <v>251</v>
      </c>
      <c r="B5" s="49"/>
      <c r="C5" s="49"/>
      <c r="D5" s="49"/>
      <c r="E5" s="49"/>
      <c r="F5" s="49"/>
      <c r="G5" s="49"/>
      <c r="H5" s="49"/>
      <c r="I5" s="49"/>
      <c r="J5" s="50"/>
    </row>
    <row r="6" spans="1:10" s="3" customFormat="1" ht="15.75" customHeight="1" x14ac:dyDescent="0.35">
      <c r="A6" s="312"/>
      <c r="B6" s="216"/>
      <c r="C6" s="216"/>
      <c r="D6" s="216"/>
      <c r="E6" s="216"/>
      <c r="F6" s="216"/>
      <c r="G6" s="216"/>
      <c r="H6" s="216"/>
      <c r="I6" s="216"/>
      <c r="J6" s="217"/>
    </row>
    <row r="7" spans="1:10" s="3" customFormat="1" ht="15.75" customHeight="1" x14ac:dyDescent="0.35">
      <c r="A7" s="221"/>
      <c r="B7" s="222"/>
      <c r="C7" s="222"/>
      <c r="D7" s="222"/>
      <c r="E7" s="222"/>
      <c r="F7" s="222"/>
      <c r="G7" s="222"/>
      <c r="H7" s="222"/>
      <c r="I7" s="222"/>
      <c r="J7" s="223"/>
    </row>
    <row r="8" spans="1:10" s="3" customFormat="1" ht="15.75" customHeight="1" x14ac:dyDescent="0.35">
      <c r="A8" s="207"/>
      <c r="B8" s="208"/>
      <c r="C8" s="208"/>
      <c r="D8" s="208"/>
      <c r="E8" s="208"/>
      <c r="F8" s="208"/>
      <c r="G8" s="208"/>
      <c r="H8" s="208"/>
      <c r="I8" s="208"/>
      <c r="J8" s="209"/>
    </row>
    <row r="9" spans="1:10" s="3" customFormat="1" ht="15.75" customHeight="1" x14ac:dyDescent="0.35">
      <c r="A9" s="213"/>
      <c r="B9" s="214"/>
      <c r="C9" s="214"/>
      <c r="D9" s="214"/>
      <c r="E9" s="214"/>
      <c r="F9" s="214"/>
      <c r="G9" s="214"/>
      <c r="H9" s="214"/>
      <c r="I9" s="214"/>
      <c r="J9" s="215"/>
    </row>
    <row r="10" spans="1:10" s="3" customFormat="1" ht="15.75" customHeight="1" x14ac:dyDescent="0.35">
      <c r="A10" s="207"/>
      <c r="B10" s="208"/>
      <c r="C10" s="208"/>
      <c r="D10" s="208"/>
      <c r="E10" s="208"/>
      <c r="F10" s="208"/>
      <c r="G10" s="208"/>
      <c r="H10" s="208"/>
      <c r="I10" s="208"/>
      <c r="J10" s="209"/>
    </row>
    <row r="11" spans="1:10" s="3" customFormat="1" ht="15.75" customHeight="1" x14ac:dyDescent="0.35">
      <c r="A11" s="213"/>
      <c r="B11" s="214"/>
      <c r="C11" s="214"/>
      <c r="D11" s="214"/>
      <c r="E11" s="214"/>
      <c r="F11" s="214"/>
      <c r="G11" s="214"/>
      <c r="H11" s="214"/>
      <c r="I11" s="214"/>
      <c r="J11" s="215"/>
    </row>
    <row r="12" spans="1:10" s="3" customFormat="1" ht="13.5" x14ac:dyDescent="0.35"/>
    <row r="13" spans="1:10" s="47" customFormat="1" ht="33.75" customHeight="1" x14ac:dyDescent="0.45">
      <c r="A13" s="306" t="s">
        <v>253</v>
      </c>
      <c r="B13" s="307"/>
      <c r="C13" s="307"/>
      <c r="D13" s="307"/>
      <c r="E13" s="307"/>
      <c r="F13" s="307"/>
      <c r="G13" s="307"/>
      <c r="H13" s="307"/>
      <c r="I13" s="307"/>
      <c r="J13" s="308"/>
    </row>
    <row r="14" spans="1:10" ht="15.75" customHeight="1" x14ac:dyDescent="0.4">
      <c r="A14" s="309" t="s">
        <v>254</v>
      </c>
      <c r="B14" s="311"/>
      <c r="C14" s="309" t="s">
        <v>246</v>
      </c>
      <c r="D14" s="310"/>
      <c r="E14" s="310"/>
      <c r="F14" s="310"/>
      <c r="G14" s="310"/>
      <c r="H14" s="310"/>
      <c r="I14" s="310"/>
      <c r="J14" s="310"/>
    </row>
    <row r="15" spans="1:10" ht="15.75" customHeight="1" x14ac:dyDescent="0.4">
      <c r="A15" s="207"/>
      <c r="B15" s="209"/>
      <c r="C15" s="312"/>
      <c r="D15" s="216"/>
      <c r="E15" s="216"/>
      <c r="F15" s="216"/>
      <c r="G15" s="216"/>
      <c r="H15" s="216"/>
      <c r="I15" s="216"/>
      <c r="J15" s="217"/>
    </row>
    <row r="16" spans="1:10" ht="15.75" customHeight="1" x14ac:dyDescent="0.4">
      <c r="A16" s="213"/>
      <c r="B16" s="215"/>
      <c r="C16" s="221"/>
      <c r="D16" s="222"/>
      <c r="E16" s="222"/>
      <c r="F16" s="222"/>
      <c r="G16" s="222"/>
      <c r="H16" s="222"/>
      <c r="I16" s="222"/>
      <c r="J16" s="223"/>
    </row>
    <row r="17" spans="1:10" ht="15.75" customHeight="1" x14ac:dyDescent="0.4">
      <c r="A17" s="312"/>
      <c r="B17" s="217"/>
      <c r="C17" s="312"/>
      <c r="D17" s="216"/>
      <c r="E17" s="216"/>
      <c r="F17" s="216"/>
      <c r="G17" s="216"/>
      <c r="H17" s="216"/>
      <c r="I17" s="216"/>
      <c r="J17" s="217"/>
    </row>
    <row r="18" spans="1:10" ht="15.75" customHeight="1" x14ac:dyDescent="0.4">
      <c r="A18" s="221"/>
      <c r="B18" s="223"/>
      <c r="C18" s="221"/>
      <c r="D18" s="222"/>
      <c r="E18" s="222"/>
      <c r="F18" s="222"/>
      <c r="G18" s="222"/>
      <c r="H18" s="222"/>
      <c r="I18" s="222"/>
      <c r="J18" s="223"/>
    </row>
    <row r="19" spans="1:10" ht="15.75" customHeight="1" x14ac:dyDescent="0.4">
      <c r="A19" s="312"/>
      <c r="B19" s="217"/>
      <c r="C19" s="312"/>
      <c r="D19" s="216"/>
      <c r="E19" s="216"/>
      <c r="F19" s="216"/>
      <c r="G19" s="216"/>
      <c r="H19" s="216"/>
      <c r="I19" s="216"/>
      <c r="J19" s="217"/>
    </row>
    <row r="20" spans="1:10" ht="15.75" customHeight="1" x14ac:dyDescent="0.4">
      <c r="A20" s="221"/>
      <c r="B20" s="223"/>
      <c r="C20" s="221"/>
      <c r="D20" s="222"/>
      <c r="E20" s="222"/>
      <c r="F20" s="222"/>
      <c r="G20" s="222"/>
      <c r="H20" s="222"/>
      <c r="I20" s="222"/>
      <c r="J20" s="223"/>
    </row>
    <row r="22" spans="1:10" ht="22.5" customHeight="1" x14ac:dyDescent="0.4">
      <c r="A22" s="329" t="s">
        <v>268</v>
      </c>
      <c r="B22" s="330"/>
      <c r="C22" s="330"/>
      <c r="D22" s="330"/>
      <c r="E22" s="330"/>
      <c r="F22" s="330"/>
      <c r="G22" s="330"/>
      <c r="H22" s="330"/>
      <c r="I22" s="330"/>
      <c r="J22" s="330"/>
    </row>
    <row r="23" spans="1:10" ht="19.5" customHeight="1" x14ac:dyDescent="0.4">
      <c r="A23" s="331" t="s">
        <v>184</v>
      </c>
      <c r="B23" s="332"/>
      <c r="C23" s="333"/>
      <c r="D23" s="334" t="s">
        <v>269</v>
      </c>
      <c r="E23" s="335"/>
      <c r="F23" s="336"/>
      <c r="G23" s="54" t="s">
        <v>257</v>
      </c>
      <c r="H23" s="54" t="s">
        <v>270</v>
      </c>
      <c r="I23" s="54" t="s">
        <v>271</v>
      </c>
      <c r="J23" s="54" t="s">
        <v>272</v>
      </c>
    </row>
    <row r="24" spans="1:10" x14ac:dyDescent="0.4">
      <c r="A24" s="326"/>
      <c r="B24" s="327"/>
      <c r="C24" s="328"/>
      <c r="D24" s="323"/>
      <c r="E24" s="324"/>
      <c r="F24" s="325"/>
      <c r="G24" s="159"/>
      <c r="H24" s="159"/>
      <c r="I24" s="159"/>
      <c r="J24" s="159"/>
    </row>
    <row r="25" spans="1:10" x14ac:dyDescent="0.4">
      <c r="A25" s="326"/>
      <c r="B25" s="327"/>
      <c r="C25" s="328"/>
      <c r="D25" s="323"/>
      <c r="E25" s="324"/>
      <c r="F25" s="325"/>
      <c r="G25" s="159"/>
      <c r="H25" s="159"/>
      <c r="I25" s="159"/>
      <c r="J25" s="159"/>
    </row>
    <row r="26" spans="1:10" x14ac:dyDescent="0.4">
      <c r="A26" s="326"/>
      <c r="B26" s="327"/>
      <c r="C26" s="328"/>
      <c r="D26" s="323"/>
      <c r="E26" s="324"/>
      <c r="F26" s="325"/>
      <c r="G26" s="159"/>
      <c r="H26" s="159"/>
      <c r="I26" s="159"/>
      <c r="J26" s="159"/>
    </row>
    <row r="27" spans="1:10" x14ac:dyDescent="0.4">
      <c r="A27" s="326"/>
      <c r="B27" s="327"/>
      <c r="C27" s="328"/>
      <c r="D27" s="323"/>
      <c r="E27" s="324"/>
      <c r="F27" s="325"/>
      <c r="G27" s="159"/>
      <c r="H27" s="159"/>
      <c r="I27" s="159"/>
      <c r="J27" s="159"/>
    </row>
    <row r="28" spans="1:10" x14ac:dyDescent="0.4">
      <c r="A28" s="326"/>
      <c r="B28" s="327"/>
      <c r="C28" s="328"/>
      <c r="D28" s="323"/>
      <c r="E28" s="324"/>
      <c r="F28" s="325"/>
      <c r="G28" s="159"/>
      <c r="H28" s="159"/>
      <c r="I28" s="159"/>
      <c r="J28" s="159"/>
    </row>
    <row r="29" spans="1:10" x14ac:dyDescent="0.4">
      <c r="A29" s="326"/>
      <c r="B29" s="327"/>
      <c r="C29" s="328"/>
      <c r="D29" s="323"/>
      <c r="E29" s="324"/>
      <c r="F29" s="325"/>
      <c r="G29" s="159"/>
      <c r="H29" s="159"/>
      <c r="I29" s="159"/>
      <c r="J29" s="159"/>
    </row>
    <row r="30" spans="1:10" x14ac:dyDescent="0.4">
      <c r="A30" s="322"/>
      <c r="B30" s="322"/>
      <c r="C30" s="322"/>
      <c r="D30" s="323"/>
      <c r="E30" s="324"/>
      <c r="F30" s="325"/>
      <c r="G30" s="159"/>
      <c r="H30" s="159"/>
      <c r="I30" s="159"/>
      <c r="J30" s="159"/>
    </row>
    <row r="31" spans="1:10" x14ac:dyDescent="0.4">
      <c r="A31" s="110"/>
      <c r="B31" s="110"/>
      <c r="C31" s="110"/>
      <c r="D31" s="110"/>
      <c r="E31" s="110"/>
      <c r="F31" s="110"/>
      <c r="G31" s="110"/>
      <c r="H31" s="110"/>
      <c r="I31" s="110"/>
      <c r="J31" s="110"/>
    </row>
    <row r="32" spans="1:10" x14ac:dyDescent="0.4">
      <c r="A32" s="110"/>
      <c r="B32" s="110"/>
      <c r="C32" s="110"/>
      <c r="D32" s="110"/>
      <c r="E32" s="110"/>
      <c r="F32" s="110"/>
      <c r="G32" s="110"/>
      <c r="H32" s="110"/>
      <c r="I32" s="110"/>
      <c r="J32" s="110"/>
    </row>
    <row r="33" spans="1:10" x14ac:dyDescent="0.4">
      <c r="A33" s="110"/>
      <c r="B33" s="110"/>
      <c r="C33" s="110"/>
      <c r="D33" s="110"/>
      <c r="E33" s="110"/>
      <c r="F33" s="110"/>
      <c r="G33" s="110"/>
      <c r="H33" s="110"/>
      <c r="I33" s="110"/>
      <c r="J33" s="110"/>
    </row>
    <row r="66" spans="6:6" x14ac:dyDescent="0.4">
      <c r="F66" s="3"/>
    </row>
  </sheetData>
  <mergeCells count="29">
    <mergeCell ref="A6:J7"/>
    <mergeCell ref="A8:J9"/>
    <mergeCell ref="A10:J11"/>
    <mergeCell ref="A13:J13"/>
    <mergeCell ref="A14:B14"/>
    <mergeCell ref="C14:J14"/>
    <mergeCell ref="A22:J22"/>
    <mergeCell ref="A23:C23"/>
    <mergeCell ref="D23:F23"/>
    <mergeCell ref="A15:B16"/>
    <mergeCell ref="C15:J16"/>
    <mergeCell ref="A17:B18"/>
    <mergeCell ref="C17:J18"/>
    <mergeCell ref="A19:B20"/>
    <mergeCell ref="C19:J20"/>
    <mergeCell ref="A24:C24"/>
    <mergeCell ref="D24:F24"/>
    <mergeCell ref="A25:C25"/>
    <mergeCell ref="D25:F25"/>
    <mergeCell ref="A26:C26"/>
    <mergeCell ref="D26:F26"/>
    <mergeCell ref="A30:C30"/>
    <mergeCell ref="D30:F30"/>
    <mergeCell ref="A27:C27"/>
    <mergeCell ref="D27:F27"/>
    <mergeCell ref="A28:C28"/>
    <mergeCell ref="D28:F28"/>
    <mergeCell ref="A29:C29"/>
    <mergeCell ref="D29:F29"/>
  </mergeCells>
  <pageMargins left="0.7" right="0.7" top="0.75" bottom="0.75" header="0.3" footer="0.3"/>
  <pageSetup paperSize="9" scale="87" orientation="portrait"/>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P64"/>
  <sheetViews>
    <sheetView showGridLines="0" zoomScaleNormal="100" workbookViewId="0">
      <selection activeCell="F12" sqref="F12"/>
    </sheetView>
  </sheetViews>
  <sheetFormatPr defaultColWidth="9.265625" defaultRowHeight="15" x14ac:dyDescent="0.4"/>
  <cols>
    <col min="1" max="1" width="9.265625" style="2" customWidth="1"/>
    <col min="2" max="2" width="14.59765625" style="2" bestFit="1" customWidth="1"/>
    <col min="3" max="9" width="9.265625" style="2"/>
    <col min="10" max="10" width="10.3984375" style="2" customWidth="1"/>
    <col min="11" max="16384" width="9.265625" style="2"/>
  </cols>
  <sheetData>
    <row r="1" spans="1:16" x14ac:dyDescent="0.4">
      <c r="A1" s="93" t="str">
        <f>+'Cover Page'!$B$29</f>
        <v>Annual Performance Report 2022</v>
      </c>
      <c r="B1" s="93"/>
      <c r="C1" s="93"/>
      <c r="D1" s="93"/>
      <c r="E1" s="93" t="str">
        <f>+'Cover Page'!$B$33</f>
        <v>EQUANS FM Ltd</v>
      </c>
      <c r="F1" s="93"/>
      <c r="G1" s="93"/>
      <c r="H1" s="93"/>
      <c r="I1" s="93"/>
      <c r="J1" s="93"/>
      <c r="K1" s="93"/>
      <c r="L1" s="93"/>
      <c r="M1" s="93"/>
      <c r="N1" s="93"/>
      <c r="O1" s="93"/>
      <c r="P1" s="93"/>
    </row>
    <row r="2" spans="1:16" ht="7.5" customHeight="1" x14ac:dyDescent="0.4">
      <c r="A2" s="93"/>
      <c r="B2" s="93"/>
      <c r="C2" s="93"/>
      <c r="D2" s="93"/>
      <c r="E2" s="93"/>
      <c r="F2" s="93"/>
      <c r="G2" s="93"/>
      <c r="H2" s="93"/>
      <c r="I2" s="93"/>
      <c r="J2" s="93"/>
      <c r="K2" s="93"/>
      <c r="L2" s="93"/>
      <c r="M2" s="93"/>
      <c r="N2" s="93"/>
      <c r="O2" s="93"/>
      <c r="P2" s="93"/>
    </row>
    <row r="3" spans="1:16" x14ac:dyDescent="0.4">
      <c r="A3" s="1" t="s">
        <v>38</v>
      </c>
      <c r="B3" s="93"/>
      <c r="C3" s="93"/>
      <c r="D3" s="93"/>
      <c r="E3" s="93"/>
      <c r="F3" s="93"/>
      <c r="G3" s="93"/>
      <c r="H3" s="93"/>
      <c r="I3" s="93"/>
      <c r="J3" s="93"/>
      <c r="K3" s="93"/>
      <c r="L3" s="93"/>
      <c r="M3" s="93"/>
      <c r="N3" s="93"/>
      <c r="O3" s="93"/>
      <c r="P3" s="93"/>
    </row>
    <row r="4" spans="1:16" ht="9.75" customHeight="1" x14ac:dyDescent="0.4">
      <c r="A4" s="1"/>
      <c r="B4" s="93"/>
      <c r="C4" s="93"/>
      <c r="D4" s="93"/>
      <c r="E4" s="93"/>
      <c r="F4" s="93"/>
      <c r="G4" s="93"/>
      <c r="H4" s="93"/>
      <c r="I4" s="93"/>
      <c r="J4" s="93"/>
      <c r="K4" s="93"/>
      <c r="L4" s="93"/>
      <c r="M4" s="93"/>
      <c r="N4" s="93"/>
      <c r="O4" s="93"/>
      <c r="P4" s="93"/>
    </row>
    <row r="5" spans="1:16" s="3" customFormat="1" ht="21.75" customHeight="1" x14ac:dyDescent="0.4">
      <c r="A5" s="48" t="s">
        <v>273</v>
      </c>
      <c r="B5" s="49"/>
      <c r="C5" s="49"/>
      <c r="D5" s="49"/>
      <c r="E5" s="49"/>
      <c r="F5" s="49"/>
      <c r="G5" s="49"/>
      <c r="H5" s="49"/>
      <c r="I5" s="49"/>
      <c r="J5" s="50"/>
      <c r="M5" s="82" t="s">
        <v>3</v>
      </c>
    </row>
    <row r="6" spans="1:16" s="3" customFormat="1" ht="15.75" customHeight="1" x14ac:dyDescent="0.35">
      <c r="A6" s="312" t="s">
        <v>274</v>
      </c>
      <c r="B6" s="216"/>
      <c r="C6" s="216"/>
      <c r="D6" s="216"/>
      <c r="E6" s="216"/>
      <c r="F6" s="216"/>
      <c r="G6" s="216"/>
      <c r="H6" s="216"/>
      <c r="I6" s="216"/>
      <c r="J6" s="217"/>
      <c r="M6" s="350" t="s">
        <v>275</v>
      </c>
      <c r="N6" s="350"/>
      <c r="O6" s="350"/>
      <c r="P6" s="350"/>
    </row>
    <row r="7" spans="1:16" s="3" customFormat="1" ht="15.75" customHeight="1" x14ac:dyDescent="0.35">
      <c r="A7" s="221"/>
      <c r="B7" s="222"/>
      <c r="C7" s="222"/>
      <c r="D7" s="222"/>
      <c r="E7" s="222"/>
      <c r="F7" s="222"/>
      <c r="G7" s="222"/>
      <c r="H7" s="222"/>
      <c r="I7" s="222"/>
      <c r="J7" s="223"/>
      <c r="M7" s="350"/>
      <c r="N7" s="350"/>
      <c r="O7" s="350"/>
      <c r="P7" s="350"/>
    </row>
    <row r="8" spans="1:16" s="3" customFormat="1" ht="13.5" x14ac:dyDescent="0.35">
      <c r="M8" s="350"/>
      <c r="N8" s="350"/>
      <c r="O8" s="350"/>
      <c r="P8" s="350"/>
    </row>
    <row r="9" spans="1:16" s="56" customFormat="1" ht="16.5" customHeight="1" x14ac:dyDescent="0.4">
      <c r="A9" s="321" t="s">
        <v>276</v>
      </c>
      <c r="B9" s="321"/>
      <c r="C9" s="321"/>
      <c r="D9" s="321"/>
      <c r="E9" s="321"/>
      <c r="F9" s="321"/>
      <c r="G9" s="321"/>
      <c r="H9" s="321"/>
      <c r="I9" s="321"/>
      <c r="J9" s="321"/>
      <c r="M9" s="350"/>
      <c r="N9" s="350"/>
      <c r="O9" s="350"/>
      <c r="P9" s="350"/>
    </row>
    <row r="10" spans="1:16" s="56" customFormat="1" ht="16.5" customHeight="1" x14ac:dyDescent="0.4">
      <c r="A10" s="337" t="s">
        <v>214</v>
      </c>
      <c r="B10" s="338"/>
      <c r="C10" s="348" t="s">
        <v>277</v>
      </c>
      <c r="D10" s="344" t="s">
        <v>278</v>
      </c>
      <c r="E10" s="345"/>
      <c r="F10" s="341" t="s">
        <v>272</v>
      </c>
      <c r="G10" s="342"/>
      <c r="H10" s="342"/>
      <c r="I10" s="342"/>
      <c r="J10" s="343"/>
      <c r="M10" s="350" t="s">
        <v>279</v>
      </c>
      <c r="N10" s="350"/>
      <c r="O10" s="350"/>
      <c r="P10" s="350"/>
    </row>
    <row r="11" spans="1:16" s="12" customFormat="1" ht="17.25" customHeight="1" x14ac:dyDescent="0.35">
      <c r="A11" s="339"/>
      <c r="B11" s="340"/>
      <c r="C11" s="349"/>
      <c r="D11" s="346"/>
      <c r="E11" s="347"/>
      <c r="F11" s="46" t="s">
        <v>186</v>
      </c>
      <c r="G11" s="46" t="s">
        <v>187</v>
      </c>
      <c r="H11" s="46" t="s">
        <v>188</v>
      </c>
      <c r="I11" s="46" t="s">
        <v>189</v>
      </c>
      <c r="J11" s="46" t="s">
        <v>190</v>
      </c>
      <c r="K11" s="110"/>
      <c r="L11" s="110"/>
      <c r="M11" s="350"/>
      <c r="N11" s="350"/>
      <c r="O11" s="350"/>
      <c r="P11" s="350"/>
    </row>
    <row r="12" spans="1:16" s="12" customFormat="1" ht="23.25" customHeight="1" x14ac:dyDescent="0.35">
      <c r="A12" s="237" t="s">
        <v>229</v>
      </c>
      <c r="B12" s="237"/>
      <c r="C12" s="162" t="s">
        <v>280</v>
      </c>
      <c r="D12" s="284" t="s">
        <v>281</v>
      </c>
      <c r="E12" s="284"/>
      <c r="F12" s="180">
        <v>0.04</v>
      </c>
      <c r="G12" s="159"/>
      <c r="H12" s="159"/>
      <c r="I12" s="159"/>
      <c r="J12" s="159"/>
      <c r="K12" s="110"/>
      <c r="L12" s="110"/>
      <c r="M12" s="350"/>
      <c r="N12" s="350"/>
      <c r="O12" s="350"/>
      <c r="P12" s="350"/>
    </row>
    <row r="13" spans="1:16" s="12" customFormat="1" ht="23.25" customHeight="1" x14ac:dyDescent="0.35">
      <c r="A13" s="237" t="s">
        <v>282</v>
      </c>
      <c r="B13" s="237"/>
      <c r="C13" s="162" t="s">
        <v>283</v>
      </c>
      <c r="D13" s="284" t="s">
        <v>284</v>
      </c>
      <c r="E13" s="284"/>
      <c r="F13" s="181">
        <v>1E-3</v>
      </c>
      <c r="G13" s="159"/>
      <c r="H13" s="159"/>
      <c r="I13" s="159"/>
      <c r="J13" s="159"/>
      <c r="K13" s="110"/>
      <c r="L13" s="110"/>
      <c r="M13" s="110"/>
      <c r="N13" s="110"/>
      <c r="O13" s="110"/>
      <c r="P13" s="110"/>
    </row>
    <row r="14" spans="1:16" s="12" customFormat="1" ht="23.25" customHeight="1" x14ac:dyDescent="0.35">
      <c r="A14" s="237" t="s">
        <v>285</v>
      </c>
      <c r="B14" s="237"/>
      <c r="C14" s="162" t="s">
        <v>283</v>
      </c>
      <c r="D14" s="284" t="s">
        <v>284</v>
      </c>
      <c r="E14" s="284"/>
      <c r="F14" s="181">
        <v>4.0000000000000001E-3</v>
      </c>
      <c r="G14" s="159"/>
      <c r="H14" s="159"/>
      <c r="I14" s="159"/>
      <c r="J14" s="159"/>
      <c r="K14" s="110"/>
      <c r="L14" s="110"/>
      <c r="M14" s="110"/>
      <c r="N14" s="110"/>
      <c r="O14" s="110"/>
      <c r="P14" s="110"/>
    </row>
    <row r="15" spans="1:16" s="12" customFormat="1" ht="30.75" customHeight="1" x14ac:dyDescent="0.35">
      <c r="A15" s="237" t="s">
        <v>286</v>
      </c>
      <c r="B15" s="237"/>
      <c r="C15" s="162" t="s">
        <v>283</v>
      </c>
      <c r="D15" s="284" t="s">
        <v>287</v>
      </c>
      <c r="E15" s="284"/>
      <c r="F15" s="181">
        <v>2.5000000000000001E-2</v>
      </c>
      <c r="G15" s="159"/>
      <c r="H15" s="159"/>
      <c r="I15" s="159"/>
      <c r="J15" s="159"/>
      <c r="K15" s="110"/>
      <c r="L15" s="110"/>
      <c r="M15" s="110"/>
      <c r="N15" s="110"/>
      <c r="O15" s="110"/>
      <c r="P15" s="110"/>
    </row>
    <row r="16" spans="1:16" s="12" customFormat="1" ht="39.75" customHeight="1" x14ac:dyDescent="0.35">
      <c r="A16" s="237" t="s">
        <v>288</v>
      </c>
      <c r="B16" s="237"/>
      <c r="C16" s="162" t="s">
        <v>283</v>
      </c>
      <c r="D16" s="284" t="s">
        <v>289</v>
      </c>
      <c r="E16" s="284"/>
      <c r="F16" s="181">
        <v>1.2E-2</v>
      </c>
      <c r="G16" s="159"/>
      <c r="H16" s="159"/>
      <c r="I16" s="159"/>
      <c r="J16" s="159"/>
      <c r="K16" s="110"/>
      <c r="L16" s="110"/>
      <c r="M16" s="110"/>
      <c r="N16" s="110"/>
      <c r="O16" s="110"/>
      <c r="P16" s="110"/>
    </row>
    <row r="17" spans="1:10" s="12" customFormat="1" ht="23.25" customHeight="1" x14ac:dyDescent="0.35">
      <c r="A17" s="237" t="s">
        <v>290</v>
      </c>
      <c r="B17" s="237"/>
      <c r="C17" s="162" t="s">
        <v>283</v>
      </c>
      <c r="D17" s="284" t="s">
        <v>291</v>
      </c>
      <c r="E17" s="284"/>
      <c r="F17" s="181">
        <v>6.8000000000000005E-4</v>
      </c>
      <c r="G17" s="159"/>
      <c r="H17" s="159"/>
      <c r="I17" s="159"/>
      <c r="J17" s="159"/>
    </row>
    <row r="18" spans="1:10" s="12" customFormat="1" ht="23.25" customHeight="1" x14ac:dyDescent="0.35">
      <c r="A18" s="237" t="s">
        <v>292</v>
      </c>
      <c r="B18" s="237"/>
      <c r="C18" s="162" t="s">
        <v>283</v>
      </c>
      <c r="D18" s="284" t="s">
        <v>291</v>
      </c>
      <c r="E18" s="284"/>
      <c r="F18" s="181">
        <v>4.0000000000000003E-5</v>
      </c>
      <c r="G18" s="159"/>
      <c r="H18" s="159"/>
      <c r="I18" s="159"/>
      <c r="J18" s="159"/>
    </row>
    <row r="19" spans="1:10" s="12" customFormat="1" ht="23.25" customHeight="1" x14ac:dyDescent="0.35">
      <c r="A19" s="237" t="s">
        <v>293</v>
      </c>
      <c r="B19" s="237"/>
      <c r="C19" s="162" t="s">
        <v>283</v>
      </c>
      <c r="D19" s="284" t="s">
        <v>291</v>
      </c>
      <c r="E19" s="284"/>
      <c r="F19" s="181">
        <v>2.3400000000000001E-3</v>
      </c>
      <c r="G19" s="159"/>
      <c r="H19" s="159"/>
      <c r="I19" s="159"/>
      <c r="J19" s="159"/>
    </row>
    <row r="20" spans="1:10" s="12" customFormat="1" ht="37.5" customHeight="1" x14ac:dyDescent="0.35">
      <c r="A20" s="237" t="s">
        <v>294</v>
      </c>
      <c r="B20" s="237"/>
      <c r="C20" s="162" t="s">
        <v>283</v>
      </c>
      <c r="D20" s="284" t="s">
        <v>291</v>
      </c>
      <c r="E20" s="284"/>
      <c r="F20" s="181">
        <v>1.2E-2</v>
      </c>
      <c r="G20" s="159"/>
      <c r="H20" s="159"/>
      <c r="I20" s="159"/>
      <c r="J20" s="159"/>
    </row>
    <row r="21" spans="1:10" s="12" customFormat="1" ht="23.25" customHeight="1" x14ac:dyDescent="0.35">
      <c r="A21" s="237" t="s">
        <v>295</v>
      </c>
      <c r="B21" s="237"/>
      <c r="C21" s="162" t="s">
        <v>283</v>
      </c>
      <c r="D21" s="284" t="s">
        <v>291</v>
      </c>
      <c r="E21" s="284"/>
      <c r="F21" s="181">
        <v>1.2999999999999999E-2</v>
      </c>
      <c r="G21" s="159"/>
      <c r="H21" s="159"/>
      <c r="I21" s="159"/>
      <c r="J21" s="159"/>
    </row>
    <row r="22" spans="1:10" s="12" customFormat="1" ht="23.25" customHeight="1" x14ac:dyDescent="0.35">
      <c r="A22" s="237" t="s">
        <v>296</v>
      </c>
      <c r="B22" s="237"/>
      <c r="C22" s="162" t="s">
        <v>283</v>
      </c>
      <c r="D22" s="284" t="s">
        <v>291</v>
      </c>
      <c r="E22" s="284"/>
      <c r="F22" s="181">
        <v>4.0000000000000001E-3</v>
      </c>
      <c r="G22" s="159"/>
      <c r="H22" s="159"/>
      <c r="I22" s="159"/>
      <c r="J22" s="159"/>
    </row>
    <row r="23" spans="1:10" s="12" customFormat="1" ht="23.25" customHeight="1" x14ac:dyDescent="0.35">
      <c r="A23" s="237" t="s">
        <v>297</v>
      </c>
      <c r="B23" s="237"/>
      <c r="C23" s="162" t="s">
        <v>283</v>
      </c>
      <c r="D23" s="284" t="s">
        <v>298</v>
      </c>
      <c r="E23" s="284"/>
      <c r="F23" s="181">
        <v>2E-3</v>
      </c>
      <c r="G23" s="159"/>
      <c r="H23" s="159"/>
      <c r="I23" s="159"/>
      <c r="J23" s="159"/>
    </row>
    <row r="24" spans="1:10" s="12" customFormat="1" ht="23.25" customHeight="1" x14ac:dyDescent="0.35">
      <c r="A24" s="237" t="s">
        <v>299</v>
      </c>
      <c r="B24" s="237"/>
      <c r="C24" s="162" t="s">
        <v>283</v>
      </c>
      <c r="D24" s="284" t="s">
        <v>298</v>
      </c>
      <c r="E24" s="284"/>
      <c r="F24" s="181">
        <v>2E-3</v>
      </c>
      <c r="G24" s="159"/>
      <c r="H24" s="159"/>
      <c r="I24" s="159"/>
      <c r="J24" s="159"/>
    </row>
    <row r="25" spans="1:10" s="12" customFormat="1" ht="23.25" customHeight="1" x14ac:dyDescent="0.35">
      <c r="A25" s="237" t="s">
        <v>300</v>
      </c>
      <c r="B25" s="237"/>
      <c r="C25" s="162" t="s">
        <v>283</v>
      </c>
      <c r="D25" s="284" t="s">
        <v>298</v>
      </c>
      <c r="E25" s="284"/>
      <c r="F25" s="181">
        <v>2E-3</v>
      </c>
      <c r="G25" s="159"/>
      <c r="H25" s="159"/>
      <c r="I25" s="159"/>
      <c r="J25" s="159"/>
    </row>
    <row r="26" spans="1:10" s="12" customFormat="1" ht="23.25" customHeight="1" x14ac:dyDescent="0.35">
      <c r="A26" s="237" t="s">
        <v>301</v>
      </c>
      <c r="B26" s="237"/>
      <c r="C26" s="162" t="s">
        <v>283</v>
      </c>
      <c r="D26" s="284" t="s">
        <v>298</v>
      </c>
      <c r="E26" s="284"/>
      <c r="F26" s="181">
        <v>2E-3</v>
      </c>
      <c r="G26" s="159"/>
      <c r="H26" s="159"/>
      <c r="I26" s="159"/>
      <c r="J26" s="159"/>
    </row>
    <row r="27" spans="1:10" s="12" customFormat="1" ht="23.25" customHeight="1" x14ac:dyDescent="0.35">
      <c r="A27" s="237" t="s">
        <v>302</v>
      </c>
      <c r="B27" s="237"/>
      <c r="C27" s="162" t="s">
        <v>283</v>
      </c>
      <c r="D27" s="284" t="s">
        <v>298</v>
      </c>
      <c r="E27" s="284"/>
      <c r="F27" s="181">
        <v>2E-3</v>
      </c>
      <c r="G27" s="159"/>
      <c r="H27" s="159"/>
      <c r="I27" s="159"/>
      <c r="J27" s="159"/>
    </row>
    <row r="28" spans="1:10" s="12" customFormat="1" ht="23.25" customHeight="1" x14ac:dyDescent="0.35">
      <c r="A28" s="237" t="s">
        <v>303</v>
      </c>
      <c r="B28" s="237"/>
      <c r="C28" s="162" t="s">
        <v>283</v>
      </c>
      <c r="D28" s="284" t="s">
        <v>298</v>
      </c>
      <c r="E28" s="284"/>
      <c r="F28" s="181">
        <v>2E-3</v>
      </c>
      <c r="G28" s="159"/>
      <c r="H28" s="159"/>
      <c r="I28" s="159"/>
      <c r="J28" s="159"/>
    </row>
    <row r="29" spans="1:10" s="12" customFormat="1" ht="23.25" customHeight="1" x14ac:dyDescent="0.35">
      <c r="A29" s="237" t="s">
        <v>304</v>
      </c>
      <c r="B29" s="237"/>
      <c r="C29" s="162" t="s">
        <v>283</v>
      </c>
      <c r="D29" s="284" t="s">
        <v>298</v>
      </c>
      <c r="E29" s="284"/>
      <c r="F29" s="181">
        <v>2E-3</v>
      </c>
      <c r="G29" s="159"/>
      <c r="H29" s="159"/>
      <c r="I29" s="159"/>
      <c r="J29" s="159"/>
    </row>
    <row r="30" spans="1:10" s="12" customFormat="1" ht="23.25" customHeight="1" x14ac:dyDescent="0.35">
      <c r="A30" s="237" t="s">
        <v>305</v>
      </c>
      <c r="B30" s="237"/>
      <c r="C30" s="162" t="s">
        <v>283</v>
      </c>
      <c r="D30" s="284" t="s">
        <v>298</v>
      </c>
      <c r="E30" s="284"/>
      <c r="F30" s="181">
        <v>2E-3</v>
      </c>
      <c r="G30" s="159"/>
      <c r="H30" s="159"/>
      <c r="I30" s="159"/>
      <c r="J30" s="159"/>
    </row>
    <row r="31" spans="1:10" s="12" customFormat="1" ht="23.25" customHeight="1" x14ac:dyDescent="0.35">
      <c r="A31" s="237" t="s">
        <v>306</v>
      </c>
      <c r="B31" s="237"/>
      <c r="C31" s="162" t="s">
        <v>283</v>
      </c>
      <c r="D31" s="284" t="s">
        <v>298</v>
      </c>
      <c r="E31" s="284"/>
      <c r="F31" s="181">
        <v>2E-3</v>
      </c>
      <c r="G31" s="159"/>
      <c r="H31" s="159"/>
      <c r="I31" s="159"/>
      <c r="J31" s="159"/>
    </row>
    <row r="32" spans="1:10" s="12" customFormat="1" ht="23.25" customHeight="1" x14ac:dyDescent="0.35">
      <c r="A32" s="237" t="s">
        <v>307</v>
      </c>
      <c r="B32" s="237"/>
      <c r="C32" s="162" t="s">
        <v>283</v>
      </c>
      <c r="D32" s="284" t="s">
        <v>298</v>
      </c>
      <c r="E32" s="284"/>
      <c r="F32" s="181">
        <v>2E-3</v>
      </c>
      <c r="G32" s="159"/>
      <c r="H32" s="159"/>
      <c r="I32" s="159"/>
      <c r="J32" s="159"/>
    </row>
    <row r="33" spans="1:10" s="12" customFormat="1" ht="23.25" customHeight="1" x14ac:dyDescent="0.35">
      <c r="A33" s="237" t="s">
        <v>308</v>
      </c>
      <c r="B33" s="237"/>
      <c r="C33" s="162" t="s">
        <v>283</v>
      </c>
      <c r="D33" s="284" t="s">
        <v>298</v>
      </c>
      <c r="E33" s="284"/>
      <c r="F33" s="181">
        <v>2E-3</v>
      </c>
      <c r="G33" s="159"/>
      <c r="H33" s="159"/>
      <c r="I33" s="159"/>
      <c r="J33" s="159"/>
    </row>
    <row r="34" spans="1:10" s="12" customFormat="1" ht="23.25" customHeight="1" x14ac:dyDescent="0.35">
      <c r="A34" s="237" t="s">
        <v>309</v>
      </c>
      <c r="B34" s="237"/>
      <c r="C34" s="162" t="s">
        <v>283</v>
      </c>
      <c r="D34" s="284" t="s">
        <v>298</v>
      </c>
      <c r="E34" s="284"/>
      <c r="F34" s="181">
        <v>2E-3</v>
      </c>
      <c r="G34" s="159"/>
      <c r="H34" s="159"/>
      <c r="I34" s="159"/>
      <c r="J34" s="159"/>
    </row>
    <row r="35" spans="1:10" s="12" customFormat="1" ht="23.25" customHeight="1" x14ac:dyDescent="0.35">
      <c r="A35" s="237" t="s">
        <v>310</v>
      </c>
      <c r="B35" s="237"/>
      <c r="C35" s="162" t="s">
        <v>283</v>
      </c>
      <c r="D35" s="284" t="s">
        <v>298</v>
      </c>
      <c r="E35" s="284"/>
      <c r="F35" s="181">
        <v>2E-3</v>
      </c>
      <c r="G35" s="159"/>
      <c r="H35" s="159"/>
      <c r="I35" s="159"/>
      <c r="J35" s="159"/>
    </row>
    <row r="36" spans="1:10" s="12" customFormat="1" ht="23.25" customHeight="1" x14ac:dyDescent="0.35">
      <c r="A36" s="237" t="s">
        <v>311</v>
      </c>
      <c r="B36" s="237"/>
      <c r="C36" s="162" t="s">
        <v>283</v>
      </c>
      <c r="D36" s="284" t="s">
        <v>298</v>
      </c>
      <c r="E36" s="284"/>
      <c r="F36" s="181">
        <v>3.7999999999999999E-2</v>
      </c>
      <c r="G36" s="159"/>
      <c r="H36" s="159"/>
      <c r="I36" s="159"/>
      <c r="J36" s="159"/>
    </row>
    <row r="37" spans="1:10" s="12" customFormat="1" ht="23.25" customHeight="1" x14ac:dyDescent="0.35">
      <c r="A37" s="237" t="s">
        <v>312</v>
      </c>
      <c r="B37" s="237"/>
      <c r="C37" s="162" t="s">
        <v>283</v>
      </c>
      <c r="D37" s="284" t="s">
        <v>298</v>
      </c>
      <c r="E37" s="284"/>
      <c r="F37" s="181">
        <v>2E-3</v>
      </c>
      <c r="G37" s="159"/>
      <c r="H37" s="159"/>
      <c r="I37" s="159"/>
      <c r="J37" s="159"/>
    </row>
    <row r="38" spans="1:10" s="12" customFormat="1" ht="23.25" customHeight="1" x14ac:dyDescent="0.35">
      <c r="A38" s="237" t="s">
        <v>313</v>
      </c>
      <c r="B38" s="237"/>
      <c r="C38" s="162" t="s">
        <v>283</v>
      </c>
      <c r="D38" s="284" t="s">
        <v>298</v>
      </c>
      <c r="E38" s="284"/>
      <c r="F38" s="181">
        <v>7.0000000000000007E-2</v>
      </c>
      <c r="G38" s="159"/>
      <c r="H38" s="159"/>
      <c r="I38" s="159"/>
      <c r="J38" s="159"/>
    </row>
    <row r="39" spans="1:10" x14ac:dyDescent="0.4">
      <c r="A39" s="238" t="s">
        <v>267</v>
      </c>
      <c r="B39" s="238"/>
      <c r="C39" s="238"/>
      <c r="D39" s="238"/>
      <c r="E39" s="238"/>
      <c r="F39" s="238"/>
      <c r="G39" s="238"/>
      <c r="H39" s="238"/>
      <c r="I39" s="238"/>
      <c r="J39" s="238"/>
    </row>
    <row r="40" spans="1:10" x14ac:dyDescent="0.4">
      <c r="A40" s="314"/>
      <c r="B40" s="314"/>
      <c r="C40" s="314"/>
      <c r="D40" s="314"/>
      <c r="E40" s="314"/>
      <c r="F40" s="314"/>
      <c r="G40" s="314"/>
      <c r="H40" s="314"/>
      <c r="I40" s="314"/>
      <c r="J40" s="314"/>
    </row>
    <row r="41" spans="1:10" x14ac:dyDescent="0.4">
      <c r="A41" s="314"/>
      <c r="B41" s="314"/>
      <c r="C41" s="314"/>
      <c r="D41" s="314"/>
      <c r="E41" s="314"/>
      <c r="F41" s="314"/>
      <c r="G41" s="314"/>
      <c r="H41" s="314"/>
      <c r="I41" s="314"/>
      <c r="J41" s="314"/>
    </row>
    <row r="64" spans="6:6" x14ac:dyDescent="0.4">
      <c r="F64" s="3"/>
    </row>
  </sheetData>
  <mergeCells count="64">
    <mergeCell ref="M6:P9"/>
    <mergeCell ref="M10:P12"/>
    <mergeCell ref="A9:J9"/>
    <mergeCell ref="A6:J7"/>
    <mergeCell ref="A12:B12"/>
    <mergeCell ref="A13:B13"/>
    <mergeCell ref="D12:E12"/>
    <mergeCell ref="D13:E13"/>
    <mergeCell ref="A10:B11"/>
    <mergeCell ref="F10:J10"/>
    <mergeCell ref="D10:E11"/>
    <mergeCell ref="C10:C11"/>
    <mergeCell ref="A17:B17"/>
    <mergeCell ref="A18:B18"/>
    <mergeCell ref="A19:B19"/>
    <mergeCell ref="A14:B14"/>
    <mergeCell ref="A15:B15"/>
    <mergeCell ref="A16:B16"/>
    <mergeCell ref="A40:J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39:J39"/>
    <mergeCell ref="A20:B20"/>
    <mergeCell ref="A21:B21"/>
    <mergeCell ref="A22:B22"/>
    <mergeCell ref="D35:E35"/>
    <mergeCell ref="D36:E36"/>
    <mergeCell ref="A34:B34"/>
    <mergeCell ref="A35:B35"/>
    <mergeCell ref="A36:B36"/>
    <mergeCell ref="A37:B37"/>
    <mergeCell ref="A25:B25"/>
    <mergeCell ref="D33:E33"/>
    <mergeCell ref="D14:E14"/>
    <mergeCell ref="D15:E15"/>
    <mergeCell ref="D16:E16"/>
    <mergeCell ref="D17:E17"/>
    <mergeCell ref="D18:E18"/>
    <mergeCell ref="D19:E19"/>
    <mergeCell ref="D28:E28"/>
    <mergeCell ref="D34:E34"/>
    <mergeCell ref="D20:E20"/>
    <mergeCell ref="D21:E21"/>
    <mergeCell ref="D22:E22"/>
    <mergeCell ref="D23:E23"/>
    <mergeCell ref="D24:E24"/>
    <mergeCell ref="D25:E25"/>
    <mergeCell ref="D32:E32"/>
    <mergeCell ref="D26:E26"/>
    <mergeCell ref="D27:E27"/>
    <mergeCell ref="D29:E29"/>
  </mergeCells>
  <pageMargins left="0.7" right="0.7" top="0.75" bottom="0.75" header="0.3" footer="0.3"/>
  <pageSetup paperSize="9" scale="87" orientation="portrait"/>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8"/>
  <sheetViews>
    <sheetView showGridLines="0" topLeftCell="A6" zoomScaleNormal="100" workbookViewId="0">
      <selection activeCell="G26" sqref="G26"/>
    </sheetView>
  </sheetViews>
  <sheetFormatPr defaultColWidth="9.265625" defaultRowHeight="15" x14ac:dyDescent="0.4"/>
  <cols>
    <col min="1" max="1" width="21.265625" style="2" customWidth="1"/>
    <col min="2" max="2" width="13.73046875" style="2" customWidth="1"/>
    <col min="3" max="3" width="16.265625" style="2" customWidth="1"/>
    <col min="4" max="12" width="9.265625" style="2"/>
    <col min="13" max="13" width="10.3984375" style="2" customWidth="1"/>
    <col min="14" max="16384" width="9.265625" style="2"/>
  </cols>
  <sheetData>
    <row r="1" spans="1:16" x14ac:dyDescent="0.4">
      <c r="A1" s="93" t="str">
        <f>+'Cover Page'!$B$29</f>
        <v>Annual Performance Report 2022</v>
      </c>
      <c r="B1" s="93"/>
      <c r="C1" s="93"/>
      <c r="D1" s="93"/>
      <c r="E1" s="93"/>
      <c r="F1" s="93"/>
      <c r="G1" s="93"/>
      <c r="H1" s="93"/>
      <c r="I1" s="93" t="str">
        <f>+'Cover Page'!$B$33</f>
        <v>EQUANS FM Ltd</v>
      </c>
      <c r="J1" s="93"/>
      <c r="K1" s="93"/>
      <c r="L1" s="93"/>
      <c r="M1" s="93"/>
      <c r="N1" s="93"/>
      <c r="O1" s="93"/>
      <c r="P1" s="93"/>
    </row>
    <row r="3" spans="1:16" x14ac:dyDescent="0.4">
      <c r="A3" s="1" t="s">
        <v>314</v>
      </c>
      <c r="B3" s="93"/>
      <c r="C3" s="93"/>
      <c r="D3" s="93"/>
      <c r="E3" s="93"/>
      <c r="F3" s="93"/>
      <c r="G3" s="93"/>
      <c r="H3" s="93"/>
      <c r="I3" s="93"/>
      <c r="J3" s="93"/>
      <c r="K3" s="93"/>
      <c r="L3" s="93"/>
      <c r="M3" s="93"/>
      <c r="N3" s="93"/>
      <c r="O3" s="93"/>
      <c r="P3" s="93"/>
    </row>
    <row r="4" spans="1:16" ht="15.4" x14ac:dyDescent="0.45">
      <c r="A4" s="1"/>
      <c r="B4" s="93"/>
      <c r="C4" s="93"/>
      <c r="D4" s="93"/>
      <c r="E4" s="93"/>
      <c r="F4" s="93"/>
      <c r="G4" s="93"/>
      <c r="H4" s="93"/>
      <c r="I4" s="93"/>
      <c r="J4" s="93"/>
      <c r="K4" s="93"/>
      <c r="L4" s="93"/>
      <c r="M4" s="93"/>
      <c r="N4" s="93"/>
      <c r="O4" s="93"/>
      <c r="P4" s="73" t="s">
        <v>3</v>
      </c>
    </row>
    <row r="5" spans="1:16" s="3" customFormat="1" ht="21.75" customHeight="1" x14ac:dyDescent="0.4">
      <c r="A5" s="48" t="s">
        <v>273</v>
      </c>
      <c r="B5" s="49"/>
      <c r="C5" s="49"/>
      <c r="D5" s="49"/>
      <c r="E5" s="49"/>
      <c r="F5" s="49"/>
      <c r="G5" s="49"/>
      <c r="H5" s="49"/>
      <c r="I5" s="49"/>
      <c r="J5" s="49"/>
      <c r="K5" s="49"/>
      <c r="L5" s="49"/>
      <c r="M5" s="50"/>
      <c r="P5" s="74" t="s">
        <v>315</v>
      </c>
    </row>
    <row r="6" spans="1:16" s="3" customFormat="1" ht="15.75" customHeight="1" x14ac:dyDescent="0.35">
      <c r="A6" s="312" t="s">
        <v>316</v>
      </c>
      <c r="B6" s="216"/>
      <c r="C6" s="216"/>
      <c r="D6" s="216"/>
      <c r="E6" s="216"/>
      <c r="F6" s="216"/>
      <c r="G6" s="216"/>
      <c r="H6" s="216"/>
      <c r="I6" s="216"/>
      <c r="J6" s="216"/>
      <c r="K6" s="216"/>
      <c r="L6" s="216"/>
      <c r="M6" s="217"/>
      <c r="P6" s="3" t="s">
        <v>317</v>
      </c>
    </row>
    <row r="7" spans="1:16" s="3" customFormat="1" ht="15.75" customHeight="1" x14ac:dyDescent="0.35">
      <c r="A7" s="221"/>
      <c r="B7" s="222"/>
      <c r="C7" s="222"/>
      <c r="D7" s="222"/>
      <c r="E7" s="222"/>
      <c r="F7" s="222"/>
      <c r="G7" s="222"/>
      <c r="H7" s="222"/>
      <c r="I7" s="222"/>
      <c r="J7" s="222"/>
      <c r="K7" s="222"/>
      <c r="L7" s="222"/>
      <c r="M7" s="223"/>
    </row>
    <row r="8" spans="1:16" s="3" customFormat="1" ht="15.75" customHeight="1" x14ac:dyDescent="0.35">
      <c r="A8" s="207"/>
      <c r="B8" s="208"/>
      <c r="C8" s="208"/>
      <c r="D8" s="208"/>
      <c r="E8" s="208"/>
      <c r="F8" s="208"/>
      <c r="G8" s="208"/>
      <c r="H8" s="208"/>
      <c r="I8" s="208"/>
      <c r="J8" s="208"/>
      <c r="K8" s="208"/>
      <c r="L8" s="208"/>
      <c r="M8" s="209"/>
    </row>
    <row r="9" spans="1:16" s="3" customFormat="1" ht="15.75" customHeight="1" x14ac:dyDescent="0.35">
      <c r="A9" s="213"/>
      <c r="B9" s="214"/>
      <c r="C9" s="214"/>
      <c r="D9" s="214"/>
      <c r="E9" s="214"/>
      <c r="F9" s="214"/>
      <c r="G9" s="214"/>
      <c r="H9" s="214"/>
      <c r="I9" s="214"/>
      <c r="J9" s="214"/>
      <c r="K9" s="214"/>
      <c r="L9" s="214"/>
      <c r="M9" s="215"/>
    </row>
    <row r="10" spans="1:16" s="3" customFormat="1" ht="13.5" x14ac:dyDescent="0.35"/>
    <row r="11" spans="1:16" s="56" customFormat="1" ht="16.5" customHeight="1" x14ac:dyDescent="0.4">
      <c r="A11" s="321" t="s">
        <v>318</v>
      </c>
      <c r="B11" s="321"/>
      <c r="C11" s="321"/>
      <c r="D11" s="321"/>
      <c r="E11" s="321"/>
      <c r="F11" s="321"/>
      <c r="G11" s="321"/>
      <c r="H11" s="321"/>
      <c r="I11" s="321"/>
      <c r="J11" s="321"/>
      <c r="K11" s="321"/>
      <c r="L11" s="321"/>
      <c r="M11" s="321"/>
    </row>
    <row r="12" spans="1:16" s="56" customFormat="1" ht="16.5" customHeight="1" x14ac:dyDescent="0.4">
      <c r="A12" s="355" t="s">
        <v>214</v>
      </c>
      <c r="B12" s="348" t="s">
        <v>319</v>
      </c>
      <c r="C12" s="291" t="s">
        <v>278</v>
      </c>
      <c r="D12" s="292" t="s">
        <v>186</v>
      </c>
      <c r="E12" s="357"/>
      <c r="F12" s="292" t="s">
        <v>187</v>
      </c>
      <c r="G12" s="357"/>
      <c r="H12" s="292" t="s">
        <v>188</v>
      </c>
      <c r="I12" s="357"/>
      <c r="J12" s="292" t="s">
        <v>189</v>
      </c>
      <c r="K12" s="357"/>
      <c r="L12" s="292" t="s">
        <v>190</v>
      </c>
      <c r="M12" s="357"/>
    </row>
    <row r="13" spans="1:16" s="12" customFormat="1" ht="17.25" customHeight="1" x14ac:dyDescent="0.35">
      <c r="A13" s="355"/>
      <c r="B13" s="356"/>
      <c r="C13" s="291"/>
      <c r="D13" s="46" t="s">
        <v>271</v>
      </c>
      <c r="E13" s="57" t="s">
        <v>320</v>
      </c>
      <c r="F13" s="46" t="s">
        <v>271</v>
      </c>
      <c r="G13" s="57" t="s">
        <v>320</v>
      </c>
      <c r="H13" s="46" t="s">
        <v>271</v>
      </c>
      <c r="I13" s="57" t="s">
        <v>320</v>
      </c>
      <c r="J13" s="46" t="s">
        <v>271</v>
      </c>
      <c r="K13" s="57" t="s">
        <v>320</v>
      </c>
      <c r="L13" s="46" t="s">
        <v>271</v>
      </c>
      <c r="M13" s="57" t="s">
        <v>320</v>
      </c>
      <c r="N13" s="110"/>
      <c r="O13" s="110"/>
      <c r="P13" s="110"/>
    </row>
    <row r="14" spans="1:16" s="12" customFormat="1" ht="23.25" customHeight="1" x14ac:dyDescent="0.35">
      <c r="A14" s="237" t="s">
        <v>224</v>
      </c>
      <c r="B14" s="158" t="s">
        <v>321</v>
      </c>
      <c r="C14" s="158" t="s">
        <v>322</v>
      </c>
      <c r="D14" s="174">
        <v>253.26</v>
      </c>
      <c r="E14" s="174">
        <v>241.61</v>
      </c>
      <c r="F14" s="159"/>
      <c r="G14" s="159"/>
      <c r="H14" s="159"/>
      <c r="I14" s="159"/>
      <c r="J14" s="159"/>
      <c r="K14" s="159"/>
      <c r="L14" s="159"/>
      <c r="M14" s="159"/>
      <c r="N14" s="110"/>
      <c r="O14" s="110"/>
      <c r="P14" s="110"/>
    </row>
    <row r="15" spans="1:16" s="12" customFormat="1" ht="23.25" customHeight="1" x14ac:dyDescent="0.35">
      <c r="A15" s="237"/>
      <c r="B15" s="158" t="s">
        <v>323</v>
      </c>
      <c r="C15" s="158" t="s">
        <v>324</v>
      </c>
      <c r="D15" s="174">
        <v>253.16</v>
      </c>
      <c r="E15" s="174">
        <v>239.92</v>
      </c>
      <c r="F15" s="159"/>
      <c r="G15" s="159"/>
      <c r="H15" s="159"/>
      <c r="I15" s="159"/>
      <c r="J15" s="159"/>
      <c r="K15" s="159"/>
      <c r="L15" s="159"/>
      <c r="M15" s="159"/>
      <c r="N15" s="110"/>
      <c r="O15" s="110"/>
      <c r="P15" s="110"/>
    </row>
    <row r="16" spans="1:16" s="12" customFormat="1" ht="23.25" customHeight="1" x14ac:dyDescent="0.35">
      <c r="A16" s="96" t="s">
        <v>223</v>
      </c>
      <c r="B16" s="153" t="s">
        <v>321</v>
      </c>
      <c r="C16" s="158" t="s">
        <v>325</v>
      </c>
      <c r="D16" s="174">
        <v>5.15</v>
      </c>
      <c r="E16" s="174">
        <v>1.58</v>
      </c>
      <c r="F16" s="159"/>
      <c r="G16" s="159"/>
      <c r="H16" s="159"/>
      <c r="I16" s="159"/>
      <c r="J16" s="159"/>
      <c r="K16" s="159"/>
      <c r="L16" s="159"/>
      <c r="M16" s="159"/>
      <c r="N16" s="110"/>
      <c r="O16" s="110"/>
      <c r="P16" s="110"/>
    </row>
    <row r="17" spans="1:13" s="12" customFormat="1" ht="23.25" customHeight="1" x14ac:dyDescent="0.35">
      <c r="A17" s="96"/>
      <c r="B17" s="158" t="s">
        <v>323</v>
      </c>
      <c r="C17" s="158" t="s">
        <v>326</v>
      </c>
      <c r="D17" s="174">
        <v>4.7300000000000004</v>
      </c>
      <c r="E17" s="174">
        <v>1.46</v>
      </c>
      <c r="F17" s="159"/>
      <c r="G17" s="159"/>
      <c r="H17" s="159"/>
      <c r="I17" s="159"/>
      <c r="J17" s="159"/>
      <c r="K17" s="159"/>
      <c r="L17" s="159"/>
      <c r="M17" s="159"/>
    </row>
    <row r="18" spans="1:13" s="12" customFormat="1" ht="23.25" customHeight="1" x14ac:dyDescent="0.35">
      <c r="A18" s="96" t="s">
        <v>327</v>
      </c>
      <c r="B18" s="158" t="s">
        <v>321</v>
      </c>
      <c r="C18" s="158" t="s">
        <v>328</v>
      </c>
      <c r="D18" s="174">
        <v>0.66</v>
      </c>
      <c r="E18" s="174">
        <v>-0.28000000000000003</v>
      </c>
      <c r="F18" s="159"/>
      <c r="G18" s="159"/>
      <c r="H18" s="159"/>
      <c r="I18" s="159"/>
      <c r="J18" s="159"/>
      <c r="K18" s="159"/>
      <c r="L18" s="159"/>
      <c r="M18" s="159"/>
    </row>
    <row r="19" spans="1:13" s="12" customFormat="1" ht="23.25" customHeight="1" x14ac:dyDescent="0.35">
      <c r="A19" s="96"/>
      <c r="B19" s="158" t="s">
        <v>323</v>
      </c>
      <c r="C19" s="158" t="s">
        <v>329</v>
      </c>
      <c r="D19" s="174">
        <v>0.66</v>
      </c>
      <c r="E19" s="174">
        <v>-0.26</v>
      </c>
      <c r="F19" s="159"/>
      <c r="G19" s="159"/>
      <c r="H19" s="159"/>
      <c r="I19" s="159"/>
      <c r="J19" s="159"/>
      <c r="K19" s="159"/>
      <c r="L19" s="159"/>
      <c r="M19" s="159"/>
    </row>
    <row r="20" spans="1:13" s="12" customFormat="1" ht="23.25" customHeight="1" x14ac:dyDescent="0.35">
      <c r="A20" s="96" t="s">
        <v>330</v>
      </c>
      <c r="B20" s="158" t="s">
        <v>321</v>
      </c>
      <c r="C20" s="158" t="s">
        <v>328</v>
      </c>
      <c r="D20" s="174">
        <v>10.63</v>
      </c>
      <c r="E20" s="174">
        <v>9.6999999999999993</v>
      </c>
      <c r="F20" s="159"/>
      <c r="G20" s="159"/>
      <c r="H20" s="159"/>
      <c r="I20" s="159"/>
      <c r="J20" s="159"/>
      <c r="K20" s="159"/>
      <c r="L20" s="159"/>
      <c r="M20" s="159"/>
    </row>
    <row r="21" spans="1:13" s="12" customFormat="1" ht="23.25" customHeight="1" x14ac:dyDescent="0.35">
      <c r="A21" s="96"/>
      <c r="B21" s="158" t="s">
        <v>323</v>
      </c>
      <c r="C21" s="158" t="s">
        <v>331</v>
      </c>
      <c r="D21" s="174">
        <v>10.53</v>
      </c>
      <c r="E21" s="174">
        <v>9.57</v>
      </c>
      <c r="F21" s="159"/>
      <c r="G21" s="159"/>
      <c r="H21" s="159"/>
      <c r="I21" s="159"/>
      <c r="J21" s="159"/>
      <c r="K21" s="159"/>
      <c r="L21" s="159"/>
      <c r="M21" s="159"/>
    </row>
    <row r="22" spans="1:13" s="12" customFormat="1" ht="23.25" customHeight="1" x14ac:dyDescent="0.35">
      <c r="A22" s="96" t="s">
        <v>225</v>
      </c>
      <c r="B22" s="158" t="s">
        <v>321</v>
      </c>
      <c r="C22" s="158" t="s">
        <v>332</v>
      </c>
      <c r="D22" s="174">
        <v>35.909999999999997</v>
      </c>
      <c r="E22" s="174">
        <v>20.16</v>
      </c>
      <c r="F22" s="159"/>
      <c r="G22" s="159"/>
      <c r="H22" s="159"/>
      <c r="I22" s="159"/>
      <c r="J22" s="159"/>
      <c r="K22" s="159"/>
      <c r="L22" s="159"/>
      <c r="M22" s="159"/>
    </row>
    <row r="23" spans="1:13" s="12" customFormat="1" ht="23.25" customHeight="1" x14ac:dyDescent="0.35">
      <c r="A23" s="96"/>
      <c r="B23" s="158" t="s">
        <v>323</v>
      </c>
      <c r="C23" s="158" t="s">
        <v>322</v>
      </c>
      <c r="D23" s="174">
        <v>35.33</v>
      </c>
      <c r="E23" s="174">
        <v>19.61</v>
      </c>
      <c r="F23" s="159"/>
      <c r="G23" s="159"/>
      <c r="H23" s="159"/>
      <c r="I23" s="159"/>
      <c r="J23" s="159"/>
      <c r="K23" s="159"/>
      <c r="L23" s="159"/>
      <c r="M23" s="159"/>
    </row>
    <row r="24" spans="1:13" s="12" customFormat="1" ht="23.25" customHeight="1" x14ac:dyDescent="0.35">
      <c r="A24" s="96" t="s">
        <v>333</v>
      </c>
      <c r="B24" s="158" t="s">
        <v>321</v>
      </c>
      <c r="C24" s="158" t="s">
        <v>332</v>
      </c>
      <c r="D24" s="174">
        <v>4.97</v>
      </c>
      <c r="E24" s="174">
        <v>1.1100000000000001</v>
      </c>
      <c r="F24" s="159"/>
      <c r="G24" s="159"/>
      <c r="H24" s="159"/>
      <c r="I24" s="159"/>
      <c r="J24" s="159"/>
      <c r="K24" s="159"/>
      <c r="L24" s="159"/>
      <c r="M24" s="159"/>
    </row>
    <row r="25" spans="1:13" s="12" customFormat="1" ht="23.25" customHeight="1" x14ac:dyDescent="0.35">
      <c r="A25" s="96"/>
      <c r="B25" s="159" t="s">
        <v>334</v>
      </c>
      <c r="C25" s="159" t="s">
        <v>335</v>
      </c>
      <c r="D25" s="174">
        <v>4.96</v>
      </c>
      <c r="E25" s="174">
        <v>1.23</v>
      </c>
      <c r="F25" s="159"/>
      <c r="G25" s="159"/>
      <c r="H25" s="159"/>
      <c r="I25" s="159"/>
      <c r="J25" s="159"/>
      <c r="K25" s="159"/>
      <c r="L25" s="159"/>
      <c r="M25" s="159"/>
    </row>
    <row r="26" spans="1:13" s="12" customFormat="1" ht="23.25" customHeight="1" x14ac:dyDescent="0.35">
      <c r="A26" s="96"/>
      <c r="B26" s="159" t="s">
        <v>336</v>
      </c>
      <c r="C26" s="159" t="s">
        <v>335</v>
      </c>
      <c r="D26" s="174"/>
      <c r="E26" s="174"/>
      <c r="F26" s="159"/>
      <c r="G26" s="159"/>
      <c r="H26" s="159"/>
      <c r="I26" s="159"/>
      <c r="J26" s="159"/>
      <c r="K26" s="159"/>
      <c r="L26" s="159"/>
      <c r="M26" s="159"/>
    </row>
    <row r="27" spans="1:13" s="12" customFormat="1" ht="23.25" customHeight="1" x14ac:dyDescent="0.35">
      <c r="A27" s="163" t="s">
        <v>337</v>
      </c>
      <c r="B27" s="164" t="s">
        <v>321</v>
      </c>
      <c r="C27" s="164" t="s">
        <v>338</v>
      </c>
      <c r="D27" s="165">
        <v>0.47</v>
      </c>
      <c r="E27" s="165">
        <v>0.16</v>
      </c>
      <c r="F27" s="165"/>
      <c r="G27" s="165"/>
      <c r="H27" s="165"/>
      <c r="I27" s="165"/>
      <c r="J27" s="165"/>
      <c r="K27" s="165"/>
      <c r="L27" s="165"/>
      <c r="M27" s="165"/>
    </row>
    <row r="28" spans="1:13" x14ac:dyDescent="0.4">
      <c r="A28" s="351" t="s">
        <v>339</v>
      </c>
      <c r="B28" s="352"/>
      <c r="C28" s="352"/>
      <c r="D28" s="352"/>
      <c r="E28" s="352"/>
      <c r="F28" s="352"/>
      <c r="G28" s="352"/>
      <c r="H28" s="352"/>
      <c r="I28" s="352"/>
      <c r="J28" s="352"/>
      <c r="K28" s="352"/>
      <c r="L28" s="352"/>
      <c r="M28" s="353"/>
    </row>
    <row r="29" spans="1:13" x14ac:dyDescent="0.4">
      <c r="A29" s="83" t="s">
        <v>267</v>
      </c>
      <c r="B29" s="84"/>
      <c r="C29" s="84"/>
      <c r="D29" s="84"/>
      <c r="E29" s="84"/>
      <c r="F29" s="84"/>
      <c r="G29" s="84"/>
      <c r="H29" s="84"/>
      <c r="I29" s="84"/>
      <c r="J29" s="84"/>
      <c r="K29" s="84"/>
      <c r="L29" s="84"/>
      <c r="M29" s="85"/>
    </row>
    <row r="30" spans="1:13" x14ac:dyDescent="0.4">
      <c r="A30" s="354"/>
      <c r="B30" s="354"/>
      <c r="C30" s="354"/>
      <c r="D30" s="354"/>
      <c r="E30" s="354"/>
      <c r="F30" s="354"/>
      <c r="G30" s="354"/>
      <c r="H30" s="354"/>
      <c r="I30" s="354"/>
      <c r="J30" s="354"/>
      <c r="K30" s="354"/>
      <c r="L30" s="354"/>
      <c r="M30" s="354"/>
    </row>
    <row r="31" spans="1:13" x14ac:dyDescent="0.4">
      <c r="A31" s="314"/>
      <c r="B31" s="314"/>
      <c r="C31" s="314"/>
      <c r="D31" s="314"/>
      <c r="E31" s="314"/>
      <c r="F31" s="314"/>
      <c r="G31" s="314"/>
      <c r="H31" s="314"/>
      <c r="I31" s="314"/>
      <c r="J31" s="314"/>
      <c r="K31" s="314"/>
      <c r="L31" s="314"/>
      <c r="M31" s="314"/>
    </row>
    <row r="68" spans="6:6" x14ac:dyDescent="0.4">
      <c r="F68" s="3"/>
    </row>
  </sheetData>
  <mergeCells count="14">
    <mergeCell ref="A28:M28"/>
    <mergeCell ref="A30:M31"/>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7" orientation="landscape"/>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showGridLines="0" topLeftCell="C6" zoomScaleNormal="100" workbookViewId="0">
      <selection activeCell="M9" sqref="M9"/>
    </sheetView>
  </sheetViews>
  <sheetFormatPr defaultRowHeight="13.5" x14ac:dyDescent="0.35"/>
  <cols>
    <col min="1" max="1" width="14" style="3" customWidth="1"/>
    <col min="2" max="7" width="17" style="35" customWidth="1"/>
    <col min="8" max="11" width="9.265625" style="3"/>
    <col min="12" max="12" width="15.3984375" style="3" customWidth="1"/>
    <col min="13" max="13" width="17.3984375" style="3" bestFit="1" customWidth="1"/>
    <col min="14" max="14" width="13.73046875" style="3" customWidth="1"/>
    <col min="15" max="15" width="15" style="3" customWidth="1"/>
    <col min="16" max="18" width="9.265625" style="3"/>
    <col min="19" max="19" width="21.73046875" style="3" customWidth="1"/>
    <col min="20" max="256" width="9.265625" style="3"/>
    <col min="257" max="257" width="14" style="3" customWidth="1"/>
    <col min="258" max="263" width="10.265625" style="3" customWidth="1"/>
    <col min="264" max="512" width="9.265625" style="3"/>
    <col min="513" max="513" width="14" style="3" customWidth="1"/>
    <col min="514" max="519" width="10.265625" style="3" customWidth="1"/>
    <col min="520" max="768" width="9.265625" style="3"/>
    <col min="769" max="769" width="14" style="3" customWidth="1"/>
    <col min="770" max="775" width="10.265625" style="3" customWidth="1"/>
    <col min="776" max="1024" width="9.265625" style="3"/>
    <col min="1025" max="1025" width="14" style="3" customWidth="1"/>
    <col min="1026" max="1031" width="10.265625" style="3" customWidth="1"/>
    <col min="1032" max="1280" width="9.265625" style="3"/>
    <col min="1281" max="1281" width="14" style="3" customWidth="1"/>
    <col min="1282" max="1287" width="10.265625" style="3" customWidth="1"/>
    <col min="1288" max="1536" width="9.265625" style="3"/>
    <col min="1537" max="1537" width="14" style="3" customWidth="1"/>
    <col min="1538" max="1543" width="10.265625" style="3" customWidth="1"/>
    <col min="1544" max="1792" width="9.265625" style="3"/>
    <col min="1793" max="1793" width="14" style="3" customWidth="1"/>
    <col min="1794" max="1799" width="10.265625" style="3" customWidth="1"/>
    <col min="1800" max="2048" width="9.265625" style="3"/>
    <col min="2049" max="2049" width="14" style="3" customWidth="1"/>
    <col min="2050" max="2055" width="10.265625" style="3" customWidth="1"/>
    <col min="2056" max="2304" width="9.265625" style="3"/>
    <col min="2305" max="2305" width="14" style="3" customWidth="1"/>
    <col min="2306" max="2311" width="10.265625" style="3" customWidth="1"/>
    <col min="2312" max="2560" width="9.265625" style="3"/>
    <col min="2561" max="2561" width="14" style="3" customWidth="1"/>
    <col min="2562" max="2567" width="10.265625" style="3" customWidth="1"/>
    <col min="2568" max="2816" width="9.265625" style="3"/>
    <col min="2817" max="2817" width="14" style="3" customWidth="1"/>
    <col min="2818" max="2823" width="10.265625" style="3" customWidth="1"/>
    <col min="2824" max="3072" width="9.265625" style="3"/>
    <col min="3073" max="3073" width="14" style="3" customWidth="1"/>
    <col min="3074" max="3079" width="10.265625" style="3" customWidth="1"/>
    <col min="3080" max="3328" width="9.265625" style="3"/>
    <col min="3329" max="3329" width="14" style="3" customWidth="1"/>
    <col min="3330" max="3335" width="10.265625" style="3" customWidth="1"/>
    <col min="3336" max="3584" width="9.265625" style="3"/>
    <col min="3585" max="3585" width="14" style="3" customWidth="1"/>
    <col min="3586" max="3591" width="10.265625" style="3" customWidth="1"/>
    <col min="3592" max="3840" width="9.265625" style="3"/>
    <col min="3841" max="3841" width="14" style="3" customWidth="1"/>
    <col min="3842" max="3847" width="10.265625" style="3" customWidth="1"/>
    <col min="3848" max="4096" width="9.265625" style="3"/>
    <col min="4097" max="4097" width="14" style="3" customWidth="1"/>
    <col min="4098" max="4103" width="10.265625" style="3" customWidth="1"/>
    <col min="4104" max="4352" width="9.265625" style="3"/>
    <col min="4353" max="4353" width="14" style="3" customWidth="1"/>
    <col min="4354" max="4359" width="10.265625" style="3" customWidth="1"/>
    <col min="4360" max="4608" width="9.265625" style="3"/>
    <col min="4609" max="4609" width="14" style="3" customWidth="1"/>
    <col min="4610" max="4615" width="10.265625" style="3" customWidth="1"/>
    <col min="4616" max="4864" width="9.265625" style="3"/>
    <col min="4865" max="4865" width="14" style="3" customWidth="1"/>
    <col min="4866" max="4871" width="10.265625" style="3" customWidth="1"/>
    <col min="4872" max="5120" width="9.265625" style="3"/>
    <col min="5121" max="5121" width="14" style="3" customWidth="1"/>
    <col min="5122" max="5127" width="10.265625" style="3" customWidth="1"/>
    <col min="5128" max="5376" width="9.265625" style="3"/>
    <col min="5377" max="5377" width="14" style="3" customWidth="1"/>
    <col min="5378" max="5383" width="10.265625" style="3" customWidth="1"/>
    <col min="5384" max="5632" width="9.265625" style="3"/>
    <col min="5633" max="5633" width="14" style="3" customWidth="1"/>
    <col min="5634" max="5639" width="10.265625" style="3" customWidth="1"/>
    <col min="5640" max="5888" width="9.265625" style="3"/>
    <col min="5889" max="5889" width="14" style="3" customWidth="1"/>
    <col min="5890" max="5895" width="10.265625" style="3" customWidth="1"/>
    <col min="5896" max="6144" width="9.265625" style="3"/>
    <col min="6145" max="6145" width="14" style="3" customWidth="1"/>
    <col min="6146" max="6151" width="10.265625" style="3" customWidth="1"/>
    <col min="6152" max="6400" width="9.265625" style="3"/>
    <col min="6401" max="6401" width="14" style="3" customWidth="1"/>
    <col min="6402" max="6407" width="10.265625" style="3" customWidth="1"/>
    <col min="6408" max="6656" width="9.265625" style="3"/>
    <col min="6657" max="6657" width="14" style="3" customWidth="1"/>
    <col min="6658" max="6663" width="10.265625" style="3" customWidth="1"/>
    <col min="6664" max="6912" width="9.265625" style="3"/>
    <col min="6913" max="6913" width="14" style="3" customWidth="1"/>
    <col min="6914" max="6919" width="10.265625" style="3" customWidth="1"/>
    <col min="6920" max="7168" width="9.265625" style="3"/>
    <col min="7169" max="7169" width="14" style="3" customWidth="1"/>
    <col min="7170" max="7175" width="10.265625" style="3" customWidth="1"/>
    <col min="7176" max="7424" width="9.265625" style="3"/>
    <col min="7425" max="7425" width="14" style="3" customWidth="1"/>
    <col min="7426" max="7431" width="10.265625" style="3" customWidth="1"/>
    <col min="7432" max="7680" width="9.265625" style="3"/>
    <col min="7681" max="7681" width="14" style="3" customWidth="1"/>
    <col min="7682" max="7687" width="10.265625" style="3" customWidth="1"/>
    <col min="7688" max="7936" width="9.265625" style="3"/>
    <col min="7937" max="7937" width="14" style="3" customWidth="1"/>
    <col min="7938" max="7943" width="10.265625" style="3" customWidth="1"/>
    <col min="7944" max="8192" width="9.265625" style="3"/>
    <col min="8193" max="8193" width="14" style="3" customWidth="1"/>
    <col min="8194" max="8199" width="10.265625" style="3" customWidth="1"/>
    <col min="8200" max="8448" width="9.265625" style="3"/>
    <col min="8449" max="8449" width="14" style="3" customWidth="1"/>
    <col min="8450" max="8455" width="10.265625" style="3" customWidth="1"/>
    <col min="8456" max="8704" width="9.265625" style="3"/>
    <col min="8705" max="8705" width="14" style="3" customWidth="1"/>
    <col min="8706" max="8711" width="10.265625" style="3" customWidth="1"/>
    <col min="8712" max="8960" width="9.265625" style="3"/>
    <col min="8961" max="8961" width="14" style="3" customWidth="1"/>
    <col min="8962" max="8967" width="10.265625" style="3" customWidth="1"/>
    <col min="8968" max="9216" width="9.265625" style="3"/>
    <col min="9217" max="9217" width="14" style="3" customWidth="1"/>
    <col min="9218" max="9223" width="10.265625" style="3" customWidth="1"/>
    <col min="9224" max="9472" width="9.265625" style="3"/>
    <col min="9473" max="9473" width="14" style="3" customWidth="1"/>
    <col min="9474" max="9479" width="10.265625" style="3" customWidth="1"/>
    <col min="9480" max="9728" width="9.265625" style="3"/>
    <col min="9729" max="9729" width="14" style="3" customWidth="1"/>
    <col min="9730" max="9735" width="10.265625" style="3" customWidth="1"/>
    <col min="9736" max="9984" width="9.265625" style="3"/>
    <col min="9985" max="9985" width="14" style="3" customWidth="1"/>
    <col min="9986" max="9991" width="10.265625" style="3" customWidth="1"/>
    <col min="9992" max="10240" width="9.265625" style="3"/>
    <col min="10241" max="10241" width="14" style="3" customWidth="1"/>
    <col min="10242" max="10247" width="10.265625" style="3" customWidth="1"/>
    <col min="10248" max="10496" width="9.265625" style="3"/>
    <col min="10497" max="10497" width="14" style="3" customWidth="1"/>
    <col min="10498" max="10503" width="10.265625" style="3" customWidth="1"/>
    <col min="10504" max="10752" width="9.265625" style="3"/>
    <col min="10753" max="10753" width="14" style="3" customWidth="1"/>
    <col min="10754" max="10759" width="10.265625" style="3" customWidth="1"/>
    <col min="10760" max="11008" width="9.265625" style="3"/>
    <col min="11009" max="11009" width="14" style="3" customWidth="1"/>
    <col min="11010" max="11015" width="10.265625" style="3" customWidth="1"/>
    <col min="11016" max="11264" width="9.265625" style="3"/>
    <col min="11265" max="11265" width="14" style="3" customWidth="1"/>
    <col min="11266" max="11271" width="10.265625" style="3" customWidth="1"/>
    <col min="11272" max="11520" width="9.265625" style="3"/>
    <col min="11521" max="11521" width="14" style="3" customWidth="1"/>
    <col min="11522" max="11527" width="10.265625" style="3" customWidth="1"/>
    <col min="11528" max="11776" width="9.265625" style="3"/>
    <col min="11777" max="11777" width="14" style="3" customWidth="1"/>
    <col min="11778" max="11783" width="10.265625" style="3" customWidth="1"/>
    <col min="11784" max="12032" width="9.265625" style="3"/>
    <col min="12033" max="12033" width="14" style="3" customWidth="1"/>
    <col min="12034" max="12039" width="10.265625" style="3" customWidth="1"/>
    <col min="12040" max="12288" width="9.265625" style="3"/>
    <col min="12289" max="12289" width="14" style="3" customWidth="1"/>
    <col min="12290" max="12295" width="10.265625" style="3" customWidth="1"/>
    <col min="12296" max="12544" width="9.265625" style="3"/>
    <col min="12545" max="12545" width="14" style="3" customWidth="1"/>
    <col min="12546" max="12551" width="10.265625" style="3" customWidth="1"/>
    <col min="12552" max="12800" width="9.265625" style="3"/>
    <col min="12801" max="12801" width="14" style="3" customWidth="1"/>
    <col min="12802" max="12807" width="10.265625" style="3" customWidth="1"/>
    <col min="12808" max="13056" width="9.265625" style="3"/>
    <col min="13057" max="13057" width="14" style="3" customWidth="1"/>
    <col min="13058" max="13063" width="10.265625" style="3" customWidth="1"/>
    <col min="13064" max="13312" width="9.265625" style="3"/>
    <col min="13313" max="13313" width="14" style="3" customWidth="1"/>
    <col min="13314" max="13319" width="10.265625" style="3" customWidth="1"/>
    <col min="13320" max="13568" width="9.265625" style="3"/>
    <col min="13569" max="13569" width="14" style="3" customWidth="1"/>
    <col min="13570" max="13575" width="10.265625" style="3" customWidth="1"/>
    <col min="13576" max="13824" width="9.265625" style="3"/>
    <col min="13825" max="13825" width="14" style="3" customWidth="1"/>
    <col min="13826" max="13831" width="10.265625" style="3" customWidth="1"/>
    <col min="13832" max="14080" width="9.265625" style="3"/>
    <col min="14081" max="14081" width="14" style="3" customWidth="1"/>
    <col min="14082" max="14087" width="10.265625" style="3" customWidth="1"/>
    <col min="14088" max="14336" width="9.265625" style="3"/>
    <col min="14337" max="14337" width="14" style="3" customWidth="1"/>
    <col min="14338" max="14343" width="10.265625" style="3" customWidth="1"/>
    <col min="14344" max="14592" width="9.265625" style="3"/>
    <col min="14593" max="14593" width="14" style="3" customWidth="1"/>
    <col min="14594" max="14599" width="10.265625" style="3" customWidth="1"/>
    <col min="14600" max="14848" width="9.265625" style="3"/>
    <col min="14849" max="14849" width="14" style="3" customWidth="1"/>
    <col min="14850" max="14855" width="10.265625" style="3" customWidth="1"/>
    <col min="14856" max="15104" width="9.265625" style="3"/>
    <col min="15105" max="15105" width="14" style="3" customWidth="1"/>
    <col min="15106" max="15111" width="10.265625" style="3" customWidth="1"/>
    <col min="15112" max="15360" width="9.265625" style="3"/>
    <col min="15361" max="15361" width="14" style="3" customWidth="1"/>
    <col min="15362" max="15367" width="10.265625" style="3" customWidth="1"/>
    <col min="15368" max="15616" width="9.265625" style="3"/>
    <col min="15617" max="15617" width="14" style="3" customWidth="1"/>
    <col min="15618" max="15623" width="10.265625" style="3" customWidth="1"/>
    <col min="15624" max="15872" width="9.265625" style="3"/>
    <col min="15873" max="15873" width="14" style="3" customWidth="1"/>
    <col min="15874" max="15879" width="10.265625" style="3" customWidth="1"/>
    <col min="15880" max="16128" width="9.265625" style="3"/>
    <col min="16129" max="16129" width="14" style="3" customWidth="1"/>
    <col min="16130" max="16135" width="10.265625" style="3" customWidth="1"/>
    <col min="16136" max="16384" width="9.265625" style="3"/>
  </cols>
  <sheetData>
    <row r="1" spans="1:19" ht="15" x14ac:dyDescent="0.4">
      <c r="A1" s="93" t="str">
        <f>+'Cover Page'!$B$29</f>
        <v>Annual Performance Report 2022</v>
      </c>
      <c r="B1" s="93"/>
      <c r="C1" s="93"/>
      <c r="D1" s="93"/>
      <c r="E1" s="93" t="str">
        <f>+'Cover Page'!$B$33</f>
        <v>EQUANS FM Ltd</v>
      </c>
      <c r="F1" s="93"/>
      <c r="G1" s="93"/>
    </row>
    <row r="3" spans="1:19" ht="13.9" x14ac:dyDescent="0.4">
      <c r="A3" s="60" t="s">
        <v>340</v>
      </c>
      <c r="D3" s="76" t="s">
        <v>341</v>
      </c>
      <c r="G3" s="80" t="s">
        <v>342</v>
      </c>
      <c r="J3" s="9" t="str">
        <f>+A3</f>
        <v>Monitoring of Hydrogen Chloride emissions</v>
      </c>
      <c r="L3" s="9"/>
      <c r="N3" s="9" t="s">
        <v>343</v>
      </c>
      <c r="Q3" s="79" t="s">
        <v>3</v>
      </c>
      <c r="R3" s="74"/>
      <c r="S3" s="74"/>
    </row>
    <row r="4" spans="1:19" ht="14.1" customHeight="1" x14ac:dyDescent="0.35">
      <c r="Q4" s="350" t="s">
        <v>344</v>
      </c>
      <c r="R4" s="350"/>
      <c r="S4" s="350"/>
    </row>
    <row r="5" spans="1:19" ht="15.75" x14ac:dyDescent="0.4">
      <c r="A5" s="68" t="s">
        <v>345</v>
      </c>
      <c r="B5" s="361" t="s">
        <v>346</v>
      </c>
      <c r="C5" s="361"/>
      <c r="D5" s="361"/>
      <c r="E5" s="361" t="s">
        <v>347</v>
      </c>
      <c r="F5" s="361"/>
      <c r="G5" s="361"/>
      <c r="J5" s="360"/>
      <c r="K5" s="360"/>
      <c r="L5" s="360"/>
      <c r="M5" s="360"/>
      <c r="N5" s="360"/>
      <c r="O5" s="360"/>
      <c r="Q5" s="350"/>
      <c r="R5" s="350"/>
      <c r="S5" s="350"/>
    </row>
    <row r="6" spans="1:19" s="58" customFormat="1" ht="37.5" customHeight="1" x14ac:dyDescent="0.45">
      <c r="A6" s="65">
        <f>+'Cover Page'!C39</f>
        <v>2022</v>
      </c>
      <c r="B6" s="55" t="s">
        <v>348</v>
      </c>
      <c r="C6" s="55" t="s">
        <v>349</v>
      </c>
      <c r="D6" s="55" t="s">
        <v>350</v>
      </c>
      <c r="E6" s="55" t="s">
        <v>351</v>
      </c>
      <c r="F6" s="55" t="s">
        <v>352</v>
      </c>
      <c r="G6" s="55" t="s">
        <v>353</v>
      </c>
      <c r="H6" s="59"/>
      <c r="J6" s="61">
        <f>+A6</f>
        <v>2022</v>
      </c>
      <c r="K6" s="61" t="s">
        <v>354</v>
      </c>
      <c r="L6" s="67" t="s">
        <v>349</v>
      </c>
      <c r="M6" s="67" t="s">
        <v>355</v>
      </c>
      <c r="N6" s="67" t="s">
        <v>352</v>
      </c>
      <c r="O6" s="67" t="s">
        <v>356</v>
      </c>
      <c r="Q6" s="350"/>
      <c r="R6" s="350"/>
      <c r="S6" s="350"/>
    </row>
    <row r="7" spans="1:19" ht="14.1" customHeight="1" x14ac:dyDescent="0.35">
      <c r="A7" s="66" t="s">
        <v>357</v>
      </c>
      <c r="B7" s="63">
        <v>90</v>
      </c>
      <c r="C7" s="177">
        <v>9.3460000000000001</v>
      </c>
      <c r="D7" s="64">
        <v>27</v>
      </c>
      <c r="E7" s="63">
        <v>15</v>
      </c>
      <c r="F7" s="177">
        <v>9.3460000000000001</v>
      </c>
      <c r="G7" s="64">
        <v>15</v>
      </c>
      <c r="J7" s="359" t="s">
        <v>186</v>
      </c>
      <c r="K7" s="66" t="s">
        <v>357</v>
      </c>
      <c r="L7" s="177">
        <v>9.3460000000000001</v>
      </c>
      <c r="M7" s="64">
        <v>27</v>
      </c>
      <c r="N7" s="177">
        <v>9.3460000000000001</v>
      </c>
      <c r="O7" s="64">
        <v>15</v>
      </c>
      <c r="Q7" s="350"/>
      <c r="R7" s="350"/>
      <c r="S7" s="350"/>
    </row>
    <row r="8" spans="1:19" x14ac:dyDescent="0.35">
      <c r="A8" s="66" t="s">
        <v>358</v>
      </c>
      <c r="B8" s="63">
        <v>90</v>
      </c>
      <c r="C8" s="177">
        <v>9.1069999999999993</v>
      </c>
      <c r="D8" s="64">
        <v>19</v>
      </c>
      <c r="E8" s="63">
        <v>15</v>
      </c>
      <c r="F8" s="177">
        <v>9.1069999999999993</v>
      </c>
      <c r="G8" s="64">
        <v>12</v>
      </c>
      <c r="J8" s="359"/>
      <c r="K8" s="66" t="s">
        <v>358</v>
      </c>
      <c r="L8" s="177">
        <v>9.1069999999999993</v>
      </c>
      <c r="M8" s="64">
        <v>19</v>
      </c>
      <c r="N8" s="177">
        <v>9.1069999999999993</v>
      </c>
      <c r="O8" s="64">
        <v>12</v>
      </c>
      <c r="Q8" s="350"/>
      <c r="R8" s="350"/>
      <c r="S8" s="350"/>
    </row>
    <row r="9" spans="1:19" ht="13.9" x14ac:dyDescent="0.4">
      <c r="A9" s="66" t="s">
        <v>359</v>
      </c>
      <c r="B9" s="63">
        <v>90</v>
      </c>
      <c r="C9" s="177">
        <v>9</v>
      </c>
      <c r="D9" s="64">
        <v>52</v>
      </c>
      <c r="E9" s="63">
        <v>15</v>
      </c>
      <c r="F9" s="177">
        <v>9</v>
      </c>
      <c r="G9" s="64">
        <v>14</v>
      </c>
      <c r="J9" s="359"/>
      <c r="K9" s="66" t="s">
        <v>359</v>
      </c>
      <c r="L9" s="177">
        <v>9</v>
      </c>
      <c r="M9" s="64">
        <v>52</v>
      </c>
      <c r="N9" s="177">
        <v>9</v>
      </c>
      <c r="O9" s="64">
        <v>14</v>
      </c>
      <c r="Q9" s="78" t="s">
        <v>360</v>
      </c>
    </row>
    <row r="10" spans="1:19" ht="14.1" customHeight="1" x14ac:dyDescent="0.35">
      <c r="A10" s="66" t="s">
        <v>361</v>
      </c>
      <c r="B10" s="63">
        <v>90</v>
      </c>
      <c r="C10" s="177">
        <v>9.9260000000000002</v>
      </c>
      <c r="D10" s="64">
        <v>19</v>
      </c>
      <c r="E10" s="63">
        <v>15</v>
      </c>
      <c r="F10" s="177">
        <v>9.9260000000000002</v>
      </c>
      <c r="G10" s="64">
        <v>12</v>
      </c>
      <c r="J10" s="359"/>
      <c r="K10" s="66" t="s">
        <v>361</v>
      </c>
      <c r="L10" s="177">
        <v>9.9260000000000002</v>
      </c>
      <c r="M10" s="64">
        <v>19</v>
      </c>
      <c r="N10" s="177">
        <v>9.9260000000000002</v>
      </c>
      <c r="O10" s="64">
        <v>12</v>
      </c>
      <c r="Q10" s="358" t="s">
        <v>362</v>
      </c>
      <c r="R10" s="358"/>
      <c r="S10" s="358"/>
    </row>
    <row r="11" spans="1:19" x14ac:dyDescent="0.35">
      <c r="A11" s="66" t="s">
        <v>363</v>
      </c>
      <c r="B11" s="63">
        <v>90</v>
      </c>
      <c r="C11" s="177">
        <v>10.426</v>
      </c>
      <c r="D11" s="64">
        <v>23</v>
      </c>
      <c r="E11" s="63">
        <v>15</v>
      </c>
      <c r="F11" s="177">
        <v>10.426</v>
      </c>
      <c r="G11" s="64">
        <v>13</v>
      </c>
      <c r="J11" s="359"/>
      <c r="K11" s="66" t="s">
        <v>363</v>
      </c>
      <c r="L11" s="177">
        <v>10.426</v>
      </c>
      <c r="M11" s="64">
        <v>23</v>
      </c>
      <c r="N11" s="177">
        <v>10.426</v>
      </c>
      <c r="O11" s="64">
        <v>13</v>
      </c>
      <c r="Q11" s="358"/>
      <c r="R11" s="358"/>
      <c r="S11" s="358"/>
    </row>
    <row r="12" spans="1:19" x14ac:dyDescent="0.35">
      <c r="A12" s="66" t="s">
        <v>364</v>
      </c>
      <c r="B12" s="63">
        <v>90</v>
      </c>
      <c r="C12" s="177">
        <v>6.1429999999999998</v>
      </c>
      <c r="D12" s="64">
        <v>22</v>
      </c>
      <c r="E12" s="63">
        <v>15</v>
      </c>
      <c r="F12" s="177">
        <v>6.1429999999999998</v>
      </c>
      <c r="G12" s="64">
        <v>12</v>
      </c>
      <c r="J12" s="359"/>
      <c r="K12" s="66" t="s">
        <v>364</v>
      </c>
      <c r="L12" s="177">
        <v>6.1429999999999998</v>
      </c>
      <c r="M12" s="64">
        <v>22</v>
      </c>
      <c r="N12" s="177">
        <v>6.1429999999999998</v>
      </c>
      <c r="O12" s="64">
        <v>12</v>
      </c>
      <c r="Q12" s="358"/>
      <c r="R12" s="358"/>
      <c r="S12" s="358"/>
    </row>
    <row r="13" spans="1:19" ht="14.1" customHeight="1" x14ac:dyDescent="0.35">
      <c r="A13" s="66" t="s">
        <v>365</v>
      </c>
      <c r="B13" s="63">
        <v>90</v>
      </c>
      <c r="C13" s="177">
        <v>0</v>
      </c>
      <c r="D13" s="64">
        <v>0</v>
      </c>
      <c r="E13" s="63">
        <v>15</v>
      </c>
      <c r="F13" s="177">
        <v>0</v>
      </c>
      <c r="G13" s="64">
        <v>0</v>
      </c>
      <c r="J13" s="359"/>
      <c r="K13" s="66" t="s">
        <v>365</v>
      </c>
      <c r="L13" s="177">
        <v>0</v>
      </c>
      <c r="M13" s="64">
        <v>0</v>
      </c>
      <c r="N13" s="177">
        <v>0</v>
      </c>
      <c r="O13" s="64">
        <v>0</v>
      </c>
      <c r="Q13" s="358" t="s">
        <v>366</v>
      </c>
      <c r="R13" s="358"/>
      <c r="S13" s="358"/>
    </row>
    <row r="14" spans="1:19" x14ac:dyDescent="0.35">
      <c r="A14" s="66" t="s">
        <v>367</v>
      </c>
      <c r="B14" s="63">
        <v>90</v>
      </c>
      <c r="C14" s="177">
        <v>10.042</v>
      </c>
      <c r="D14" s="64">
        <v>20</v>
      </c>
      <c r="E14" s="63">
        <v>15</v>
      </c>
      <c r="F14" s="177">
        <v>10.042</v>
      </c>
      <c r="G14" s="64">
        <v>13</v>
      </c>
      <c r="J14" s="359"/>
      <c r="K14" s="66" t="s">
        <v>367</v>
      </c>
      <c r="L14" s="177">
        <v>10.042</v>
      </c>
      <c r="M14" s="64">
        <v>20</v>
      </c>
      <c r="N14" s="177">
        <v>10.042</v>
      </c>
      <c r="O14" s="64">
        <v>13</v>
      </c>
      <c r="Q14" s="358"/>
      <c r="R14" s="358"/>
      <c r="S14" s="358"/>
    </row>
    <row r="15" spans="1:19" x14ac:dyDescent="0.35">
      <c r="A15" s="66" t="s">
        <v>368</v>
      </c>
      <c r="B15" s="63">
        <v>90</v>
      </c>
      <c r="C15" s="177">
        <v>10.467000000000001</v>
      </c>
      <c r="D15" s="64">
        <v>26</v>
      </c>
      <c r="E15" s="63">
        <v>15</v>
      </c>
      <c r="F15" s="177">
        <v>10.467000000000001</v>
      </c>
      <c r="G15" s="64">
        <v>14</v>
      </c>
      <c r="J15" s="359"/>
      <c r="K15" s="66" t="s">
        <v>368</v>
      </c>
      <c r="L15" s="177">
        <v>10.467000000000001</v>
      </c>
      <c r="M15" s="64">
        <v>26</v>
      </c>
      <c r="N15" s="177">
        <v>10.467000000000001</v>
      </c>
      <c r="O15" s="64">
        <v>14</v>
      </c>
      <c r="Q15" s="358"/>
      <c r="R15" s="358"/>
      <c r="S15" s="358"/>
    </row>
    <row r="16" spans="1:19" x14ac:dyDescent="0.35">
      <c r="A16" s="66" t="s">
        <v>369</v>
      </c>
      <c r="B16" s="63">
        <v>90</v>
      </c>
      <c r="C16" s="177">
        <v>10.516</v>
      </c>
      <c r="D16" s="64">
        <v>27</v>
      </c>
      <c r="E16" s="63">
        <v>15</v>
      </c>
      <c r="F16" s="177">
        <v>10.516</v>
      </c>
      <c r="G16" s="64">
        <v>14</v>
      </c>
      <c r="J16" s="359"/>
      <c r="K16" s="66" t="s">
        <v>369</v>
      </c>
      <c r="L16" s="177">
        <v>10.516</v>
      </c>
      <c r="M16" s="64">
        <v>27</v>
      </c>
      <c r="N16" s="177">
        <v>10.516</v>
      </c>
      <c r="O16" s="64">
        <v>14</v>
      </c>
      <c r="Q16" s="358"/>
      <c r="R16" s="358"/>
      <c r="S16" s="358"/>
    </row>
    <row r="17" spans="1:15" x14ac:dyDescent="0.35">
      <c r="A17" s="66" t="s">
        <v>370</v>
      </c>
      <c r="B17" s="63">
        <v>90</v>
      </c>
      <c r="C17" s="177">
        <v>9.7200000000000006</v>
      </c>
      <c r="D17" s="64">
        <v>34</v>
      </c>
      <c r="E17" s="63">
        <v>15</v>
      </c>
      <c r="F17" s="177">
        <v>9.7200000000000006</v>
      </c>
      <c r="G17" s="64">
        <v>15</v>
      </c>
      <c r="J17" s="359"/>
      <c r="K17" s="66" t="s">
        <v>370</v>
      </c>
      <c r="L17" s="177">
        <v>9.7200000000000006</v>
      </c>
      <c r="M17" s="64">
        <v>34</v>
      </c>
      <c r="N17" s="177">
        <v>9.7200000000000006</v>
      </c>
      <c r="O17" s="64">
        <v>15</v>
      </c>
    </row>
    <row r="18" spans="1:15" x14ac:dyDescent="0.35">
      <c r="A18" s="66" t="s">
        <v>371</v>
      </c>
      <c r="B18" s="63">
        <v>90</v>
      </c>
      <c r="C18" s="177">
        <v>9.032</v>
      </c>
      <c r="D18" s="64">
        <v>28</v>
      </c>
      <c r="E18" s="63">
        <v>15</v>
      </c>
      <c r="F18" s="177">
        <v>9.032</v>
      </c>
      <c r="G18" s="64">
        <v>13</v>
      </c>
      <c r="J18" s="359"/>
      <c r="K18" s="66" t="s">
        <v>371</v>
      </c>
      <c r="L18" s="177">
        <v>9.032</v>
      </c>
      <c r="M18" s="64">
        <v>28</v>
      </c>
      <c r="N18" s="177">
        <v>9.032</v>
      </c>
      <c r="O18" s="64">
        <v>13</v>
      </c>
    </row>
    <row r="19" spans="1:15" x14ac:dyDescent="0.35">
      <c r="J19" s="359"/>
      <c r="K19" s="62" t="s">
        <v>372</v>
      </c>
      <c r="L19" s="178">
        <f>AVERAGE(L7:L18)</f>
        <v>8.6437500000000007</v>
      </c>
      <c r="M19" s="62">
        <f>MAX(M7:M18)</f>
        <v>52</v>
      </c>
      <c r="N19" s="178">
        <f>AVERAGE(N7:N18)</f>
        <v>8.6437500000000007</v>
      </c>
      <c r="O19" s="62">
        <f>MAX(O7:O18)</f>
        <v>15</v>
      </c>
    </row>
    <row r="21" spans="1:15" ht="27.75" x14ac:dyDescent="0.35">
      <c r="J21" s="61">
        <f>+A6</f>
        <v>2022</v>
      </c>
      <c r="K21" s="61" t="s">
        <v>354</v>
      </c>
      <c r="L21" s="67" t="s">
        <v>349</v>
      </c>
      <c r="M21" s="67" t="s">
        <v>355</v>
      </c>
      <c r="N21" s="67" t="s">
        <v>352</v>
      </c>
      <c r="O21" s="67" t="s">
        <v>356</v>
      </c>
    </row>
    <row r="22" spans="1:15" x14ac:dyDescent="0.35">
      <c r="J22" s="359" t="s">
        <v>187</v>
      </c>
      <c r="K22" s="66" t="s">
        <v>357</v>
      </c>
      <c r="L22" s="64"/>
      <c r="M22" s="64"/>
      <c r="N22" s="64"/>
      <c r="O22" s="64"/>
    </row>
    <row r="23" spans="1:15" x14ac:dyDescent="0.35">
      <c r="J23" s="359"/>
      <c r="K23" s="66" t="s">
        <v>358</v>
      </c>
      <c r="L23" s="64"/>
      <c r="M23" s="64"/>
      <c r="N23" s="64"/>
      <c r="O23" s="64"/>
    </row>
    <row r="24" spans="1:15" x14ac:dyDescent="0.35">
      <c r="J24" s="359"/>
      <c r="K24" s="66" t="s">
        <v>359</v>
      </c>
      <c r="L24" s="64"/>
      <c r="M24" s="64"/>
      <c r="N24" s="64"/>
      <c r="O24" s="64"/>
    </row>
    <row r="25" spans="1:15" x14ac:dyDescent="0.35">
      <c r="J25" s="359"/>
      <c r="K25" s="66" t="s">
        <v>361</v>
      </c>
      <c r="L25" s="64"/>
      <c r="M25" s="64"/>
      <c r="N25" s="64"/>
      <c r="O25" s="64"/>
    </row>
    <row r="26" spans="1:15" x14ac:dyDescent="0.35">
      <c r="J26" s="359"/>
      <c r="K26" s="66" t="s">
        <v>363</v>
      </c>
      <c r="L26" s="64"/>
      <c r="M26" s="64"/>
      <c r="N26" s="64"/>
      <c r="O26" s="64"/>
    </row>
    <row r="27" spans="1:15" x14ac:dyDescent="0.35">
      <c r="J27" s="359"/>
      <c r="K27" s="66" t="s">
        <v>364</v>
      </c>
      <c r="L27" s="64"/>
      <c r="M27" s="64"/>
      <c r="N27" s="64"/>
      <c r="O27" s="64"/>
    </row>
    <row r="28" spans="1:15" x14ac:dyDescent="0.35">
      <c r="J28" s="359"/>
      <c r="K28" s="66" t="s">
        <v>365</v>
      </c>
      <c r="L28" s="64"/>
      <c r="M28" s="64"/>
      <c r="N28" s="64"/>
      <c r="O28" s="64"/>
    </row>
    <row r="29" spans="1:15" x14ac:dyDescent="0.35">
      <c r="J29" s="359"/>
      <c r="K29" s="66" t="s">
        <v>367</v>
      </c>
      <c r="L29" s="64"/>
      <c r="M29" s="64"/>
      <c r="N29" s="64"/>
      <c r="O29" s="64"/>
    </row>
    <row r="30" spans="1:15" x14ac:dyDescent="0.35">
      <c r="J30" s="359"/>
      <c r="K30" s="66" t="s">
        <v>368</v>
      </c>
      <c r="L30" s="64"/>
      <c r="M30" s="64"/>
      <c r="N30" s="64"/>
      <c r="O30" s="64"/>
    </row>
    <row r="31" spans="1:15" x14ac:dyDescent="0.35">
      <c r="J31" s="359"/>
      <c r="K31" s="66" t="s">
        <v>369</v>
      </c>
      <c r="L31" s="64"/>
      <c r="M31" s="64"/>
      <c r="N31" s="64"/>
      <c r="O31" s="64"/>
    </row>
    <row r="32" spans="1:15" x14ac:dyDescent="0.35">
      <c r="J32" s="359"/>
      <c r="K32" s="66" t="s">
        <v>370</v>
      </c>
      <c r="L32" s="64"/>
      <c r="M32" s="64"/>
      <c r="N32" s="64"/>
      <c r="O32" s="64"/>
    </row>
    <row r="33" spans="1:15" x14ac:dyDescent="0.35">
      <c r="J33" s="359"/>
      <c r="K33" s="66" t="s">
        <v>371</v>
      </c>
      <c r="L33" s="64"/>
      <c r="M33" s="64"/>
      <c r="N33" s="64"/>
      <c r="O33" s="64"/>
    </row>
    <row r="34" spans="1:15" x14ac:dyDescent="0.35">
      <c r="J34" s="359"/>
      <c r="K34" s="62" t="s">
        <v>372</v>
      </c>
      <c r="L34" s="62" t="e">
        <f>AVERAGE(L22:L33)</f>
        <v>#DIV/0!</v>
      </c>
      <c r="M34" s="62">
        <f>MAX(M22:M33)</f>
        <v>0</v>
      </c>
      <c r="N34" s="62" t="e">
        <f>AVERAGE(N22:N33)</f>
        <v>#DIV/0!</v>
      </c>
      <c r="O34" s="62">
        <f>MAX(O22:O33)</f>
        <v>0</v>
      </c>
    </row>
    <row r="36" spans="1:15" ht="27.75" x14ac:dyDescent="0.35">
      <c r="J36" s="61">
        <f>+A6</f>
        <v>2022</v>
      </c>
      <c r="K36" s="61" t="s">
        <v>354</v>
      </c>
      <c r="L36" s="67" t="s">
        <v>349</v>
      </c>
      <c r="M36" s="67" t="s">
        <v>355</v>
      </c>
      <c r="N36" s="67" t="s">
        <v>352</v>
      </c>
      <c r="O36" s="67" t="s">
        <v>356</v>
      </c>
    </row>
    <row r="37" spans="1:15" x14ac:dyDescent="0.35">
      <c r="J37" s="359" t="s">
        <v>188</v>
      </c>
      <c r="K37" s="66" t="s">
        <v>357</v>
      </c>
      <c r="L37" s="64"/>
      <c r="M37" s="64"/>
      <c r="N37" s="64"/>
      <c r="O37" s="64"/>
    </row>
    <row r="38" spans="1:15" x14ac:dyDescent="0.35">
      <c r="J38" s="359"/>
      <c r="K38" s="66" t="s">
        <v>358</v>
      </c>
      <c r="L38" s="64"/>
      <c r="M38" s="64"/>
      <c r="N38" s="64"/>
      <c r="O38" s="64"/>
    </row>
    <row r="39" spans="1:15" x14ac:dyDescent="0.35">
      <c r="J39" s="359"/>
      <c r="K39" s="66" t="s">
        <v>359</v>
      </c>
      <c r="L39" s="64"/>
      <c r="M39" s="64"/>
      <c r="N39" s="64"/>
      <c r="O39" s="64"/>
    </row>
    <row r="40" spans="1:15" x14ac:dyDescent="0.35">
      <c r="J40" s="359"/>
      <c r="K40" s="66" t="s">
        <v>361</v>
      </c>
      <c r="L40" s="64"/>
      <c r="M40" s="64"/>
      <c r="N40" s="64"/>
      <c r="O40" s="64"/>
    </row>
    <row r="41" spans="1:15" x14ac:dyDescent="0.35">
      <c r="J41" s="359"/>
      <c r="K41" s="66" t="s">
        <v>363</v>
      </c>
      <c r="L41" s="64"/>
      <c r="M41" s="64"/>
      <c r="N41" s="64"/>
      <c r="O41" s="64"/>
    </row>
    <row r="42" spans="1:15" x14ac:dyDescent="0.35">
      <c r="J42" s="359"/>
      <c r="K42" s="66" t="s">
        <v>364</v>
      </c>
      <c r="L42" s="64"/>
      <c r="M42" s="64"/>
      <c r="N42" s="64"/>
      <c r="O42" s="64"/>
    </row>
    <row r="43" spans="1:15" x14ac:dyDescent="0.35">
      <c r="J43" s="359"/>
      <c r="K43" s="66" t="s">
        <v>365</v>
      </c>
      <c r="L43" s="64"/>
      <c r="M43" s="64"/>
      <c r="N43" s="64"/>
      <c r="O43" s="64"/>
    </row>
    <row r="44" spans="1:15" x14ac:dyDescent="0.35">
      <c r="J44" s="359"/>
      <c r="K44" s="66" t="s">
        <v>367</v>
      </c>
      <c r="L44" s="64"/>
      <c r="M44" s="64"/>
      <c r="N44" s="64"/>
      <c r="O44" s="64"/>
    </row>
    <row r="45" spans="1:15" x14ac:dyDescent="0.35">
      <c r="J45" s="359"/>
      <c r="K45" s="66" t="s">
        <v>368</v>
      </c>
      <c r="L45" s="64"/>
      <c r="M45" s="64"/>
      <c r="N45" s="64"/>
      <c r="O45" s="64"/>
    </row>
    <row r="46" spans="1:15" x14ac:dyDescent="0.35">
      <c r="J46" s="359"/>
      <c r="K46" s="66" t="s">
        <v>369</v>
      </c>
      <c r="L46" s="64"/>
      <c r="M46" s="64"/>
      <c r="N46" s="64"/>
      <c r="O46" s="64"/>
    </row>
    <row r="47" spans="1:15" x14ac:dyDescent="0.35">
      <c r="J47" s="359"/>
      <c r="K47" s="66" t="s">
        <v>370</v>
      </c>
      <c r="L47" s="64"/>
      <c r="M47" s="64"/>
      <c r="N47" s="64"/>
      <c r="O47" s="64"/>
    </row>
    <row r="48" spans="1:15" ht="13.9" x14ac:dyDescent="0.35">
      <c r="A48" s="371" t="s">
        <v>267</v>
      </c>
      <c r="B48" s="372"/>
      <c r="C48" s="372"/>
      <c r="D48" s="372"/>
      <c r="E48" s="372"/>
      <c r="F48" s="372"/>
      <c r="G48" s="373"/>
      <c r="J48" s="359"/>
      <c r="K48" s="66" t="s">
        <v>371</v>
      </c>
      <c r="L48" s="64"/>
      <c r="M48" s="64"/>
      <c r="N48" s="64"/>
      <c r="O48" s="64"/>
    </row>
    <row r="49" spans="1:15" x14ac:dyDescent="0.35">
      <c r="A49" s="362"/>
      <c r="B49" s="363"/>
      <c r="C49" s="363"/>
      <c r="D49" s="363"/>
      <c r="E49" s="363"/>
      <c r="F49" s="363"/>
      <c r="G49" s="364"/>
      <c r="J49" s="359"/>
      <c r="K49" s="62" t="s">
        <v>372</v>
      </c>
      <c r="L49" s="62" t="e">
        <f>AVERAGE(L37:L48)</f>
        <v>#DIV/0!</v>
      </c>
      <c r="M49" s="62">
        <f>MAX(M37:M48)</f>
        <v>0</v>
      </c>
      <c r="N49" s="62" t="e">
        <f>AVERAGE(N37:N48)</f>
        <v>#DIV/0!</v>
      </c>
      <c r="O49" s="62">
        <f>MAX(O37:O48)</f>
        <v>0</v>
      </c>
    </row>
    <row r="50" spans="1:15" x14ac:dyDescent="0.35">
      <c r="A50" s="365"/>
      <c r="B50" s="366"/>
      <c r="C50" s="366"/>
      <c r="D50" s="366"/>
      <c r="E50" s="366"/>
      <c r="F50" s="366"/>
      <c r="G50" s="367"/>
    </row>
    <row r="51" spans="1:15" ht="27.75" x14ac:dyDescent="0.35">
      <c r="A51" s="365"/>
      <c r="B51" s="366"/>
      <c r="C51" s="366"/>
      <c r="D51" s="366"/>
      <c r="E51" s="366"/>
      <c r="F51" s="366"/>
      <c r="G51" s="367"/>
      <c r="J51" s="61">
        <f>+A6</f>
        <v>2022</v>
      </c>
      <c r="K51" s="61" t="s">
        <v>354</v>
      </c>
      <c r="L51" s="67" t="s">
        <v>349</v>
      </c>
      <c r="M51" s="67" t="s">
        <v>355</v>
      </c>
      <c r="N51" s="67" t="s">
        <v>352</v>
      </c>
      <c r="O51" s="67" t="s">
        <v>356</v>
      </c>
    </row>
    <row r="52" spans="1:15" x14ac:dyDescent="0.35">
      <c r="A52" s="368"/>
      <c r="B52" s="369"/>
      <c r="C52" s="369"/>
      <c r="D52" s="369"/>
      <c r="E52" s="369"/>
      <c r="F52" s="369"/>
      <c r="G52" s="370"/>
      <c r="J52" s="359" t="s">
        <v>189</v>
      </c>
      <c r="K52" s="66" t="s">
        <v>357</v>
      </c>
      <c r="L52" s="64"/>
      <c r="M52" s="64"/>
      <c r="N52" s="64"/>
      <c r="O52" s="64"/>
    </row>
    <row r="53" spans="1:15" x14ac:dyDescent="0.35">
      <c r="J53" s="359"/>
      <c r="K53" s="66" t="s">
        <v>358</v>
      </c>
      <c r="L53" s="64"/>
      <c r="M53" s="64"/>
      <c r="N53" s="64"/>
      <c r="O53" s="64"/>
    </row>
    <row r="54" spans="1:15" x14ac:dyDescent="0.35">
      <c r="J54" s="359"/>
      <c r="K54" s="66" t="s">
        <v>359</v>
      </c>
      <c r="L54" s="64"/>
      <c r="M54" s="64"/>
      <c r="N54" s="64"/>
      <c r="O54" s="64"/>
    </row>
    <row r="55" spans="1:15" x14ac:dyDescent="0.35">
      <c r="J55" s="359"/>
      <c r="K55" s="66" t="s">
        <v>361</v>
      </c>
      <c r="L55" s="64"/>
      <c r="M55" s="64"/>
      <c r="N55" s="64"/>
      <c r="O55" s="64"/>
    </row>
    <row r="56" spans="1:15" x14ac:dyDescent="0.35">
      <c r="J56" s="359"/>
      <c r="K56" s="66" t="s">
        <v>363</v>
      </c>
      <c r="L56" s="64"/>
      <c r="M56" s="64"/>
      <c r="N56" s="64"/>
      <c r="O56" s="64"/>
    </row>
    <row r="57" spans="1:15" x14ac:dyDescent="0.35">
      <c r="J57" s="359"/>
      <c r="K57" s="66" t="s">
        <v>364</v>
      </c>
      <c r="L57" s="64"/>
      <c r="M57" s="64"/>
      <c r="N57" s="64"/>
      <c r="O57" s="64"/>
    </row>
    <row r="58" spans="1:15" x14ac:dyDescent="0.35">
      <c r="J58" s="359"/>
      <c r="K58" s="66" t="s">
        <v>365</v>
      </c>
      <c r="L58" s="64"/>
      <c r="M58" s="64"/>
      <c r="N58" s="64"/>
      <c r="O58" s="64"/>
    </row>
    <row r="59" spans="1:15" x14ac:dyDescent="0.35">
      <c r="J59" s="359"/>
      <c r="K59" s="66" t="s">
        <v>367</v>
      </c>
      <c r="L59" s="64"/>
      <c r="M59" s="64"/>
      <c r="N59" s="64"/>
      <c r="O59" s="64"/>
    </row>
    <row r="60" spans="1:15" x14ac:dyDescent="0.35">
      <c r="J60" s="359"/>
      <c r="K60" s="66" t="s">
        <v>368</v>
      </c>
      <c r="L60" s="64"/>
      <c r="M60" s="64"/>
      <c r="N60" s="64"/>
      <c r="O60" s="64"/>
    </row>
    <row r="61" spans="1:15" x14ac:dyDescent="0.35">
      <c r="J61" s="359"/>
      <c r="K61" s="66" t="s">
        <v>369</v>
      </c>
      <c r="L61" s="64"/>
      <c r="M61" s="64"/>
      <c r="N61" s="64"/>
      <c r="O61" s="64"/>
    </row>
    <row r="62" spans="1:15" x14ac:dyDescent="0.35">
      <c r="J62" s="359"/>
      <c r="K62" s="66" t="s">
        <v>370</v>
      </c>
      <c r="L62" s="64"/>
      <c r="M62" s="64"/>
      <c r="N62" s="64"/>
      <c r="O62" s="64"/>
    </row>
    <row r="63" spans="1:15" x14ac:dyDescent="0.35">
      <c r="J63" s="359"/>
      <c r="K63" s="66" t="s">
        <v>371</v>
      </c>
      <c r="L63" s="64"/>
      <c r="M63" s="64"/>
      <c r="N63" s="64"/>
      <c r="O63" s="64"/>
    </row>
    <row r="64" spans="1:15" x14ac:dyDescent="0.35">
      <c r="J64" s="359"/>
      <c r="K64" s="62" t="s">
        <v>372</v>
      </c>
      <c r="L64" s="62" t="e">
        <f>AVERAGE(L52:L63)</f>
        <v>#DIV/0!</v>
      </c>
      <c r="M64" s="62">
        <f>MAX(M52:M63)</f>
        <v>0</v>
      </c>
      <c r="N64" s="62" t="e">
        <f>AVERAGE(N52:N63)</f>
        <v>#DIV/0!</v>
      </c>
      <c r="O64" s="62">
        <f>MAX(O52:O63)</f>
        <v>0</v>
      </c>
    </row>
    <row r="66" spans="10:15" ht="27.75" x14ac:dyDescent="0.35">
      <c r="J66" s="61">
        <f>+A6</f>
        <v>2022</v>
      </c>
      <c r="K66" s="61" t="s">
        <v>354</v>
      </c>
      <c r="L66" s="67" t="s">
        <v>349</v>
      </c>
      <c r="M66" s="67" t="s">
        <v>355</v>
      </c>
      <c r="N66" s="67" t="s">
        <v>352</v>
      </c>
      <c r="O66" s="67" t="s">
        <v>356</v>
      </c>
    </row>
    <row r="67" spans="10:15" x14ac:dyDescent="0.35">
      <c r="J67" s="359" t="s">
        <v>190</v>
      </c>
      <c r="K67" s="66" t="s">
        <v>357</v>
      </c>
      <c r="L67" s="64"/>
      <c r="M67" s="64"/>
      <c r="N67" s="64"/>
      <c r="O67" s="64"/>
    </row>
    <row r="68" spans="10:15" x14ac:dyDescent="0.35">
      <c r="J68" s="359"/>
      <c r="K68" s="66" t="s">
        <v>358</v>
      </c>
      <c r="L68" s="64"/>
      <c r="M68" s="64"/>
      <c r="N68" s="64"/>
      <c r="O68" s="64"/>
    </row>
    <row r="69" spans="10:15" x14ac:dyDescent="0.35">
      <c r="J69" s="359"/>
      <c r="K69" s="66" t="s">
        <v>359</v>
      </c>
      <c r="L69" s="64"/>
      <c r="M69" s="64"/>
      <c r="N69" s="64"/>
      <c r="O69" s="64"/>
    </row>
    <row r="70" spans="10:15" x14ac:dyDescent="0.35">
      <c r="J70" s="359"/>
      <c r="K70" s="66" t="s">
        <v>361</v>
      </c>
      <c r="L70" s="64"/>
      <c r="M70" s="64"/>
      <c r="N70" s="64"/>
      <c r="O70" s="64"/>
    </row>
    <row r="71" spans="10:15" x14ac:dyDescent="0.35">
      <c r="J71" s="359"/>
      <c r="K71" s="66" t="s">
        <v>363</v>
      </c>
      <c r="L71" s="64"/>
      <c r="M71" s="64"/>
      <c r="N71" s="64"/>
      <c r="O71" s="64"/>
    </row>
    <row r="72" spans="10:15" x14ac:dyDescent="0.35">
      <c r="J72" s="359"/>
      <c r="K72" s="66" t="s">
        <v>364</v>
      </c>
      <c r="L72" s="64"/>
      <c r="M72" s="64"/>
      <c r="N72" s="64"/>
      <c r="O72" s="64"/>
    </row>
    <row r="73" spans="10:15" x14ac:dyDescent="0.35">
      <c r="J73" s="359"/>
      <c r="K73" s="66" t="s">
        <v>365</v>
      </c>
      <c r="L73" s="64"/>
      <c r="M73" s="64"/>
      <c r="N73" s="64"/>
      <c r="O73" s="64"/>
    </row>
    <row r="74" spans="10:15" x14ac:dyDescent="0.35">
      <c r="J74" s="359"/>
      <c r="K74" s="66" t="s">
        <v>367</v>
      </c>
      <c r="L74" s="64"/>
      <c r="M74" s="64"/>
      <c r="N74" s="64"/>
      <c r="O74" s="64"/>
    </row>
    <row r="75" spans="10:15" x14ac:dyDescent="0.35">
      <c r="J75" s="359"/>
      <c r="K75" s="66" t="s">
        <v>368</v>
      </c>
      <c r="L75" s="64"/>
      <c r="M75" s="64"/>
      <c r="N75" s="64"/>
      <c r="O75" s="64"/>
    </row>
    <row r="76" spans="10:15" x14ac:dyDescent="0.35">
      <c r="J76" s="359"/>
      <c r="K76" s="66" t="s">
        <v>369</v>
      </c>
      <c r="L76" s="64"/>
      <c r="M76" s="64"/>
      <c r="N76" s="64"/>
      <c r="O76" s="64"/>
    </row>
    <row r="77" spans="10:15" x14ac:dyDescent="0.35">
      <c r="J77" s="359"/>
      <c r="K77" s="66" t="s">
        <v>370</v>
      </c>
      <c r="L77" s="64"/>
      <c r="M77" s="64"/>
      <c r="N77" s="64"/>
      <c r="O77" s="64"/>
    </row>
    <row r="78" spans="10:15" x14ac:dyDescent="0.35">
      <c r="J78" s="359"/>
      <c r="K78" s="66" t="s">
        <v>371</v>
      </c>
      <c r="L78" s="64"/>
      <c r="M78" s="64"/>
      <c r="N78" s="64"/>
      <c r="O78" s="64"/>
    </row>
    <row r="79" spans="10:15" x14ac:dyDescent="0.35">
      <c r="J79" s="359"/>
      <c r="K79" s="62" t="s">
        <v>372</v>
      </c>
      <c r="L79" s="62" t="e">
        <f>AVERAGE(L67:L78)</f>
        <v>#DIV/0!</v>
      </c>
      <c r="M79" s="62">
        <f>MAX(M67:M78)</f>
        <v>0</v>
      </c>
      <c r="N79" s="62" t="e">
        <f>AVERAGE(N67:N78)</f>
        <v>#DIV/0!</v>
      </c>
      <c r="O79" s="62">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headerFooter scaleWithDoc="0">
    <oddFooter>&amp;C&amp;"Arial,Regular"Page &amp;P</oddFooter>
  </headerFooter>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showGridLines="0" zoomScaleNormal="100" workbookViewId="0">
      <selection activeCell="F7" sqref="F7:F18"/>
    </sheetView>
  </sheetViews>
  <sheetFormatPr defaultRowHeight="13.5" x14ac:dyDescent="0.35"/>
  <cols>
    <col min="1" max="1" width="14" style="3" customWidth="1"/>
    <col min="2" max="4" width="17" style="35" customWidth="1"/>
    <col min="5" max="5" width="14.73046875" style="35" customWidth="1"/>
    <col min="6" max="7" width="17" style="35" customWidth="1"/>
    <col min="8" max="11" width="9.265625" style="3"/>
    <col min="12" max="12" width="15.3984375" style="3" customWidth="1"/>
    <col min="13" max="13" width="17.3984375" style="3" bestFit="1" customWidth="1"/>
    <col min="14" max="14" width="13.73046875" style="3" customWidth="1"/>
    <col min="15" max="15" width="15" style="3" customWidth="1"/>
    <col min="16" max="18" width="9.265625" style="3"/>
    <col min="19" max="19" width="22" style="3" customWidth="1"/>
    <col min="20" max="256" width="9.265625" style="3"/>
    <col min="257" max="257" width="14" style="3" customWidth="1"/>
    <col min="258" max="263" width="10.265625" style="3" customWidth="1"/>
    <col min="264" max="512" width="9.265625" style="3"/>
    <col min="513" max="513" width="14" style="3" customWidth="1"/>
    <col min="514" max="519" width="10.265625" style="3" customWidth="1"/>
    <col min="520" max="768" width="9.265625" style="3"/>
    <col min="769" max="769" width="14" style="3" customWidth="1"/>
    <col min="770" max="775" width="10.265625" style="3" customWidth="1"/>
    <col min="776" max="1024" width="9.265625" style="3"/>
    <col min="1025" max="1025" width="14" style="3" customWidth="1"/>
    <col min="1026" max="1031" width="10.265625" style="3" customWidth="1"/>
    <col min="1032" max="1280" width="9.265625" style="3"/>
    <col min="1281" max="1281" width="14" style="3" customWidth="1"/>
    <col min="1282" max="1287" width="10.265625" style="3" customWidth="1"/>
    <col min="1288" max="1536" width="9.265625" style="3"/>
    <col min="1537" max="1537" width="14" style="3" customWidth="1"/>
    <col min="1538" max="1543" width="10.265625" style="3" customWidth="1"/>
    <col min="1544" max="1792" width="9.265625" style="3"/>
    <col min="1793" max="1793" width="14" style="3" customWidth="1"/>
    <col min="1794" max="1799" width="10.265625" style="3" customWidth="1"/>
    <col min="1800" max="2048" width="9.265625" style="3"/>
    <col min="2049" max="2049" width="14" style="3" customWidth="1"/>
    <col min="2050" max="2055" width="10.265625" style="3" customWidth="1"/>
    <col min="2056" max="2304" width="9.265625" style="3"/>
    <col min="2305" max="2305" width="14" style="3" customWidth="1"/>
    <col min="2306" max="2311" width="10.265625" style="3" customWidth="1"/>
    <col min="2312" max="2560" width="9.265625" style="3"/>
    <col min="2561" max="2561" width="14" style="3" customWidth="1"/>
    <col min="2562" max="2567" width="10.265625" style="3" customWidth="1"/>
    <col min="2568" max="2816" width="9.265625" style="3"/>
    <col min="2817" max="2817" width="14" style="3" customWidth="1"/>
    <col min="2818" max="2823" width="10.265625" style="3" customWidth="1"/>
    <col min="2824" max="3072" width="9.265625" style="3"/>
    <col min="3073" max="3073" width="14" style="3" customWidth="1"/>
    <col min="3074" max="3079" width="10.265625" style="3" customWidth="1"/>
    <col min="3080" max="3328" width="9.265625" style="3"/>
    <col min="3329" max="3329" width="14" style="3" customWidth="1"/>
    <col min="3330" max="3335" width="10.265625" style="3" customWidth="1"/>
    <col min="3336" max="3584" width="9.265625" style="3"/>
    <col min="3585" max="3585" width="14" style="3" customWidth="1"/>
    <col min="3586" max="3591" width="10.265625" style="3" customWidth="1"/>
    <col min="3592" max="3840" width="9.265625" style="3"/>
    <col min="3841" max="3841" width="14" style="3" customWidth="1"/>
    <col min="3842" max="3847" width="10.265625" style="3" customWidth="1"/>
    <col min="3848" max="4096" width="9.265625" style="3"/>
    <col min="4097" max="4097" width="14" style="3" customWidth="1"/>
    <col min="4098" max="4103" width="10.265625" style="3" customWidth="1"/>
    <col min="4104" max="4352" width="9.265625" style="3"/>
    <col min="4353" max="4353" width="14" style="3" customWidth="1"/>
    <col min="4354" max="4359" width="10.265625" style="3" customWidth="1"/>
    <col min="4360" max="4608" width="9.265625" style="3"/>
    <col min="4609" max="4609" width="14" style="3" customWidth="1"/>
    <col min="4610" max="4615" width="10.265625" style="3" customWidth="1"/>
    <col min="4616" max="4864" width="9.265625" style="3"/>
    <col min="4865" max="4865" width="14" style="3" customWidth="1"/>
    <col min="4866" max="4871" width="10.265625" style="3" customWidth="1"/>
    <col min="4872" max="5120" width="9.265625" style="3"/>
    <col min="5121" max="5121" width="14" style="3" customWidth="1"/>
    <col min="5122" max="5127" width="10.265625" style="3" customWidth="1"/>
    <col min="5128" max="5376" width="9.265625" style="3"/>
    <col min="5377" max="5377" width="14" style="3" customWidth="1"/>
    <col min="5378" max="5383" width="10.265625" style="3" customWidth="1"/>
    <col min="5384" max="5632" width="9.265625" style="3"/>
    <col min="5633" max="5633" width="14" style="3" customWidth="1"/>
    <col min="5634" max="5639" width="10.265625" style="3" customWidth="1"/>
    <col min="5640" max="5888" width="9.265625" style="3"/>
    <col min="5889" max="5889" width="14" style="3" customWidth="1"/>
    <col min="5890" max="5895" width="10.265625" style="3" customWidth="1"/>
    <col min="5896" max="6144" width="9.265625" style="3"/>
    <col min="6145" max="6145" width="14" style="3" customWidth="1"/>
    <col min="6146" max="6151" width="10.265625" style="3" customWidth="1"/>
    <col min="6152" max="6400" width="9.265625" style="3"/>
    <col min="6401" max="6401" width="14" style="3" customWidth="1"/>
    <col min="6402" max="6407" width="10.265625" style="3" customWidth="1"/>
    <col min="6408" max="6656" width="9.265625" style="3"/>
    <col min="6657" max="6657" width="14" style="3" customWidth="1"/>
    <col min="6658" max="6663" width="10.265625" style="3" customWidth="1"/>
    <col min="6664" max="6912" width="9.265625" style="3"/>
    <col min="6913" max="6913" width="14" style="3" customWidth="1"/>
    <col min="6914" max="6919" width="10.265625" style="3" customWidth="1"/>
    <col min="6920" max="7168" width="9.265625" style="3"/>
    <col min="7169" max="7169" width="14" style="3" customWidth="1"/>
    <col min="7170" max="7175" width="10.265625" style="3" customWidth="1"/>
    <col min="7176" max="7424" width="9.265625" style="3"/>
    <col min="7425" max="7425" width="14" style="3" customWidth="1"/>
    <col min="7426" max="7431" width="10.265625" style="3" customWidth="1"/>
    <col min="7432" max="7680" width="9.265625" style="3"/>
    <col min="7681" max="7681" width="14" style="3" customWidth="1"/>
    <col min="7682" max="7687" width="10.265625" style="3" customWidth="1"/>
    <col min="7688" max="7936" width="9.265625" style="3"/>
    <col min="7937" max="7937" width="14" style="3" customWidth="1"/>
    <col min="7938" max="7943" width="10.265625" style="3" customWidth="1"/>
    <col min="7944" max="8192" width="9.265625" style="3"/>
    <col min="8193" max="8193" width="14" style="3" customWidth="1"/>
    <col min="8194" max="8199" width="10.265625" style="3" customWidth="1"/>
    <col min="8200" max="8448" width="9.265625" style="3"/>
    <col min="8449" max="8449" width="14" style="3" customWidth="1"/>
    <col min="8450" max="8455" width="10.265625" style="3" customWidth="1"/>
    <col min="8456" max="8704" width="9.265625" style="3"/>
    <col min="8705" max="8705" width="14" style="3" customWidth="1"/>
    <col min="8706" max="8711" width="10.265625" style="3" customWidth="1"/>
    <col min="8712" max="8960" width="9.265625" style="3"/>
    <col min="8961" max="8961" width="14" style="3" customWidth="1"/>
    <col min="8962" max="8967" width="10.265625" style="3" customWidth="1"/>
    <col min="8968" max="9216" width="9.265625" style="3"/>
    <col min="9217" max="9217" width="14" style="3" customWidth="1"/>
    <col min="9218" max="9223" width="10.265625" style="3" customWidth="1"/>
    <col min="9224" max="9472" width="9.265625" style="3"/>
    <col min="9473" max="9473" width="14" style="3" customWidth="1"/>
    <col min="9474" max="9479" width="10.265625" style="3" customWidth="1"/>
    <col min="9480" max="9728" width="9.265625" style="3"/>
    <col min="9729" max="9729" width="14" style="3" customWidth="1"/>
    <col min="9730" max="9735" width="10.265625" style="3" customWidth="1"/>
    <col min="9736" max="9984" width="9.265625" style="3"/>
    <col min="9985" max="9985" width="14" style="3" customWidth="1"/>
    <col min="9986" max="9991" width="10.265625" style="3" customWidth="1"/>
    <col min="9992" max="10240" width="9.265625" style="3"/>
    <col min="10241" max="10241" width="14" style="3" customWidth="1"/>
    <col min="10242" max="10247" width="10.265625" style="3" customWidth="1"/>
    <col min="10248" max="10496" width="9.265625" style="3"/>
    <col min="10497" max="10497" width="14" style="3" customWidth="1"/>
    <col min="10498" max="10503" width="10.265625" style="3" customWidth="1"/>
    <col min="10504" max="10752" width="9.265625" style="3"/>
    <col min="10753" max="10753" width="14" style="3" customWidth="1"/>
    <col min="10754" max="10759" width="10.265625" style="3" customWidth="1"/>
    <col min="10760" max="11008" width="9.265625" style="3"/>
    <col min="11009" max="11009" width="14" style="3" customWidth="1"/>
    <col min="11010" max="11015" width="10.265625" style="3" customWidth="1"/>
    <col min="11016" max="11264" width="9.265625" style="3"/>
    <col min="11265" max="11265" width="14" style="3" customWidth="1"/>
    <col min="11266" max="11271" width="10.265625" style="3" customWidth="1"/>
    <col min="11272" max="11520" width="9.265625" style="3"/>
    <col min="11521" max="11521" width="14" style="3" customWidth="1"/>
    <col min="11522" max="11527" width="10.265625" style="3" customWidth="1"/>
    <col min="11528" max="11776" width="9.265625" style="3"/>
    <col min="11777" max="11777" width="14" style="3" customWidth="1"/>
    <col min="11778" max="11783" width="10.265625" style="3" customWidth="1"/>
    <col min="11784" max="12032" width="9.265625" style="3"/>
    <col min="12033" max="12033" width="14" style="3" customWidth="1"/>
    <col min="12034" max="12039" width="10.265625" style="3" customWidth="1"/>
    <col min="12040" max="12288" width="9.265625" style="3"/>
    <col min="12289" max="12289" width="14" style="3" customWidth="1"/>
    <col min="12290" max="12295" width="10.265625" style="3" customWidth="1"/>
    <col min="12296" max="12544" width="9.265625" style="3"/>
    <col min="12545" max="12545" width="14" style="3" customWidth="1"/>
    <col min="12546" max="12551" width="10.265625" style="3" customWidth="1"/>
    <col min="12552" max="12800" width="9.265625" style="3"/>
    <col min="12801" max="12801" width="14" style="3" customWidth="1"/>
    <col min="12802" max="12807" width="10.265625" style="3" customWidth="1"/>
    <col min="12808" max="13056" width="9.265625" style="3"/>
    <col min="13057" max="13057" width="14" style="3" customWidth="1"/>
    <col min="13058" max="13063" width="10.265625" style="3" customWidth="1"/>
    <col min="13064" max="13312" width="9.265625" style="3"/>
    <col min="13313" max="13313" width="14" style="3" customWidth="1"/>
    <col min="13314" max="13319" width="10.265625" style="3" customWidth="1"/>
    <col min="13320" max="13568" width="9.265625" style="3"/>
    <col min="13569" max="13569" width="14" style="3" customWidth="1"/>
    <col min="13570" max="13575" width="10.265625" style="3" customWidth="1"/>
    <col min="13576" max="13824" width="9.265625" style="3"/>
    <col min="13825" max="13825" width="14" style="3" customWidth="1"/>
    <col min="13826" max="13831" width="10.265625" style="3" customWidth="1"/>
    <col min="13832" max="14080" width="9.265625" style="3"/>
    <col min="14081" max="14081" width="14" style="3" customWidth="1"/>
    <col min="14082" max="14087" width="10.265625" style="3" customWidth="1"/>
    <col min="14088" max="14336" width="9.265625" style="3"/>
    <col min="14337" max="14337" width="14" style="3" customWidth="1"/>
    <col min="14338" max="14343" width="10.265625" style="3" customWidth="1"/>
    <col min="14344" max="14592" width="9.265625" style="3"/>
    <col min="14593" max="14593" width="14" style="3" customWidth="1"/>
    <col min="14594" max="14599" width="10.265625" style="3" customWidth="1"/>
    <col min="14600" max="14848" width="9.265625" style="3"/>
    <col min="14849" max="14849" width="14" style="3" customWidth="1"/>
    <col min="14850" max="14855" width="10.265625" style="3" customWidth="1"/>
    <col min="14856" max="15104" width="9.265625" style="3"/>
    <col min="15105" max="15105" width="14" style="3" customWidth="1"/>
    <col min="15106" max="15111" width="10.265625" style="3" customWidth="1"/>
    <col min="15112" max="15360" width="9.265625" style="3"/>
    <col min="15361" max="15361" width="14" style="3" customWidth="1"/>
    <col min="15362" max="15367" width="10.265625" style="3" customWidth="1"/>
    <col min="15368" max="15616" width="9.265625" style="3"/>
    <col min="15617" max="15617" width="14" style="3" customWidth="1"/>
    <col min="15618" max="15623" width="10.265625" style="3" customWidth="1"/>
    <col min="15624" max="15872" width="9.265625" style="3"/>
    <col min="15873" max="15873" width="14" style="3" customWidth="1"/>
    <col min="15874" max="15879" width="10.265625" style="3" customWidth="1"/>
    <col min="15880" max="16128" width="9.265625" style="3"/>
    <col min="16129" max="16129" width="14" style="3" customWidth="1"/>
    <col min="16130" max="16135" width="10.265625" style="3" customWidth="1"/>
    <col min="16136" max="16384" width="9.265625" style="3"/>
  </cols>
  <sheetData>
    <row r="1" spans="1:19" ht="15" x14ac:dyDescent="0.4">
      <c r="A1" s="93" t="str">
        <f>+'Cover Page'!$B$29</f>
        <v>Annual Performance Report 2022</v>
      </c>
      <c r="B1" s="93"/>
      <c r="C1" s="93"/>
      <c r="D1" s="93"/>
      <c r="E1" s="93" t="str">
        <f>+'Cover Page'!$B$33</f>
        <v>EQUANS FM Ltd</v>
      </c>
      <c r="F1" s="93"/>
      <c r="G1" s="93"/>
    </row>
    <row r="3" spans="1:19" ht="13.9" x14ac:dyDescent="0.4">
      <c r="A3" s="60" t="s">
        <v>373</v>
      </c>
      <c r="D3" s="76" t="s">
        <v>341</v>
      </c>
      <c r="G3" s="80" t="s">
        <v>342</v>
      </c>
      <c r="J3" s="9" t="str">
        <f>+A3</f>
        <v>Monitoring of Sulphur dioxide emissions</v>
      </c>
      <c r="L3" s="9"/>
      <c r="N3" s="9" t="s">
        <v>343</v>
      </c>
      <c r="Q3" s="79" t="s">
        <v>3</v>
      </c>
      <c r="R3" s="74"/>
      <c r="S3" s="74"/>
    </row>
    <row r="4" spans="1:19" ht="14.1" customHeight="1" x14ac:dyDescent="0.35">
      <c r="Q4" s="350" t="s">
        <v>344</v>
      </c>
      <c r="R4" s="350"/>
      <c r="S4" s="350"/>
    </row>
    <row r="5" spans="1:19" ht="15.75" x14ac:dyDescent="0.4">
      <c r="A5" s="68" t="s">
        <v>345</v>
      </c>
      <c r="B5" s="361" t="s">
        <v>346</v>
      </c>
      <c r="C5" s="361"/>
      <c r="D5" s="361"/>
      <c r="E5" s="361" t="s">
        <v>347</v>
      </c>
      <c r="F5" s="361"/>
      <c r="G5" s="361"/>
      <c r="J5" s="360"/>
      <c r="K5" s="360"/>
      <c r="L5" s="360"/>
      <c r="M5" s="360"/>
      <c r="N5" s="360"/>
      <c r="O5" s="360"/>
      <c r="Q5" s="350"/>
      <c r="R5" s="350"/>
      <c r="S5" s="350"/>
    </row>
    <row r="6" spans="1:19" s="58" customFormat="1" ht="37.5" customHeight="1" x14ac:dyDescent="0.45">
      <c r="A6" s="65">
        <f>+'Cover Page'!C39</f>
        <v>2022</v>
      </c>
      <c r="B6" s="55" t="s">
        <v>374</v>
      </c>
      <c r="C6" s="55" t="s">
        <v>349</v>
      </c>
      <c r="D6" s="55" t="s">
        <v>350</v>
      </c>
      <c r="E6" s="55" t="s">
        <v>375</v>
      </c>
      <c r="F6" s="55" t="s">
        <v>352</v>
      </c>
      <c r="G6" s="55" t="s">
        <v>353</v>
      </c>
      <c r="H6" s="59"/>
      <c r="J6" s="61">
        <f>+A6</f>
        <v>2022</v>
      </c>
      <c r="K6" s="61" t="s">
        <v>354</v>
      </c>
      <c r="L6" s="67" t="s">
        <v>349</v>
      </c>
      <c r="M6" s="67" t="s">
        <v>355</v>
      </c>
      <c r="N6" s="67" t="s">
        <v>352</v>
      </c>
      <c r="O6" s="67" t="s">
        <v>356</v>
      </c>
      <c r="Q6" s="350"/>
      <c r="R6" s="350"/>
      <c r="S6" s="350"/>
    </row>
    <row r="7" spans="1:19" x14ac:dyDescent="0.35">
      <c r="A7" s="66" t="s">
        <v>357</v>
      </c>
      <c r="B7" s="63">
        <v>300</v>
      </c>
      <c r="C7" s="177">
        <v>34.5</v>
      </c>
      <c r="D7" s="64">
        <v>154</v>
      </c>
      <c r="E7" s="63">
        <v>75</v>
      </c>
      <c r="F7" s="177">
        <v>34.5</v>
      </c>
      <c r="G7" s="64">
        <v>60</v>
      </c>
      <c r="J7" s="359" t="s">
        <v>186</v>
      </c>
      <c r="K7" s="66" t="s">
        <v>357</v>
      </c>
      <c r="L7" s="64"/>
      <c r="M7" s="64"/>
      <c r="N7" s="64"/>
      <c r="O7" s="64"/>
      <c r="Q7" s="350"/>
      <c r="R7" s="350"/>
      <c r="S7" s="350"/>
    </row>
    <row r="8" spans="1:19" x14ac:dyDescent="0.35">
      <c r="A8" s="66" t="s">
        <v>358</v>
      </c>
      <c r="B8" s="63">
        <v>300</v>
      </c>
      <c r="C8" s="177">
        <v>24.21</v>
      </c>
      <c r="D8" s="64">
        <v>106</v>
      </c>
      <c r="E8" s="63">
        <v>75</v>
      </c>
      <c r="F8" s="177">
        <v>24.21</v>
      </c>
      <c r="G8" s="64">
        <v>39</v>
      </c>
      <c r="J8" s="359"/>
      <c r="K8" s="66" t="s">
        <v>358</v>
      </c>
      <c r="L8" s="64"/>
      <c r="M8" s="64"/>
      <c r="N8" s="64"/>
      <c r="O8" s="64"/>
      <c r="Q8" s="350"/>
      <c r="R8" s="350"/>
      <c r="S8" s="350"/>
    </row>
    <row r="9" spans="1:19" ht="13.9" x14ac:dyDescent="0.4">
      <c r="A9" s="66" t="s">
        <v>359</v>
      </c>
      <c r="B9" s="63">
        <v>300</v>
      </c>
      <c r="C9" s="177">
        <v>17.14</v>
      </c>
      <c r="D9" s="64">
        <v>80</v>
      </c>
      <c r="E9" s="63">
        <v>75</v>
      </c>
      <c r="F9" s="177">
        <v>17.14</v>
      </c>
      <c r="G9" s="64">
        <v>27</v>
      </c>
      <c r="J9" s="359"/>
      <c r="K9" s="66" t="s">
        <v>359</v>
      </c>
      <c r="L9" s="64"/>
      <c r="M9" s="64"/>
      <c r="N9" s="64"/>
      <c r="O9" s="64"/>
      <c r="Q9" s="78" t="s">
        <v>360</v>
      </c>
    </row>
    <row r="10" spans="1:19" ht="14.25" customHeight="1" x14ac:dyDescent="0.35">
      <c r="A10" s="66" t="s">
        <v>361</v>
      </c>
      <c r="B10" s="63">
        <v>300</v>
      </c>
      <c r="C10" s="177">
        <v>13.87</v>
      </c>
      <c r="D10" s="64">
        <v>42</v>
      </c>
      <c r="E10" s="63">
        <v>75</v>
      </c>
      <c r="F10" s="177">
        <v>13.87</v>
      </c>
      <c r="G10" s="64">
        <v>25</v>
      </c>
      <c r="J10" s="359"/>
      <c r="K10" s="66" t="s">
        <v>361</v>
      </c>
      <c r="L10" s="64"/>
      <c r="M10" s="64"/>
      <c r="N10" s="64"/>
      <c r="O10" s="64"/>
      <c r="Q10" s="358" t="s">
        <v>362</v>
      </c>
      <c r="R10" s="358"/>
      <c r="S10" s="358"/>
    </row>
    <row r="11" spans="1:19" x14ac:dyDescent="0.35">
      <c r="A11" s="66" t="s">
        <v>363</v>
      </c>
      <c r="B11" s="63">
        <v>300</v>
      </c>
      <c r="C11" s="177">
        <v>12</v>
      </c>
      <c r="D11" s="64">
        <v>40</v>
      </c>
      <c r="E11" s="63">
        <v>75</v>
      </c>
      <c r="F11" s="177">
        <v>12</v>
      </c>
      <c r="G11" s="64">
        <v>19</v>
      </c>
      <c r="J11" s="359"/>
      <c r="K11" s="66" t="s">
        <v>363</v>
      </c>
      <c r="L11" s="64"/>
      <c r="M11" s="64"/>
      <c r="N11" s="64"/>
      <c r="O11" s="64"/>
      <c r="Q11" s="358"/>
      <c r="R11" s="358"/>
      <c r="S11" s="358"/>
    </row>
    <row r="12" spans="1:19" x14ac:dyDescent="0.35">
      <c r="A12" s="66" t="s">
        <v>364</v>
      </c>
      <c r="B12" s="63">
        <v>300</v>
      </c>
      <c r="C12" s="177">
        <v>21.36</v>
      </c>
      <c r="D12" s="64">
        <v>78</v>
      </c>
      <c r="E12" s="63">
        <v>75</v>
      </c>
      <c r="F12" s="177">
        <v>21.36</v>
      </c>
      <c r="G12" s="64">
        <v>39</v>
      </c>
      <c r="J12" s="359"/>
      <c r="K12" s="66" t="s">
        <v>364</v>
      </c>
      <c r="L12" s="64"/>
      <c r="M12" s="64"/>
      <c r="N12" s="64"/>
      <c r="O12" s="64"/>
      <c r="Q12" s="358"/>
      <c r="R12" s="358"/>
      <c r="S12" s="358"/>
    </row>
    <row r="13" spans="1:19" ht="14.25" customHeight="1" x14ac:dyDescent="0.35">
      <c r="A13" s="66" t="s">
        <v>365</v>
      </c>
      <c r="B13" s="63">
        <v>300</v>
      </c>
      <c r="C13" s="177">
        <v>0</v>
      </c>
      <c r="D13" s="64">
        <v>0</v>
      </c>
      <c r="E13" s="63">
        <v>75</v>
      </c>
      <c r="F13" s="177">
        <v>0</v>
      </c>
      <c r="G13" s="64">
        <v>0</v>
      </c>
      <c r="J13" s="359"/>
      <c r="K13" s="66" t="s">
        <v>365</v>
      </c>
      <c r="L13" s="64"/>
      <c r="M13" s="64"/>
      <c r="N13" s="64"/>
      <c r="O13" s="64"/>
      <c r="Q13" s="358" t="s">
        <v>366</v>
      </c>
      <c r="R13" s="358"/>
      <c r="S13" s="358"/>
    </row>
    <row r="14" spans="1:19" x14ac:dyDescent="0.35">
      <c r="A14" s="66" t="s">
        <v>367</v>
      </c>
      <c r="B14" s="63">
        <v>300</v>
      </c>
      <c r="C14" s="177">
        <v>18.04</v>
      </c>
      <c r="D14" s="64">
        <v>37</v>
      </c>
      <c r="E14" s="63">
        <v>75</v>
      </c>
      <c r="F14" s="177">
        <v>18.04</v>
      </c>
      <c r="G14" s="64">
        <v>26</v>
      </c>
      <c r="J14" s="359"/>
      <c r="K14" s="66" t="s">
        <v>367</v>
      </c>
      <c r="L14" s="64"/>
      <c r="M14" s="64"/>
      <c r="N14" s="64"/>
      <c r="O14" s="64"/>
      <c r="Q14" s="358"/>
      <c r="R14" s="358"/>
      <c r="S14" s="358"/>
    </row>
    <row r="15" spans="1:19" x14ac:dyDescent="0.35">
      <c r="A15" s="66" t="s">
        <v>368</v>
      </c>
      <c r="B15" s="63">
        <v>300</v>
      </c>
      <c r="C15" s="177">
        <v>16.829999999999998</v>
      </c>
      <c r="D15" s="64">
        <v>51</v>
      </c>
      <c r="E15" s="63">
        <v>75</v>
      </c>
      <c r="F15" s="177">
        <v>16.829999999999998</v>
      </c>
      <c r="G15" s="64">
        <v>27</v>
      </c>
      <c r="J15" s="359"/>
      <c r="K15" s="66" t="s">
        <v>368</v>
      </c>
      <c r="L15" s="64"/>
      <c r="M15" s="64"/>
      <c r="N15" s="64"/>
      <c r="O15" s="64"/>
      <c r="Q15" s="358"/>
      <c r="R15" s="358"/>
      <c r="S15" s="358"/>
    </row>
    <row r="16" spans="1:19" x14ac:dyDescent="0.35">
      <c r="A16" s="66" t="s">
        <v>369</v>
      </c>
      <c r="B16" s="63">
        <v>300</v>
      </c>
      <c r="C16" s="177">
        <v>19.739999999999998</v>
      </c>
      <c r="D16" s="64">
        <v>48</v>
      </c>
      <c r="E16" s="63">
        <v>75</v>
      </c>
      <c r="F16" s="177">
        <v>19.739999999999998</v>
      </c>
      <c r="G16" s="64">
        <v>30</v>
      </c>
      <c r="J16" s="359"/>
      <c r="K16" s="66" t="s">
        <v>369</v>
      </c>
      <c r="L16" s="64"/>
      <c r="M16" s="64"/>
      <c r="N16" s="64"/>
      <c r="O16" s="64"/>
      <c r="Q16" s="358"/>
      <c r="R16" s="358"/>
      <c r="S16" s="358"/>
    </row>
    <row r="17" spans="1:15" x14ac:dyDescent="0.35">
      <c r="A17" s="66" t="s">
        <v>370</v>
      </c>
      <c r="B17" s="63">
        <v>300</v>
      </c>
      <c r="C17" s="177">
        <v>21.76</v>
      </c>
      <c r="D17" s="64">
        <v>52</v>
      </c>
      <c r="E17" s="63">
        <v>75</v>
      </c>
      <c r="F17" s="177">
        <v>21.76</v>
      </c>
      <c r="G17" s="64">
        <v>31</v>
      </c>
      <c r="J17" s="359"/>
      <c r="K17" s="66" t="s">
        <v>370</v>
      </c>
      <c r="L17" s="64"/>
      <c r="M17" s="64"/>
      <c r="N17" s="64"/>
      <c r="O17" s="64"/>
    </row>
    <row r="18" spans="1:15" x14ac:dyDescent="0.35">
      <c r="A18" s="66" t="s">
        <v>371</v>
      </c>
      <c r="B18" s="63">
        <v>300</v>
      </c>
      <c r="C18" s="177">
        <v>13.65</v>
      </c>
      <c r="D18" s="64">
        <v>76</v>
      </c>
      <c r="E18" s="63">
        <v>75</v>
      </c>
      <c r="F18" s="177">
        <v>13.65</v>
      </c>
      <c r="G18" s="64">
        <v>26</v>
      </c>
      <c r="J18" s="359"/>
      <c r="K18" s="66" t="s">
        <v>371</v>
      </c>
      <c r="L18" s="64"/>
      <c r="M18" s="64"/>
      <c r="N18" s="64"/>
      <c r="O18" s="64"/>
    </row>
    <row r="19" spans="1:15" x14ac:dyDescent="0.35">
      <c r="J19" s="359"/>
      <c r="K19" s="62" t="s">
        <v>372</v>
      </c>
      <c r="L19" s="62" t="e">
        <f>AVERAGE(L7:L18)</f>
        <v>#DIV/0!</v>
      </c>
      <c r="M19" s="62">
        <f>MAX(M7:M18)</f>
        <v>0</v>
      </c>
      <c r="N19" s="62" t="e">
        <f>AVERAGE(N7:N18)</f>
        <v>#DIV/0!</v>
      </c>
      <c r="O19" s="62">
        <f>MAX(O7:O18)</f>
        <v>0</v>
      </c>
    </row>
    <row r="21" spans="1:15" ht="27.75" x14ac:dyDescent="0.35">
      <c r="J21" s="61">
        <f>+A6</f>
        <v>2022</v>
      </c>
      <c r="K21" s="61" t="s">
        <v>354</v>
      </c>
      <c r="L21" s="67" t="s">
        <v>349</v>
      </c>
      <c r="M21" s="67" t="s">
        <v>355</v>
      </c>
      <c r="N21" s="67" t="s">
        <v>352</v>
      </c>
      <c r="O21" s="67" t="s">
        <v>356</v>
      </c>
    </row>
    <row r="22" spans="1:15" x14ac:dyDescent="0.35">
      <c r="J22" s="359" t="s">
        <v>187</v>
      </c>
      <c r="K22" s="66" t="s">
        <v>357</v>
      </c>
      <c r="L22" s="64"/>
      <c r="M22" s="64"/>
      <c r="N22" s="64"/>
      <c r="O22" s="64"/>
    </row>
    <row r="23" spans="1:15" x14ac:dyDescent="0.35">
      <c r="J23" s="359"/>
      <c r="K23" s="66" t="s">
        <v>358</v>
      </c>
      <c r="L23" s="64"/>
      <c r="M23" s="64"/>
      <c r="N23" s="64"/>
      <c r="O23" s="64"/>
    </row>
    <row r="24" spans="1:15" x14ac:dyDescent="0.35">
      <c r="J24" s="359"/>
      <c r="K24" s="66" t="s">
        <v>359</v>
      </c>
      <c r="L24" s="64"/>
      <c r="M24" s="64"/>
      <c r="N24" s="64"/>
      <c r="O24" s="64"/>
    </row>
    <row r="25" spans="1:15" x14ac:dyDescent="0.35">
      <c r="J25" s="359"/>
      <c r="K25" s="66" t="s">
        <v>361</v>
      </c>
      <c r="L25" s="64"/>
      <c r="M25" s="64"/>
      <c r="N25" s="64"/>
      <c r="O25" s="64"/>
    </row>
    <row r="26" spans="1:15" x14ac:dyDescent="0.35">
      <c r="J26" s="359"/>
      <c r="K26" s="66" t="s">
        <v>363</v>
      </c>
      <c r="L26" s="64"/>
      <c r="M26" s="64"/>
      <c r="N26" s="64"/>
      <c r="O26" s="64"/>
    </row>
    <row r="27" spans="1:15" x14ac:dyDescent="0.35">
      <c r="J27" s="359"/>
      <c r="K27" s="66" t="s">
        <v>364</v>
      </c>
      <c r="L27" s="64"/>
      <c r="M27" s="64"/>
      <c r="N27" s="64"/>
      <c r="O27" s="64"/>
    </row>
    <row r="28" spans="1:15" x14ac:dyDescent="0.35">
      <c r="J28" s="359"/>
      <c r="K28" s="66" t="s">
        <v>365</v>
      </c>
      <c r="L28" s="64"/>
      <c r="M28" s="64"/>
      <c r="N28" s="64"/>
      <c r="O28" s="64"/>
    </row>
    <row r="29" spans="1:15" x14ac:dyDescent="0.35">
      <c r="J29" s="359"/>
      <c r="K29" s="66" t="s">
        <v>367</v>
      </c>
      <c r="L29" s="64"/>
      <c r="M29" s="64"/>
      <c r="N29" s="64"/>
      <c r="O29" s="64"/>
    </row>
    <row r="30" spans="1:15" x14ac:dyDescent="0.35">
      <c r="J30" s="359"/>
      <c r="K30" s="66" t="s">
        <v>368</v>
      </c>
      <c r="L30" s="64"/>
      <c r="M30" s="64"/>
      <c r="N30" s="64"/>
      <c r="O30" s="64"/>
    </row>
    <row r="31" spans="1:15" x14ac:dyDescent="0.35">
      <c r="J31" s="359"/>
      <c r="K31" s="66" t="s">
        <v>369</v>
      </c>
      <c r="L31" s="64"/>
      <c r="M31" s="64"/>
      <c r="N31" s="64"/>
      <c r="O31" s="64"/>
    </row>
    <row r="32" spans="1:15" x14ac:dyDescent="0.35">
      <c r="J32" s="359"/>
      <c r="K32" s="66" t="s">
        <v>370</v>
      </c>
      <c r="L32" s="64"/>
      <c r="M32" s="64"/>
      <c r="N32" s="64"/>
      <c r="O32" s="64"/>
    </row>
    <row r="33" spans="1:15" x14ac:dyDescent="0.35">
      <c r="J33" s="359"/>
      <c r="K33" s="66" t="s">
        <v>371</v>
      </c>
      <c r="L33" s="64"/>
      <c r="M33" s="64"/>
      <c r="N33" s="64"/>
      <c r="O33" s="64"/>
    </row>
    <row r="34" spans="1:15" x14ac:dyDescent="0.35">
      <c r="J34" s="359"/>
      <c r="K34" s="62" t="s">
        <v>372</v>
      </c>
      <c r="L34" s="62" t="e">
        <f>AVERAGE(L22:L33)</f>
        <v>#DIV/0!</v>
      </c>
      <c r="M34" s="62">
        <f>MAX(M22:M33)</f>
        <v>0</v>
      </c>
      <c r="N34" s="62" t="e">
        <f>AVERAGE(N22:N33)</f>
        <v>#DIV/0!</v>
      </c>
      <c r="O34" s="62">
        <f>MAX(O22:O33)</f>
        <v>0</v>
      </c>
    </row>
    <row r="36" spans="1:15" ht="27.75" x14ac:dyDescent="0.35">
      <c r="J36" s="61">
        <f>+A6</f>
        <v>2022</v>
      </c>
      <c r="K36" s="61" t="s">
        <v>354</v>
      </c>
      <c r="L36" s="67" t="s">
        <v>349</v>
      </c>
      <c r="M36" s="67" t="s">
        <v>355</v>
      </c>
      <c r="N36" s="67" t="s">
        <v>352</v>
      </c>
      <c r="O36" s="67" t="s">
        <v>356</v>
      </c>
    </row>
    <row r="37" spans="1:15" x14ac:dyDescent="0.35">
      <c r="J37" s="359" t="s">
        <v>188</v>
      </c>
      <c r="K37" s="66" t="s">
        <v>357</v>
      </c>
      <c r="L37" s="64"/>
      <c r="M37" s="64"/>
      <c r="N37" s="64"/>
      <c r="O37" s="64"/>
    </row>
    <row r="38" spans="1:15" x14ac:dyDescent="0.35">
      <c r="J38" s="359"/>
      <c r="K38" s="66" t="s">
        <v>358</v>
      </c>
      <c r="L38" s="64"/>
      <c r="M38" s="64"/>
      <c r="N38" s="64"/>
      <c r="O38" s="64"/>
    </row>
    <row r="39" spans="1:15" x14ac:dyDescent="0.35">
      <c r="J39" s="359"/>
      <c r="K39" s="66" t="s">
        <v>359</v>
      </c>
      <c r="L39" s="64"/>
      <c r="M39" s="64"/>
      <c r="N39" s="64"/>
      <c r="O39" s="64"/>
    </row>
    <row r="40" spans="1:15" x14ac:dyDescent="0.35">
      <c r="J40" s="359"/>
      <c r="K40" s="66" t="s">
        <v>361</v>
      </c>
      <c r="L40" s="64"/>
      <c r="M40" s="64"/>
      <c r="N40" s="64"/>
      <c r="O40" s="64"/>
    </row>
    <row r="41" spans="1:15" x14ac:dyDescent="0.35">
      <c r="J41" s="359"/>
      <c r="K41" s="66" t="s">
        <v>363</v>
      </c>
      <c r="L41" s="64"/>
      <c r="M41" s="64"/>
      <c r="N41" s="64"/>
      <c r="O41" s="64"/>
    </row>
    <row r="42" spans="1:15" x14ac:dyDescent="0.35">
      <c r="J42" s="359"/>
      <c r="K42" s="66" t="s">
        <v>364</v>
      </c>
      <c r="L42" s="64"/>
      <c r="M42" s="64"/>
      <c r="N42" s="64"/>
      <c r="O42" s="64"/>
    </row>
    <row r="43" spans="1:15" x14ac:dyDescent="0.35">
      <c r="J43" s="359"/>
      <c r="K43" s="66" t="s">
        <v>365</v>
      </c>
      <c r="L43" s="64"/>
      <c r="M43" s="64"/>
      <c r="N43" s="64"/>
      <c r="O43" s="64"/>
    </row>
    <row r="44" spans="1:15" x14ac:dyDescent="0.35">
      <c r="J44" s="359"/>
      <c r="K44" s="66" t="s">
        <v>367</v>
      </c>
      <c r="L44" s="64"/>
      <c r="M44" s="64"/>
      <c r="N44" s="64"/>
      <c r="O44" s="64"/>
    </row>
    <row r="45" spans="1:15" x14ac:dyDescent="0.35">
      <c r="J45" s="359"/>
      <c r="K45" s="66" t="s">
        <v>368</v>
      </c>
      <c r="L45" s="64"/>
      <c r="M45" s="64"/>
      <c r="N45" s="64"/>
      <c r="O45" s="64"/>
    </row>
    <row r="46" spans="1:15" x14ac:dyDescent="0.35">
      <c r="J46" s="359"/>
      <c r="K46" s="66" t="s">
        <v>369</v>
      </c>
      <c r="L46" s="64"/>
      <c r="M46" s="64"/>
      <c r="N46" s="64"/>
      <c r="O46" s="64"/>
    </row>
    <row r="47" spans="1:15" x14ac:dyDescent="0.35">
      <c r="J47" s="359"/>
      <c r="K47" s="66" t="s">
        <v>370</v>
      </c>
      <c r="L47" s="64"/>
      <c r="M47" s="64"/>
      <c r="N47" s="64"/>
      <c r="O47" s="64"/>
    </row>
    <row r="48" spans="1:15" ht="13.9" x14ac:dyDescent="0.35">
      <c r="A48" s="371" t="s">
        <v>267</v>
      </c>
      <c r="B48" s="372"/>
      <c r="C48" s="372"/>
      <c r="D48" s="372"/>
      <c r="E48" s="372"/>
      <c r="F48" s="372"/>
      <c r="G48" s="373"/>
      <c r="J48" s="359"/>
      <c r="K48" s="66" t="s">
        <v>371</v>
      </c>
      <c r="L48" s="64"/>
      <c r="M48" s="64"/>
      <c r="N48" s="64"/>
      <c r="O48" s="64"/>
    </row>
    <row r="49" spans="1:15" x14ac:dyDescent="0.35">
      <c r="A49" s="362"/>
      <c r="B49" s="363"/>
      <c r="C49" s="363"/>
      <c r="D49" s="363"/>
      <c r="E49" s="363"/>
      <c r="F49" s="363"/>
      <c r="G49" s="364"/>
      <c r="J49" s="359"/>
      <c r="K49" s="62" t="s">
        <v>372</v>
      </c>
      <c r="L49" s="62" t="e">
        <f>AVERAGE(L37:L48)</f>
        <v>#DIV/0!</v>
      </c>
      <c r="M49" s="62">
        <f>MAX(M37:M48)</f>
        <v>0</v>
      </c>
      <c r="N49" s="62" t="e">
        <f>AVERAGE(N37:N48)</f>
        <v>#DIV/0!</v>
      </c>
      <c r="O49" s="62">
        <f>MAX(O37:O48)</f>
        <v>0</v>
      </c>
    </row>
    <row r="50" spans="1:15" x14ac:dyDescent="0.35">
      <c r="A50" s="365"/>
      <c r="B50" s="366"/>
      <c r="C50" s="366"/>
      <c r="D50" s="366"/>
      <c r="E50" s="366"/>
      <c r="F50" s="366"/>
      <c r="G50" s="367"/>
    </row>
    <row r="51" spans="1:15" ht="27.75" x14ac:dyDescent="0.35">
      <c r="A51" s="365"/>
      <c r="B51" s="366"/>
      <c r="C51" s="366"/>
      <c r="D51" s="366"/>
      <c r="E51" s="366"/>
      <c r="F51" s="366"/>
      <c r="G51" s="367"/>
      <c r="J51" s="61">
        <f>+A6</f>
        <v>2022</v>
      </c>
      <c r="K51" s="61" t="s">
        <v>354</v>
      </c>
      <c r="L51" s="67" t="s">
        <v>349</v>
      </c>
      <c r="M51" s="67" t="s">
        <v>355</v>
      </c>
      <c r="N51" s="67" t="s">
        <v>352</v>
      </c>
      <c r="O51" s="67" t="s">
        <v>356</v>
      </c>
    </row>
    <row r="52" spans="1:15" x14ac:dyDescent="0.35">
      <c r="A52" s="368"/>
      <c r="B52" s="369"/>
      <c r="C52" s="369"/>
      <c r="D52" s="369"/>
      <c r="E52" s="369"/>
      <c r="F52" s="369"/>
      <c r="G52" s="370"/>
      <c r="J52" s="359" t="s">
        <v>189</v>
      </c>
      <c r="K52" s="66" t="s">
        <v>357</v>
      </c>
      <c r="L52" s="64"/>
      <c r="M52" s="64"/>
      <c r="N52" s="64"/>
      <c r="O52" s="64"/>
    </row>
    <row r="53" spans="1:15" x14ac:dyDescent="0.35">
      <c r="J53" s="359"/>
      <c r="K53" s="66" t="s">
        <v>358</v>
      </c>
      <c r="L53" s="64"/>
      <c r="M53" s="64"/>
      <c r="N53" s="64"/>
      <c r="O53" s="64"/>
    </row>
    <row r="54" spans="1:15" x14ac:dyDescent="0.35">
      <c r="J54" s="359"/>
      <c r="K54" s="66" t="s">
        <v>359</v>
      </c>
      <c r="L54" s="64"/>
      <c r="M54" s="64"/>
      <c r="N54" s="64"/>
      <c r="O54" s="64"/>
    </row>
    <row r="55" spans="1:15" x14ac:dyDescent="0.35">
      <c r="J55" s="359"/>
      <c r="K55" s="66" t="s">
        <v>361</v>
      </c>
      <c r="L55" s="64"/>
      <c r="M55" s="64"/>
      <c r="N55" s="64"/>
      <c r="O55" s="64"/>
    </row>
    <row r="56" spans="1:15" x14ac:dyDescent="0.35">
      <c r="J56" s="359"/>
      <c r="K56" s="66" t="s">
        <v>363</v>
      </c>
      <c r="L56" s="64"/>
      <c r="M56" s="64"/>
      <c r="N56" s="64"/>
      <c r="O56" s="64"/>
    </row>
    <row r="57" spans="1:15" x14ac:dyDescent="0.35">
      <c r="J57" s="359"/>
      <c r="K57" s="66" t="s">
        <v>364</v>
      </c>
      <c r="L57" s="64"/>
      <c r="M57" s="64"/>
      <c r="N57" s="64"/>
      <c r="O57" s="64"/>
    </row>
    <row r="58" spans="1:15" x14ac:dyDescent="0.35">
      <c r="J58" s="359"/>
      <c r="K58" s="66" t="s">
        <v>365</v>
      </c>
      <c r="L58" s="64"/>
      <c r="M58" s="64"/>
      <c r="N58" s="64"/>
      <c r="O58" s="64"/>
    </row>
    <row r="59" spans="1:15" x14ac:dyDescent="0.35">
      <c r="J59" s="359"/>
      <c r="K59" s="66" t="s">
        <v>367</v>
      </c>
      <c r="L59" s="64"/>
      <c r="M59" s="64"/>
      <c r="N59" s="64"/>
      <c r="O59" s="64"/>
    </row>
    <row r="60" spans="1:15" x14ac:dyDescent="0.35">
      <c r="J60" s="359"/>
      <c r="K60" s="66" t="s">
        <v>368</v>
      </c>
      <c r="L60" s="64"/>
      <c r="M60" s="64"/>
      <c r="N60" s="64"/>
      <c r="O60" s="64"/>
    </row>
    <row r="61" spans="1:15" x14ac:dyDescent="0.35">
      <c r="J61" s="359"/>
      <c r="K61" s="66" t="s">
        <v>369</v>
      </c>
      <c r="L61" s="64"/>
      <c r="M61" s="64"/>
      <c r="N61" s="64"/>
      <c r="O61" s="64"/>
    </row>
    <row r="62" spans="1:15" x14ac:dyDescent="0.35">
      <c r="J62" s="359"/>
      <c r="K62" s="66" t="s">
        <v>370</v>
      </c>
      <c r="L62" s="64"/>
      <c r="M62" s="64"/>
      <c r="N62" s="64"/>
      <c r="O62" s="64"/>
    </row>
    <row r="63" spans="1:15" x14ac:dyDescent="0.35">
      <c r="J63" s="359"/>
      <c r="K63" s="66" t="s">
        <v>371</v>
      </c>
      <c r="L63" s="64"/>
      <c r="M63" s="64"/>
      <c r="N63" s="64"/>
      <c r="O63" s="64"/>
    </row>
    <row r="64" spans="1:15" x14ac:dyDescent="0.35">
      <c r="J64" s="359"/>
      <c r="K64" s="62" t="s">
        <v>372</v>
      </c>
      <c r="L64" s="62" t="e">
        <f>AVERAGE(L52:L63)</f>
        <v>#DIV/0!</v>
      </c>
      <c r="M64" s="62">
        <f>MAX(M52:M63)</f>
        <v>0</v>
      </c>
      <c r="N64" s="62" t="e">
        <f>AVERAGE(N52:N63)</f>
        <v>#DIV/0!</v>
      </c>
      <c r="O64" s="62">
        <f>MAX(O52:O63)</f>
        <v>0</v>
      </c>
    </row>
    <row r="66" spans="10:15" ht="27.75" x14ac:dyDescent="0.35">
      <c r="J66" s="61">
        <f>+A6</f>
        <v>2022</v>
      </c>
      <c r="K66" s="61" t="s">
        <v>354</v>
      </c>
      <c r="L66" s="67" t="s">
        <v>349</v>
      </c>
      <c r="M66" s="67" t="s">
        <v>355</v>
      </c>
      <c r="N66" s="67" t="s">
        <v>352</v>
      </c>
      <c r="O66" s="67" t="s">
        <v>356</v>
      </c>
    </row>
    <row r="67" spans="10:15" x14ac:dyDescent="0.35">
      <c r="J67" s="359" t="s">
        <v>190</v>
      </c>
      <c r="K67" s="66" t="s">
        <v>357</v>
      </c>
      <c r="L67" s="64"/>
      <c r="M67" s="64"/>
      <c r="N67" s="64"/>
      <c r="O67" s="64"/>
    </row>
    <row r="68" spans="10:15" x14ac:dyDescent="0.35">
      <c r="J68" s="359"/>
      <c r="K68" s="66" t="s">
        <v>358</v>
      </c>
      <c r="L68" s="64"/>
      <c r="M68" s="64"/>
      <c r="N68" s="64"/>
      <c r="O68" s="64"/>
    </row>
    <row r="69" spans="10:15" x14ac:dyDescent="0.35">
      <c r="J69" s="359"/>
      <c r="K69" s="66" t="s">
        <v>359</v>
      </c>
      <c r="L69" s="64"/>
      <c r="M69" s="64"/>
      <c r="N69" s="64"/>
      <c r="O69" s="64"/>
    </row>
    <row r="70" spans="10:15" x14ac:dyDescent="0.35">
      <c r="J70" s="359"/>
      <c r="K70" s="66" t="s">
        <v>361</v>
      </c>
      <c r="L70" s="64"/>
      <c r="M70" s="64"/>
      <c r="N70" s="64"/>
      <c r="O70" s="64"/>
    </row>
    <row r="71" spans="10:15" x14ac:dyDescent="0.35">
      <c r="J71" s="359"/>
      <c r="K71" s="66" t="s">
        <v>363</v>
      </c>
      <c r="L71" s="64"/>
      <c r="M71" s="64"/>
      <c r="N71" s="64"/>
      <c r="O71" s="64"/>
    </row>
    <row r="72" spans="10:15" x14ac:dyDescent="0.35">
      <c r="J72" s="359"/>
      <c r="K72" s="66" t="s">
        <v>364</v>
      </c>
      <c r="L72" s="64"/>
      <c r="M72" s="64"/>
      <c r="N72" s="64"/>
      <c r="O72" s="64"/>
    </row>
    <row r="73" spans="10:15" x14ac:dyDescent="0.35">
      <c r="J73" s="359"/>
      <c r="K73" s="66" t="s">
        <v>365</v>
      </c>
      <c r="L73" s="64"/>
      <c r="M73" s="64"/>
      <c r="N73" s="64"/>
      <c r="O73" s="64"/>
    </row>
    <row r="74" spans="10:15" x14ac:dyDescent="0.35">
      <c r="J74" s="359"/>
      <c r="K74" s="66" t="s">
        <v>367</v>
      </c>
      <c r="L74" s="64"/>
      <c r="M74" s="64"/>
      <c r="N74" s="64"/>
      <c r="O74" s="64"/>
    </row>
    <row r="75" spans="10:15" x14ac:dyDescent="0.35">
      <c r="J75" s="359"/>
      <c r="K75" s="66" t="s">
        <v>368</v>
      </c>
      <c r="L75" s="64"/>
      <c r="M75" s="64"/>
      <c r="N75" s="64"/>
      <c r="O75" s="64"/>
    </row>
    <row r="76" spans="10:15" x14ac:dyDescent="0.35">
      <c r="J76" s="359"/>
      <c r="K76" s="66" t="s">
        <v>369</v>
      </c>
      <c r="L76" s="64"/>
      <c r="M76" s="64"/>
      <c r="N76" s="64"/>
      <c r="O76" s="64"/>
    </row>
    <row r="77" spans="10:15" x14ac:dyDescent="0.35">
      <c r="J77" s="359"/>
      <c r="K77" s="66" t="s">
        <v>370</v>
      </c>
      <c r="L77" s="64"/>
      <c r="M77" s="64"/>
      <c r="N77" s="64"/>
      <c r="O77" s="64"/>
    </row>
    <row r="78" spans="10:15" x14ac:dyDescent="0.35">
      <c r="J78" s="359"/>
      <c r="K78" s="66" t="s">
        <v>371</v>
      </c>
      <c r="L78" s="64"/>
      <c r="M78" s="64"/>
      <c r="N78" s="64"/>
      <c r="O78" s="64"/>
    </row>
    <row r="79" spans="10:15" x14ac:dyDescent="0.35">
      <c r="J79" s="359"/>
      <c r="K79" s="62" t="s">
        <v>372</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headerFooter scaleWithDoc="0">
    <oddFooter>&amp;C&amp;"Arial,Regular"Page &amp;P</oddFooter>
  </headerFooter>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showGridLines="0" zoomScaleNormal="100" workbookViewId="0">
      <selection activeCell="F7" sqref="F7:F18"/>
    </sheetView>
  </sheetViews>
  <sheetFormatPr defaultRowHeight="13.5" x14ac:dyDescent="0.35"/>
  <cols>
    <col min="1" max="1" width="14" style="3" customWidth="1"/>
    <col min="2" max="4" width="17" style="35" customWidth="1"/>
    <col min="5" max="5" width="14.73046875" style="35" customWidth="1"/>
    <col min="6" max="7" width="17" style="35" customWidth="1"/>
    <col min="8" max="11" width="9.265625" style="3"/>
    <col min="12" max="12" width="15.3984375" style="3" customWidth="1"/>
    <col min="13" max="13" width="17.3984375" style="3" bestFit="1" customWidth="1"/>
    <col min="14" max="14" width="13.73046875" style="3" customWidth="1"/>
    <col min="15" max="15" width="15" style="3" customWidth="1"/>
    <col min="16" max="18" width="9.265625" style="3"/>
    <col min="19" max="19" width="21.59765625" style="3" customWidth="1"/>
    <col min="20" max="256" width="9.265625" style="3"/>
    <col min="257" max="257" width="14" style="3" customWidth="1"/>
    <col min="258" max="263" width="10.265625" style="3" customWidth="1"/>
    <col min="264" max="512" width="9.265625" style="3"/>
    <col min="513" max="513" width="14" style="3" customWidth="1"/>
    <col min="514" max="519" width="10.265625" style="3" customWidth="1"/>
    <col min="520" max="768" width="9.265625" style="3"/>
    <col min="769" max="769" width="14" style="3" customWidth="1"/>
    <col min="770" max="775" width="10.265625" style="3" customWidth="1"/>
    <col min="776" max="1024" width="9.265625" style="3"/>
    <col min="1025" max="1025" width="14" style="3" customWidth="1"/>
    <col min="1026" max="1031" width="10.265625" style="3" customWidth="1"/>
    <col min="1032" max="1280" width="9.265625" style="3"/>
    <col min="1281" max="1281" width="14" style="3" customWidth="1"/>
    <col min="1282" max="1287" width="10.265625" style="3" customWidth="1"/>
    <col min="1288" max="1536" width="9.265625" style="3"/>
    <col min="1537" max="1537" width="14" style="3" customWidth="1"/>
    <col min="1538" max="1543" width="10.265625" style="3" customWidth="1"/>
    <col min="1544" max="1792" width="9.265625" style="3"/>
    <col min="1793" max="1793" width="14" style="3" customWidth="1"/>
    <col min="1794" max="1799" width="10.265625" style="3" customWidth="1"/>
    <col min="1800" max="2048" width="9.265625" style="3"/>
    <col min="2049" max="2049" width="14" style="3" customWidth="1"/>
    <col min="2050" max="2055" width="10.265625" style="3" customWidth="1"/>
    <col min="2056" max="2304" width="9.265625" style="3"/>
    <col min="2305" max="2305" width="14" style="3" customWidth="1"/>
    <col min="2306" max="2311" width="10.265625" style="3" customWidth="1"/>
    <col min="2312" max="2560" width="9.265625" style="3"/>
    <col min="2561" max="2561" width="14" style="3" customWidth="1"/>
    <col min="2562" max="2567" width="10.265625" style="3" customWidth="1"/>
    <col min="2568" max="2816" width="9.265625" style="3"/>
    <col min="2817" max="2817" width="14" style="3" customWidth="1"/>
    <col min="2818" max="2823" width="10.265625" style="3" customWidth="1"/>
    <col min="2824" max="3072" width="9.265625" style="3"/>
    <col min="3073" max="3073" width="14" style="3" customWidth="1"/>
    <col min="3074" max="3079" width="10.265625" style="3" customWidth="1"/>
    <col min="3080" max="3328" width="9.265625" style="3"/>
    <col min="3329" max="3329" width="14" style="3" customWidth="1"/>
    <col min="3330" max="3335" width="10.265625" style="3" customWidth="1"/>
    <col min="3336" max="3584" width="9.265625" style="3"/>
    <col min="3585" max="3585" width="14" style="3" customWidth="1"/>
    <col min="3586" max="3591" width="10.265625" style="3" customWidth="1"/>
    <col min="3592" max="3840" width="9.265625" style="3"/>
    <col min="3841" max="3841" width="14" style="3" customWidth="1"/>
    <col min="3842" max="3847" width="10.265625" style="3" customWidth="1"/>
    <col min="3848" max="4096" width="9.265625" style="3"/>
    <col min="4097" max="4097" width="14" style="3" customWidth="1"/>
    <col min="4098" max="4103" width="10.265625" style="3" customWidth="1"/>
    <col min="4104" max="4352" width="9.265625" style="3"/>
    <col min="4353" max="4353" width="14" style="3" customWidth="1"/>
    <col min="4354" max="4359" width="10.265625" style="3" customWidth="1"/>
    <col min="4360" max="4608" width="9.265625" style="3"/>
    <col min="4609" max="4609" width="14" style="3" customWidth="1"/>
    <col min="4610" max="4615" width="10.265625" style="3" customWidth="1"/>
    <col min="4616" max="4864" width="9.265625" style="3"/>
    <col min="4865" max="4865" width="14" style="3" customWidth="1"/>
    <col min="4866" max="4871" width="10.265625" style="3" customWidth="1"/>
    <col min="4872" max="5120" width="9.265625" style="3"/>
    <col min="5121" max="5121" width="14" style="3" customWidth="1"/>
    <col min="5122" max="5127" width="10.265625" style="3" customWidth="1"/>
    <col min="5128" max="5376" width="9.265625" style="3"/>
    <col min="5377" max="5377" width="14" style="3" customWidth="1"/>
    <col min="5378" max="5383" width="10.265625" style="3" customWidth="1"/>
    <col min="5384" max="5632" width="9.265625" style="3"/>
    <col min="5633" max="5633" width="14" style="3" customWidth="1"/>
    <col min="5634" max="5639" width="10.265625" style="3" customWidth="1"/>
    <col min="5640" max="5888" width="9.265625" style="3"/>
    <col min="5889" max="5889" width="14" style="3" customWidth="1"/>
    <col min="5890" max="5895" width="10.265625" style="3" customWidth="1"/>
    <col min="5896" max="6144" width="9.265625" style="3"/>
    <col min="6145" max="6145" width="14" style="3" customWidth="1"/>
    <col min="6146" max="6151" width="10.265625" style="3" customWidth="1"/>
    <col min="6152" max="6400" width="9.265625" style="3"/>
    <col min="6401" max="6401" width="14" style="3" customWidth="1"/>
    <col min="6402" max="6407" width="10.265625" style="3" customWidth="1"/>
    <col min="6408" max="6656" width="9.265625" style="3"/>
    <col min="6657" max="6657" width="14" style="3" customWidth="1"/>
    <col min="6658" max="6663" width="10.265625" style="3" customWidth="1"/>
    <col min="6664" max="6912" width="9.265625" style="3"/>
    <col min="6913" max="6913" width="14" style="3" customWidth="1"/>
    <col min="6914" max="6919" width="10.265625" style="3" customWidth="1"/>
    <col min="6920" max="7168" width="9.265625" style="3"/>
    <col min="7169" max="7169" width="14" style="3" customWidth="1"/>
    <col min="7170" max="7175" width="10.265625" style="3" customWidth="1"/>
    <col min="7176" max="7424" width="9.265625" style="3"/>
    <col min="7425" max="7425" width="14" style="3" customWidth="1"/>
    <col min="7426" max="7431" width="10.265625" style="3" customWidth="1"/>
    <col min="7432" max="7680" width="9.265625" style="3"/>
    <col min="7681" max="7681" width="14" style="3" customWidth="1"/>
    <col min="7682" max="7687" width="10.265625" style="3" customWidth="1"/>
    <col min="7688" max="7936" width="9.265625" style="3"/>
    <col min="7937" max="7937" width="14" style="3" customWidth="1"/>
    <col min="7938" max="7943" width="10.265625" style="3" customWidth="1"/>
    <col min="7944" max="8192" width="9.265625" style="3"/>
    <col min="8193" max="8193" width="14" style="3" customWidth="1"/>
    <col min="8194" max="8199" width="10.265625" style="3" customWidth="1"/>
    <col min="8200" max="8448" width="9.265625" style="3"/>
    <col min="8449" max="8449" width="14" style="3" customWidth="1"/>
    <col min="8450" max="8455" width="10.265625" style="3" customWidth="1"/>
    <col min="8456" max="8704" width="9.265625" style="3"/>
    <col min="8705" max="8705" width="14" style="3" customWidth="1"/>
    <col min="8706" max="8711" width="10.265625" style="3" customWidth="1"/>
    <col min="8712" max="8960" width="9.265625" style="3"/>
    <col min="8961" max="8961" width="14" style="3" customWidth="1"/>
    <col min="8962" max="8967" width="10.265625" style="3" customWidth="1"/>
    <col min="8968" max="9216" width="9.265625" style="3"/>
    <col min="9217" max="9217" width="14" style="3" customWidth="1"/>
    <col min="9218" max="9223" width="10.265625" style="3" customWidth="1"/>
    <col min="9224" max="9472" width="9.265625" style="3"/>
    <col min="9473" max="9473" width="14" style="3" customWidth="1"/>
    <col min="9474" max="9479" width="10.265625" style="3" customWidth="1"/>
    <col min="9480" max="9728" width="9.265625" style="3"/>
    <col min="9729" max="9729" width="14" style="3" customWidth="1"/>
    <col min="9730" max="9735" width="10.265625" style="3" customWidth="1"/>
    <col min="9736" max="9984" width="9.265625" style="3"/>
    <col min="9985" max="9985" width="14" style="3" customWidth="1"/>
    <col min="9986" max="9991" width="10.265625" style="3" customWidth="1"/>
    <col min="9992" max="10240" width="9.265625" style="3"/>
    <col min="10241" max="10241" width="14" style="3" customWidth="1"/>
    <col min="10242" max="10247" width="10.265625" style="3" customWidth="1"/>
    <col min="10248" max="10496" width="9.265625" style="3"/>
    <col min="10497" max="10497" width="14" style="3" customWidth="1"/>
    <col min="10498" max="10503" width="10.265625" style="3" customWidth="1"/>
    <col min="10504" max="10752" width="9.265625" style="3"/>
    <col min="10753" max="10753" width="14" style="3" customWidth="1"/>
    <col min="10754" max="10759" width="10.265625" style="3" customWidth="1"/>
    <col min="10760" max="11008" width="9.265625" style="3"/>
    <col min="11009" max="11009" width="14" style="3" customWidth="1"/>
    <col min="11010" max="11015" width="10.265625" style="3" customWidth="1"/>
    <col min="11016" max="11264" width="9.265625" style="3"/>
    <col min="11265" max="11265" width="14" style="3" customWidth="1"/>
    <col min="11266" max="11271" width="10.265625" style="3" customWidth="1"/>
    <col min="11272" max="11520" width="9.265625" style="3"/>
    <col min="11521" max="11521" width="14" style="3" customWidth="1"/>
    <col min="11522" max="11527" width="10.265625" style="3" customWidth="1"/>
    <col min="11528" max="11776" width="9.265625" style="3"/>
    <col min="11777" max="11777" width="14" style="3" customWidth="1"/>
    <col min="11778" max="11783" width="10.265625" style="3" customWidth="1"/>
    <col min="11784" max="12032" width="9.265625" style="3"/>
    <col min="12033" max="12033" width="14" style="3" customWidth="1"/>
    <col min="12034" max="12039" width="10.265625" style="3" customWidth="1"/>
    <col min="12040" max="12288" width="9.265625" style="3"/>
    <col min="12289" max="12289" width="14" style="3" customWidth="1"/>
    <col min="12290" max="12295" width="10.265625" style="3" customWidth="1"/>
    <col min="12296" max="12544" width="9.265625" style="3"/>
    <col min="12545" max="12545" width="14" style="3" customWidth="1"/>
    <col min="12546" max="12551" width="10.265625" style="3" customWidth="1"/>
    <col min="12552" max="12800" width="9.265625" style="3"/>
    <col min="12801" max="12801" width="14" style="3" customWidth="1"/>
    <col min="12802" max="12807" width="10.265625" style="3" customWidth="1"/>
    <col min="12808" max="13056" width="9.265625" style="3"/>
    <col min="13057" max="13057" width="14" style="3" customWidth="1"/>
    <col min="13058" max="13063" width="10.265625" style="3" customWidth="1"/>
    <col min="13064" max="13312" width="9.265625" style="3"/>
    <col min="13313" max="13313" width="14" style="3" customWidth="1"/>
    <col min="13314" max="13319" width="10.265625" style="3" customWidth="1"/>
    <col min="13320" max="13568" width="9.265625" style="3"/>
    <col min="13569" max="13569" width="14" style="3" customWidth="1"/>
    <col min="13570" max="13575" width="10.265625" style="3" customWidth="1"/>
    <col min="13576" max="13824" width="9.265625" style="3"/>
    <col min="13825" max="13825" width="14" style="3" customWidth="1"/>
    <col min="13826" max="13831" width="10.265625" style="3" customWidth="1"/>
    <col min="13832" max="14080" width="9.265625" style="3"/>
    <col min="14081" max="14081" width="14" style="3" customWidth="1"/>
    <col min="14082" max="14087" width="10.265625" style="3" customWidth="1"/>
    <col min="14088" max="14336" width="9.265625" style="3"/>
    <col min="14337" max="14337" width="14" style="3" customWidth="1"/>
    <col min="14338" max="14343" width="10.265625" style="3" customWidth="1"/>
    <col min="14344" max="14592" width="9.265625" style="3"/>
    <col min="14593" max="14593" width="14" style="3" customWidth="1"/>
    <col min="14594" max="14599" width="10.265625" style="3" customWidth="1"/>
    <col min="14600" max="14848" width="9.265625" style="3"/>
    <col min="14849" max="14849" width="14" style="3" customWidth="1"/>
    <col min="14850" max="14855" width="10.265625" style="3" customWidth="1"/>
    <col min="14856" max="15104" width="9.265625" style="3"/>
    <col min="15105" max="15105" width="14" style="3" customWidth="1"/>
    <col min="15106" max="15111" width="10.265625" style="3" customWidth="1"/>
    <col min="15112" max="15360" width="9.265625" style="3"/>
    <col min="15361" max="15361" width="14" style="3" customWidth="1"/>
    <col min="15362" max="15367" width="10.265625" style="3" customWidth="1"/>
    <col min="15368" max="15616" width="9.265625" style="3"/>
    <col min="15617" max="15617" width="14" style="3" customWidth="1"/>
    <col min="15618" max="15623" width="10.265625" style="3" customWidth="1"/>
    <col min="15624" max="15872" width="9.265625" style="3"/>
    <col min="15873" max="15873" width="14" style="3" customWidth="1"/>
    <col min="15874" max="15879" width="10.265625" style="3" customWidth="1"/>
    <col min="15880" max="16128" width="9.265625" style="3"/>
    <col min="16129" max="16129" width="14" style="3" customWidth="1"/>
    <col min="16130" max="16135" width="10.265625" style="3" customWidth="1"/>
    <col min="16136" max="16384" width="9.265625" style="3"/>
  </cols>
  <sheetData>
    <row r="1" spans="1:19" ht="15" x14ac:dyDescent="0.4">
      <c r="A1" s="93" t="str">
        <f>+'Cover Page'!$B$29</f>
        <v>Annual Performance Report 2022</v>
      </c>
      <c r="B1" s="93"/>
      <c r="C1" s="93"/>
      <c r="D1" s="93"/>
      <c r="E1" s="93" t="str">
        <f>+'Cover Page'!$B$33</f>
        <v>EQUANS FM Ltd</v>
      </c>
      <c r="F1" s="93"/>
    </row>
    <row r="3" spans="1:19" ht="13.9" x14ac:dyDescent="0.4">
      <c r="A3" s="60" t="s">
        <v>376</v>
      </c>
      <c r="D3" s="76" t="s">
        <v>341</v>
      </c>
      <c r="G3" s="80" t="s">
        <v>342</v>
      </c>
      <c r="J3" s="9" t="str">
        <f>+A3</f>
        <v>Monitoring of Oxides of Nitrogen emissions</v>
      </c>
      <c r="L3" s="9"/>
      <c r="N3" s="9" t="s">
        <v>343</v>
      </c>
      <c r="Q3" s="79" t="s">
        <v>3</v>
      </c>
      <c r="R3" s="74"/>
      <c r="S3" s="74"/>
    </row>
    <row r="4" spans="1:19" ht="14.1" customHeight="1" x14ac:dyDescent="0.35">
      <c r="Q4" s="350" t="s">
        <v>344</v>
      </c>
      <c r="R4" s="350"/>
      <c r="S4" s="350"/>
    </row>
    <row r="5" spans="1:19" ht="15.75" x14ac:dyDescent="0.4">
      <c r="A5" s="68" t="s">
        <v>345</v>
      </c>
      <c r="B5" s="361" t="s">
        <v>346</v>
      </c>
      <c r="C5" s="361"/>
      <c r="D5" s="361"/>
      <c r="E5" s="361" t="s">
        <v>347</v>
      </c>
      <c r="F5" s="361"/>
      <c r="G5" s="361"/>
      <c r="J5" s="360"/>
      <c r="K5" s="360"/>
      <c r="L5" s="360"/>
      <c r="M5" s="360"/>
      <c r="N5" s="360"/>
      <c r="O5" s="360"/>
      <c r="Q5" s="350"/>
      <c r="R5" s="350"/>
      <c r="S5" s="350"/>
    </row>
    <row r="6" spans="1:19" s="58" customFormat="1" ht="37.5" customHeight="1" x14ac:dyDescent="0.45">
      <c r="A6" s="65">
        <f>+'Cover Page'!C39</f>
        <v>2022</v>
      </c>
      <c r="B6" s="55" t="s">
        <v>377</v>
      </c>
      <c r="C6" s="55" t="s">
        <v>349</v>
      </c>
      <c r="D6" s="55" t="s">
        <v>350</v>
      </c>
      <c r="E6" s="55" t="s">
        <v>378</v>
      </c>
      <c r="F6" s="55" t="s">
        <v>352</v>
      </c>
      <c r="G6" s="55" t="s">
        <v>353</v>
      </c>
      <c r="H6" s="59"/>
      <c r="J6" s="61">
        <f>+A6</f>
        <v>2022</v>
      </c>
      <c r="K6" s="61" t="s">
        <v>354</v>
      </c>
      <c r="L6" s="67" t="s">
        <v>349</v>
      </c>
      <c r="M6" s="67" t="s">
        <v>355</v>
      </c>
      <c r="N6" s="67" t="s">
        <v>352</v>
      </c>
      <c r="O6" s="67" t="s">
        <v>356</v>
      </c>
      <c r="Q6" s="350"/>
      <c r="R6" s="350"/>
      <c r="S6" s="350"/>
    </row>
    <row r="7" spans="1:19" x14ac:dyDescent="0.35">
      <c r="A7" s="66" t="s">
        <v>357</v>
      </c>
      <c r="B7" s="63">
        <v>600</v>
      </c>
      <c r="C7" s="177">
        <v>228.73</v>
      </c>
      <c r="D7" s="64">
        <v>370</v>
      </c>
      <c r="E7" s="63">
        <v>300</v>
      </c>
      <c r="F7" s="177">
        <v>228.73</v>
      </c>
      <c r="G7" s="64">
        <v>268</v>
      </c>
      <c r="J7" s="359" t="s">
        <v>186</v>
      </c>
      <c r="K7" s="66" t="s">
        <v>357</v>
      </c>
      <c r="L7" s="64"/>
      <c r="M7" s="64"/>
      <c r="N7" s="64"/>
      <c r="O7" s="64"/>
      <c r="Q7" s="350"/>
      <c r="R7" s="350"/>
      <c r="S7" s="350"/>
    </row>
    <row r="8" spans="1:19" x14ac:dyDescent="0.35">
      <c r="A8" s="66" t="s">
        <v>358</v>
      </c>
      <c r="B8" s="63">
        <v>600</v>
      </c>
      <c r="C8" s="177">
        <v>233.18</v>
      </c>
      <c r="D8" s="64">
        <v>372</v>
      </c>
      <c r="E8" s="63">
        <v>300</v>
      </c>
      <c r="F8" s="177">
        <v>233.18</v>
      </c>
      <c r="G8" s="64">
        <v>268</v>
      </c>
      <c r="J8" s="359"/>
      <c r="K8" s="66" t="s">
        <v>358</v>
      </c>
      <c r="L8" s="64"/>
      <c r="M8" s="64"/>
      <c r="N8" s="64"/>
      <c r="O8" s="64"/>
      <c r="Q8" s="350"/>
      <c r="R8" s="350"/>
      <c r="S8" s="350"/>
    </row>
    <row r="9" spans="1:19" ht="13.9" x14ac:dyDescent="0.4">
      <c r="A9" s="66" t="s">
        <v>359</v>
      </c>
      <c r="B9" s="63">
        <v>600</v>
      </c>
      <c r="C9" s="177">
        <v>240.52</v>
      </c>
      <c r="D9" s="64">
        <v>398</v>
      </c>
      <c r="E9" s="63">
        <v>300</v>
      </c>
      <c r="F9" s="177">
        <v>240.52</v>
      </c>
      <c r="G9" s="64">
        <v>276</v>
      </c>
      <c r="J9" s="359"/>
      <c r="K9" s="66" t="s">
        <v>359</v>
      </c>
      <c r="L9" s="64"/>
      <c r="M9" s="64"/>
      <c r="N9" s="64"/>
      <c r="O9" s="64"/>
      <c r="Q9" s="78" t="s">
        <v>360</v>
      </c>
    </row>
    <row r="10" spans="1:19" ht="14.25" customHeight="1" x14ac:dyDescent="0.35">
      <c r="A10" s="66" t="s">
        <v>361</v>
      </c>
      <c r="B10" s="63">
        <v>600</v>
      </c>
      <c r="C10" s="177">
        <v>251.7</v>
      </c>
      <c r="D10" s="64">
        <v>383</v>
      </c>
      <c r="E10" s="63">
        <v>300</v>
      </c>
      <c r="F10" s="177">
        <v>251.7</v>
      </c>
      <c r="G10" s="64">
        <v>278</v>
      </c>
      <c r="J10" s="359"/>
      <c r="K10" s="66" t="s">
        <v>361</v>
      </c>
      <c r="L10" s="64"/>
      <c r="M10" s="64"/>
      <c r="N10" s="64"/>
      <c r="O10" s="64"/>
      <c r="Q10" s="358" t="s">
        <v>362</v>
      </c>
      <c r="R10" s="358"/>
      <c r="S10" s="358"/>
    </row>
    <row r="11" spans="1:19" x14ac:dyDescent="0.35">
      <c r="A11" s="66" t="s">
        <v>363</v>
      </c>
      <c r="B11" s="63">
        <v>600</v>
      </c>
      <c r="C11" s="177">
        <v>253.15</v>
      </c>
      <c r="D11" s="64">
        <v>336</v>
      </c>
      <c r="E11" s="63">
        <v>300</v>
      </c>
      <c r="F11" s="177">
        <v>253.15</v>
      </c>
      <c r="G11" s="64">
        <v>277</v>
      </c>
      <c r="J11" s="359"/>
      <c r="K11" s="66" t="s">
        <v>363</v>
      </c>
      <c r="L11" s="64"/>
      <c r="M11" s="64"/>
      <c r="N11" s="64"/>
      <c r="O11" s="64"/>
      <c r="Q11" s="358"/>
      <c r="R11" s="358"/>
      <c r="S11" s="358"/>
    </row>
    <row r="12" spans="1:19" x14ac:dyDescent="0.35">
      <c r="A12" s="66" t="s">
        <v>364</v>
      </c>
      <c r="B12" s="63">
        <v>600</v>
      </c>
      <c r="C12" s="177">
        <v>224.64</v>
      </c>
      <c r="D12" s="64">
        <v>332</v>
      </c>
      <c r="E12" s="63">
        <v>300</v>
      </c>
      <c r="F12" s="177">
        <v>224.64</v>
      </c>
      <c r="G12" s="64">
        <v>261</v>
      </c>
      <c r="J12" s="359"/>
      <c r="K12" s="66" t="s">
        <v>364</v>
      </c>
      <c r="L12" s="64"/>
      <c r="M12" s="64"/>
      <c r="N12" s="64"/>
      <c r="O12" s="64"/>
      <c r="Q12" s="358"/>
      <c r="R12" s="358"/>
      <c r="S12" s="358"/>
    </row>
    <row r="13" spans="1:19" ht="14.25" customHeight="1" x14ac:dyDescent="0.35">
      <c r="A13" s="66" t="s">
        <v>365</v>
      </c>
      <c r="B13" s="63">
        <v>600</v>
      </c>
      <c r="C13" s="177">
        <v>0</v>
      </c>
      <c r="D13" s="64">
        <v>0</v>
      </c>
      <c r="E13" s="63">
        <v>300</v>
      </c>
      <c r="F13" s="177">
        <v>0</v>
      </c>
      <c r="G13" s="64">
        <v>0</v>
      </c>
      <c r="J13" s="359"/>
      <c r="K13" s="66" t="s">
        <v>365</v>
      </c>
      <c r="L13" s="64"/>
      <c r="M13" s="64"/>
      <c r="N13" s="64"/>
      <c r="O13" s="64"/>
      <c r="Q13" s="358" t="s">
        <v>366</v>
      </c>
      <c r="R13" s="358"/>
      <c r="S13" s="358"/>
    </row>
    <row r="14" spans="1:19" x14ac:dyDescent="0.35">
      <c r="A14" s="66" t="s">
        <v>367</v>
      </c>
      <c r="B14" s="63">
        <v>600</v>
      </c>
      <c r="C14" s="177">
        <v>238.38</v>
      </c>
      <c r="D14" s="64">
        <v>374</v>
      </c>
      <c r="E14" s="63">
        <v>300</v>
      </c>
      <c r="F14" s="177">
        <v>238.38</v>
      </c>
      <c r="G14" s="64">
        <v>273</v>
      </c>
      <c r="J14" s="359"/>
      <c r="K14" s="66" t="s">
        <v>367</v>
      </c>
      <c r="L14" s="64"/>
      <c r="M14" s="64"/>
      <c r="N14" s="64"/>
      <c r="O14" s="64"/>
      <c r="Q14" s="358"/>
      <c r="R14" s="358"/>
      <c r="S14" s="358"/>
    </row>
    <row r="15" spans="1:19" x14ac:dyDescent="0.35">
      <c r="A15" s="66" t="s">
        <v>368</v>
      </c>
      <c r="B15" s="63">
        <v>600</v>
      </c>
      <c r="C15" s="177">
        <v>248.07</v>
      </c>
      <c r="D15" s="64">
        <v>350</v>
      </c>
      <c r="E15" s="63">
        <v>300</v>
      </c>
      <c r="F15" s="177">
        <v>248.07</v>
      </c>
      <c r="G15" s="64">
        <v>278</v>
      </c>
      <c r="J15" s="359"/>
      <c r="K15" s="66" t="s">
        <v>368</v>
      </c>
      <c r="L15" s="64"/>
      <c r="M15" s="64"/>
      <c r="N15" s="64"/>
      <c r="O15" s="64"/>
      <c r="Q15" s="358"/>
      <c r="R15" s="358"/>
      <c r="S15" s="358"/>
    </row>
    <row r="16" spans="1:19" x14ac:dyDescent="0.35">
      <c r="A16" s="66" t="s">
        <v>369</v>
      </c>
      <c r="B16" s="63">
        <v>600</v>
      </c>
      <c r="C16" s="177">
        <v>246.64</v>
      </c>
      <c r="D16" s="64">
        <v>345</v>
      </c>
      <c r="E16" s="63">
        <v>300</v>
      </c>
      <c r="F16" s="177">
        <v>246.64</v>
      </c>
      <c r="G16" s="64">
        <v>277</v>
      </c>
      <c r="J16" s="359"/>
      <c r="K16" s="66" t="s">
        <v>369</v>
      </c>
      <c r="L16" s="64"/>
      <c r="M16" s="64"/>
      <c r="N16" s="64"/>
      <c r="O16" s="64"/>
      <c r="Q16" s="358"/>
      <c r="R16" s="358"/>
      <c r="S16" s="358"/>
    </row>
    <row r="17" spans="1:15" x14ac:dyDescent="0.35">
      <c r="A17" s="66" t="s">
        <v>370</v>
      </c>
      <c r="B17" s="63">
        <v>600</v>
      </c>
      <c r="C17" s="177">
        <v>223.96</v>
      </c>
      <c r="D17" s="64">
        <v>324</v>
      </c>
      <c r="E17" s="63">
        <v>300</v>
      </c>
      <c r="F17" s="177">
        <v>223.96</v>
      </c>
      <c r="G17" s="64">
        <v>255</v>
      </c>
      <c r="J17" s="359"/>
      <c r="K17" s="66" t="s">
        <v>370</v>
      </c>
      <c r="L17" s="64"/>
      <c r="M17" s="64"/>
      <c r="N17" s="64"/>
      <c r="O17" s="64"/>
    </row>
    <row r="18" spans="1:15" x14ac:dyDescent="0.35">
      <c r="A18" s="66" t="s">
        <v>371</v>
      </c>
      <c r="B18" s="63">
        <v>600</v>
      </c>
      <c r="C18" s="177">
        <v>232.58</v>
      </c>
      <c r="D18" s="64">
        <v>388</v>
      </c>
      <c r="E18" s="63">
        <v>300</v>
      </c>
      <c r="F18" s="177">
        <v>232.58</v>
      </c>
      <c r="G18" s="64">
        <v>273</v>
      </c>
      <c r="J18" s="359"/>
      <c r="K18" s="66" t="s">
        <v>371</v>
      </c>
      <c r="L18" s="64"/>
      <c r="M18" s="64"/>
      <c r="N18" s="64"/>
      <c r="O18" s="64"/>
    </row>
    <row r="19" spans="1:15" x14ac:dyDescent="0.35">
      <c r="J19" s="359"/>
      <c r="K19" s="62" t="s">
        <v>372</v>
      </c>
      <c r="L19" s="62" t="e">
        <f>AVERAGE(L7:L18)</f>
        <v>#DIV/0!</v>
      </c>
      <c r="M19" s="62">
        <f>MAX(M7:M18)</f>
        <v>0</v>
      </c>
      <c r="N19" s="62" t="e">
        <f>AVERAGE(N7:N18)</f>
        <v>#DIV/0!</v>
      </c>
      <c r="O19" s="62">
        <f>MAX(O7:O18)</f>
        <v>0</v>
      </c>
    </row>
    <row r="21" spans="1:15" ht="27.75" x14ac:dyDescent="0.35">
      <c r="J21" s="61">
        <f>+A6</f>
        <v>2022</v>
      </c>
      <c r="K21" s="61" t="s">
        <v>354</v>
      </c>
      <c r="L21" s="67" t="s">
        <v>349</v>
      </c>
      <c r="M21" s="67" t="s">
        <v>355</v>
      </c>
      <c r="N21" s="67" t="s">
        <v>352</v>
      </c>
      <c r="O21" s="67" t="s">
        <v>356</v>
      </c>
    </row>
    <row r="22" spans="1:15" x14ac:dyDescent="0.35">
      <c r="J22" s="359" t="s">
        <v>187</v>
      </c>
      <c r="K22" s="66" t="s">
        <v>357</v>
      </c>
      <c r="L22" s="64"/>
      <c r="M22" s="64"/>
      <c r="N22" s="64"/>
      <c r="O22" s="64"/>
    </row>
    <row r="23" spans="1:15" x14ac:dyDescent="0.35">
      <c r="J23" s="359"/>
      <c r="K23" s="66" t="s">
        <v>358</v>
      </c>
      <c r="L23" s="64"/>
      <c r="M23" s="64"/>
      <c r="N23" s="64"/>
      <c r="O23" s="64"/>
    </row>
    <row r="24" spans="1:15" x14ac:dyDescent="0.35">
      <c r="J24" s="359"/>
      <c r="K24" s="66" t="s">
        <v>359</v>
      </c>
      <c r="L24" s="64"/>
      <c r="M24" s="64"/>
      <c r="N24" s="64"/>
      <c r="O24" s="64"/>
    </row>
    <row r="25" spans="1:15" x14ac:dyDescent="0.35">
      <c r="J25" s="359"/>
      <c r="K25" s="66" t="s">
        <v>361</v>
      </c>
      <c r="L25" s="64"/>
      <c r="M25" s="64"/>
      <c r="N25" s="64"/>
      <c r="O25" s="64"/>
    </row>
    <row r="26" spans="1:15" x14ac:dyDescent="0.35">
      <c r="J26" s="359"/>
      <c r="K26" s="66" t="s">
        <v>363</v>
      </c>
      <c r="L26" s="64"/>
      <c r="M26" s="64"/>
      <c r="N26" s="64"/>
      <c r="O26" s="64"/>
    </row>
    <row r="27" spans="1:15" x14ac:dyDescent="0.35">
      <c r="J27" s="359"/>
      <c r="K27" s="66" t="s">
        <v>364</v>
      </c>
      <c r="L27" s="64"/>
      <c r="M27" s="64"/>
      <c r="N27" s="64"/>
      <c r="O27" s="64"/>
    </row>
    <row r="28" spans="1:15" x14ac:dyDescent="0.35">
      <c r="J28" s="359"/>
      <c r="K28" s="66" t="s">
        <v>365</v>
      </c>
      <c r="L28" s="64"/>
      <c r="M28" s="64"/>
      <c r="N28" s="64"/>
      <c r="O28" s="64"/>
    </row>
    <row r="29" spans="1:15" x14ac:dyDescent="0.35">
      <c r="J29" s="359"/>
      <c r="K29" s="66" t="s">
        <v>367</v>
      </c>
      <c r="L29" s="64"/>
      <c r="M29" s="64"/>
      <c r="N29" s="64"/>
      <c r="O29" s="64"/>
    </row>
    <row r="30" spans="1:15" x14ac:dyDescent="0.35">
      <c r="J30" s="359"/>
      <c r="K30" s="66" t="s">
        <v>368</v>
      </c>
      <c r="L30" s="64"/>
      <c r="M30" s="64"/>
      <c r="N30" s="64"/>
      <c r="O30" s="64"/>
    </row>
    <row r="31" spans="1:15" x14ac:dyDescent="0.35">
      <c r="J31" s="359"/>
      <c r="K31" s="66" t="s">
        <v>369</v>
      </c>
      <c r="L31" s="64"/>
      <c r="M31" s="64"/>
      <c r="N31" s="64"/>
      <c r="O31" s="64"/>
    </row>
    <row r="32" spans="1:15" x14ac:dyDescent="0.35">
      <c r="J32" s="359"/>
      <c r="K32" s="66" t="s">
        <v>370</v>
      </c>
      <c r="L32" s="64"/>
      <c r="M32" s="64"/>
      <c r="N32" s="64"/>
      <c r="O32" s="64"/>
    </row>
    <row r="33" spans="1:15" x14ac:dyDescent="0.35">
      <c r="J33" s="359"/>
      <c r="K33" s="66" t="s">
        <v>371</v>
      </c>
      <c r="L33" s="64"/>
      <c r="M33" s="64"/>
      <c r="N33" s="64"/>
      <c r="O33" s="64"/>
    </row>
    <row r="34" spans="1:15" x14ac:dyDescent="0.35">
      <c r="J34" s="359"/>
      <c r="K34" s="62" t="s">
        <v>372</v>
      </c>
      <c r="L34" s="62" t="e">
        <f>AVERAGE(L22:L33)</f>
        <v>#DIV/0!</v>
      </c>
      <c r="M34" s="62">
        <f>MAX(M22:M33)</f>
        <v>0</v>
      </c>
      <c r="N34" s="62" t="e">
        <f>AVERAGE(N22:N33)</f>
        <v>#DIV/0!</v>
      </c>
      <c r="O34" s="62">
        <f>MAX(O22:O33)</f>
        <v>0</v>
      </c>
    </row>
    <row r="36" spans="1:15" ht="27.75" x14ac:dyDescent="0.35">
      <c r="J36" s="61">
        <f>+A6</f>
        <v>2022</v>
      </c>
      <c r="K36" s="61" t="s">
        <v>354</v>
      </c>
      <c r="L36" s="67" t="s">
        <v>349</v>
      </c>
      <c r="M36" s="67" t="s">
        <v>355</v>
      </c>
      <c r="N36" s="67" t="s">
        <v>352</v>
      </c>
      <c r="O36" s="67" t="s">
        <v>356</v>
      </c>
    </row>
    <row r="37" spans="1:15" x14ac:dyDescent="0.35">
      <c r="J37" s="359" t="s">
        <v>188</v>
      </c>
      <c r="K37" s="66" t="s">
        <v>357</v>
      </c>
      <c r="L37" s="64"/>
      <c r="M37" s="64"/>
      <c r="N37" s="64"/>
      <c r="O37" s="64"/>
    </row>
    <row r="38" spans="1:15" x14ac:dyDescent="0.35">
      <c r="J38" s="359"/>
      <c r="K38" s="66" t="s">
        <v>358</v>
      </c>
      <c r="L38" s="64"/>
      <c r="M38" s="64"/>
      <c r="N38" s="64"/>
      <c r="O38" s="64"/>
    </row>
    <row r="39" spans="1:15" x14ac:dyDescent="0.35">
      <c r="J39" s="359"/>
      <c r="K39" s="66" t="s">
        <v>359</v>
      </c>
      <c r="L39" s="64"/>
      <c r="M39" s="64"/>
      <c r="N39" s="64"/>
      <c r="O39" s="64"/>
    </row>
    <row r="40" spans="1:15" x14ac:dyDescent="0.35">
      <c r="J40" s="359"/>
      <c r="K40" s="66" t="s">
        <v>361</v>
      </c>
      <c r="L40" s="64"/>
      <c r="M40" s="64"/>
      <c r="N40" s="64"/>
      <c r="O40" s="64"/>
    </row>
    <row r="41" spans="1:15" x14ac:dyDescent="0.35">
      <c r="J41" s="359"/>
      <c r="K41" s="66" t="s">
        <v>363</v>
      </c>
      <c r="L41" s="64"/>
      <c r="M41" s="64"/>
      <c r="N41" s="64"/>
      <c r="O41" s="64"/>
    </row>
    <row r="42" spans="1:15" x14ac:dyDescent="0.35">
      <c r="J42" s="359"/>
      <c r="K42" s="66" t="s">
        <v>364</v>
      </c>
      <c r="L42" s="64"/>
      <c r="M42" s="64"/>
      <c r="N42" s="64"/>
      <c r="O42" s="64"/>
    </row>
    <row r="43" spans="1:15" x14ac:dyDescent="0.35">
      <c r="J43" s="359"/>
      <c r="K43" s="66" t="s">
        <v>365</v>
      </c>
      <c r="L43" s="64"/>
      <c r="M43" s="64"/>
      <c r="N43" s="64"/>
      <c r="O43" s="64"/>
    </row>
    <row r="44" spans="1:15" x14ac:dyDescent="0.35">
      <c r="J44" s="359"/>
      <c r="K44" s="66" t="s">
        <v>367</v>
      </c>
      <c r="L44" s="64"/>
      <c r="M44" s="64"/>
      <c r="N44" s="64"/>
      <c r="O44" s="64"/>
    </row>
    <row r="45" spans="1:15" x14ac:dyDescent="0.35">
      <c r="J45" s="359"/>
      <c r="K45" s="66" t="s">
        <v>368</v>
      </c>
      <c r="L45" s="64"/>
      <c r="M45" s="64"/>
      <c r="N45" s="64"/>
      <c r="O45" s="64"/>
    </row>
    <row r="46" spans="1:15" x14ac:dyDescent="0.35">
      <c r="J46" s="359"/>
      <c r="K46" s="66" t="s">
        <v>369</v>
      </c>
      <c r="L46" s="64"/>
      <c r="M46" s="64"/>
      <c r="N46" s="64"/>
      <c r="O46" s="64"/>
    </row>
    <row r="47" spans="1:15" x14ac:dyDescent="0.35">
      <c r="J47" s="359"/>
      <c r="K47" s="66" t="s">
        <v>370</v>
      </c>
      <c r="L47" s="64"/>
      <c r="M47" s="64"/>
      <c r="N47" s="64"/>
      <c r="O47" s="64"/>
    </row>
    <row r="48" spans="1:15" ht="13.9" x14ac:dyDescent="0.35">
      <c r="A48" s="371" t="s">
        <v>267</v>
      </c>
      <c r="B48" s="372"/>
      <c r="C48" s="372"/>
      <c r="D48" s="372"/>
      <c r="E48" s="372"/>
      <c r="F48" s="372"/>
      <c r="G48" s="373"/>
      <c r="J48" s="359"/>
      <c r="K48" s="66" t="s">
        <v>371</v>
      </c>
      <c r="L48" s="64"/>
      <c r="M48" s="64"/>
      <c r="N48" s="64"/>
      <c r="O48" s="64"/>
    </row>
    <row r="49" spans="1:15" x14ac:dyDescent="0.35">
      <c r="A49" s="362"/>
      <c r="B49" s="363"/>
      <c r="C49" s="363"/>
      <c r="D49" s="363"/>
      <c r="E49" s="363"/>
      <c r="F49" s="363"/>
      <c r="G49" s="364"/>
      <c r="J49" s="359"/>
      <c r="K49" s="62" t="s">
        <v>372</v>
      </c>
      <c r="L49" s="62" t="e">
        <f>AVERAGE(L37:L48)</f>
        <v>#DIV/0!</v>
      </c>
      <c r="M49" s="62">
        <f>MAX(M37:M48)</f>
        <v>0</v>
      </c>
      <c r="N49" s="62" t="e">
        <f>AVERAGE(N37:N48)</f>
        <v>#DIV/0!</v>
      </c>
      <c r="O49" s="62">
        <f>MAX(O37:O48)</f>
        <v>0</v>
      </c>
    </row>
    <row r="50" spans="1:15" x14ac:dyDescent="0.35">
      <c r="A50" s="365"/>
      <c r="B50" s="366"/>
      <c r="C50" s="366"/>
      <c r="D50" s="366"/>
      <c r="E50" s="366"/>
      <c r="F50" s="366"/>
      <c r="G50" s="367"/>
    </row>
    <row r="51" spans="1:15" ht="27.75" x14ac:dyDescent="0.35">
      <c r="A51" s="365"/>
      <c r="B51" s="366"/>
      <c r="C51" s="366"/>
      <c r="D51" s="366"/>
      <c r="E51" s="366"/>
      <c r="F51" s="366"/>
      <c r="G51" s="367"/>
      <c r="J51" s="61">
        <f>+A6</f>
        <v>2022</v>
      </c>
      <c r="K51" s="61" t="s">
        <v>354</v>
      </c>
      <c r="L51" s="67" t="s">
        <v>349</v>
      </c>
      <c r="M51" s="67" t="s">
        <v>355</v>
      </c>
      <c r="N51" s="67" t="s">
        <v>352</v>
      </c>
      <c r="O51" s="67" t="s">
        <v>356</v>
      </c>
    </row>
    <row r="52" spans="1:15" x14ac:dyDescent="0.35">
      <c r="A52" s="368"/>
      <c r="B52" s="369"/>
      <c r="C52" s="369"/>
      <c r="D52" s="369"/>
      <c r="E52" s="369"/>
      <c r="F52" s="369"/>
      <c r="G52" s="370"/>
      <c r="J52" s="359" t="s">
        <v>189</v>
      </c>
      <c r="K52" s="66" t="s">
        <v>357</v>
      </c>
      <c r="L52" s="64"/>
      <c r="M52" s="64"/>
      <c r="N52" s="64"/>
      <c r="O52" s="64"/>
    </row>
    <row r="53" spans="1:15" x14ac:dyDescent="0.35">
      <c r="J53" s="359"/>
      <c r="K53" s="66" t="s">
        <v>358</v>
      </c>
      <c r="L53" s="64"/>
      <c r="M53" s="64"/>
      <c r="N53" s="64"/>
      <c r="O53" s="64"/>
    </row>
    <row r="54" spans="1:15" x14ac:dyDescent="0.35">
      <c r="J54" s="359"/>
      <c r="K54" s="66" t="s">
        <v>359</v>
      </c>
      <c r="L54" s="64"/>
      <c r="M54" s="64"/>
      <c r="N54" s="64"/>
      <c r="O54" s="64"/>
    </row>
    <row r="55" spans="1:15" x14ac:dyDescent="0.35">
      <c r="J55" s="359"/>
      <c r="K55" s="66" t="s">
        <v>361</v>
      </c>
      <c r="L55" s="64"/>
      <c r="M55" s="64"/>
      <c r="N55" s="64"/>
      <c r="O55" s="64"/>
    </row>
    <row r="56" spans="1:15" x14ac:dyDescent="0.35">
      <c r="J56" s="359"/>
      <c r="K56" s="66" t="s">
        <v>363</v>
      </c>
      <c r="L56" s="64"/>
      <c r="M56" s="64"/>
      <c r="N56" s="64"/>
      <c r="O56" s="64"/>
    </row>
    <row r="57" spans="1:15" x14ac:dyDescent="0.35">
      <c r="J57" s="359"/>
      <c r="K57" s="66" t="s">
        <v>364</v>
      </c>
      <c r="L57" s="64"/>
      <c r="M57" s="64"/>
      <c r="N57" s="64"/>
      <c r="O57" s="64"/>
    </row>
    <row r="58" spans="1:15" x14ac:dyDescent="0.35">
      <c r="J58" s="359"/>
      <c r="K58" s="66" t="s">
        <v>365</v>
      </c>
      <c r="L58" s="64"/>
      <c r="M58" s="64"/>
      <c r="N58" s="64"/>
      <c r="O58" s="64"/>
    </row>
    <row r="59" spans="1:15" x14ac:dyDescent="0.35">
      <c r="J59" s="359"/>
      <c r="K59" s="66" t="s">
        <v>367</v>
      </c>
      <c r="L59" s="64"/>
      <c r="M59" s="64"/>
      <c r="N59" s="64"/>
      <c r="O59" s="64"/>
    </row>
    <row r="60" spans="1:15" x14ac:dyDescent="0.35">
      <c r="J60" s="359"/>
      <c r="K60" s="66" t="s">
        <v>368</v>
      </c>
      <c r="L60" s="64"/>
      <c r="M60" s="64"/>
      <c r="N60" s="64"/>
      <c r="O60" s="64"/>
    </row>
    <row r="61" spans="1:15" x14ac:dyDescent="0.35">
      <c r="J61" s="359"/>
      <c r="K61" s="66" t="s">
        <v>369</v>
      </c>
      <c r="L61" s="64"/>
      <c r="M61" s="64"/>
      <c r="N61" s="64"/>
      <c r="O61" s="64"/>
    </row>
    <row r="62" spans="1:15" x14ac:dyDescent="0.35">
      <c r="J62" s="359"/>
      <c r="K62" s="66" t="s">
        <v>370</v>
      </c>
      <c r="L62" s="64"/>
      <c r="M62" s="64"/>
      <c r="N62" s="64"/>
      <c r="O62" s="64"/>
    </row>
    <row r="63" spans="1:15" x14ac:dyDescent="0.35">
      <c r="J63" s="359"/>
      <c r="K63" s="66" t="s">
        <v>371</v>
      </c>
      <c r="L63" s="64"/>
      <c r="M63" s="64"/>
      <c r="N63" s="64"/>
      <c r="O63" s="64"/>
    </row>
    <row r="64" spans="1:15" x14ac:dyDescent="0.35">
      <c r="J64" s="359"/>
      <c r="K64" s="62" t="s">
        <v>372</v>
      </c>
      <c r="L64" s="62" t="e">
        <f>AVERAGE(L52:L63)</f>
        <v>#DIV/0!</v>
      </c>
      <c r="M64" s="62">
        <f>MAX(M52:M63)</f>
        <v>0</v>
      </c>
      <c r="N64" s="62" t="e">
        <f>AVERAGE(N52:N63)</f>
        <v>#DIV/0!</v>
      </c>
      <c r="O64" s="62">
        <f>MAX(O52:O63)</f>
        <v>0</v>
      </c>
    </row>
    <row r="66" spans="10:15" ht="27.75" x14ac:dyDescent="0.35">
      <c r="J66" s="61">
        <f>+A6</f>
        <v>2022</v>
      </c>
      <c r="K66" s="61" t="s">
        <v>354</v>
      </c>
      <c r="L66" s="67" t="s">
        <v>349</v>
      </c>
      <c r="M66" s="67" t="s">
        <v>355</v>
      </c>
      <c r="N66" s="67" t="s">
        <v>352</v>
      </c>
      <c r="O66" s="67" t="s">
        <v>356</v>
      </c>
    </row>
    <row r="67" spans="10:15" x14ac:dyDescent="0.35">
      <c r="J67" s="359" t="s">
        <v>190</v>
      </c>
      <c r="K67" s="66" t="s">
        <v>357</v>
      </c>
      <c r="L67" s="64"/>
      <c r="M67" s="64"/>
      <c r="N67" s="64"/>
      <c r="O67" s="64"/>
    </row>
    <row r="68" spans="10:15" x14ac:dyDescent="0.35">
      <c r="J68" s="359"/>
      <c r="K68" s="66" t="s">
        <v>358</v>
      </c>
      <c r="L68" s="64"/>
      <c r="M68" s="64"/>
      <c r="N68" s="64"/>
      <c r="O68" s="64"/>
    </row>
    <row r="69" spans="10:15" x14ac:dyDescent="0.35">
      <c r="J69" s="359"/>
      <c r="K69" s="66" t="s">
        <v>359</v>
      </c>
      <c r="L69" s="64"/>
      <c r="M69" s="64"/>
      <c r="N69" s="64"/>
      <c r="O69" s="64"/>
    </row>
    <row r="70" spans="10:15" x14ac:dyDescent="0.35">
      <c r="J70" s="359"/>
      <c r="K70" s="66" t="s">
        <v>361</v>
      </c>
      <c r="L70" s="64"/>
      <c r="M70" s="64"/>
      <c r="N70" s="64"/>
      <c r="O70" s="64"/>
    </row>
    <row r="71" spans="10:15" x14ac:dyDescent="0.35">
      <c r="J71" s="359"/>
      <c r="K71" s="66" t="s">
        <v>363</v>
      </c>
      <c r="L71" s="64"/>
      <c r="M71" s="64"/>
      <c r="N71" s="64"/>
      <c r="O71" s="64"/>
    </row>
    <row r="72" spans="10:15" x14ac:dyDescent="0.35">
      <c r="J72" s="359"/>
      <c r="K72" s="66" t="s">
        <v>364</v>
      </c>
      <c r="L72" s="64"/>
      <c r="M72" s="64"/>
      <c r="N72" s="64"/>
      <c r="O72" s="64"/>
    </row>
    <row r="73" spans="10:15" x14ac:dyDescent="0.35">
      <c r="J73" s="359"/>
      <c r="K73" s="66" t="s">
        <v>365</v>
      </c>
      <c r="L73" s="64"/>
      <c r="M73" s="64"/>
      <c r="N73" s="64"/>
      <c r="O73" s="64"/>
    </row>
    <row r="74" spans="10:15" x14ac:dyDescent="0.35">
      <c r="J74" s="359"/>
      <c r="K74" s="66" t="s">
        <v>367</v>
      </c>
      <c r="L74" s="64"/>
      <c r="M74" s="64"/>
      <c r="N74" s="64"/>
      <c r="O74" s="64"/>
    </row>
    <row r="75" spans="10:15" x14ac:dyDescent="0.35">
      <c r="J75" s="359"/>
      <c r="K75" s="66" t="s">
        <v>368</v>
      </c>
      <c r="L75" s="64"/>
      <c r="M75" s="64"/>
      <c r="N75" s="64"/>
      <c r="O75" s="64"/>
    </row>
    <row r="76" spans="10:15" x14ac:dyDescent="0.35">
      <c r="J76" s="359"/>
      <c r="K76" s="66" t="s">
        <v>369</v>
      </c>
      <c r="L76" s="64"/>
      <c r="M76" s="64"/>
      <c r="N76" s="64"/>
      <c r="O76" s="64"/>
    </row>
    <row r="77" spans="10:15" x14ac:dyDescent="0.35">
      <c r="J77" s="359"/>
      <c r="K77" s="66" t="s">
        <v>370</v>
      </c>
      <c r="L77" s="64"/>
      <c r="M77" s="64"/>
      <c r="N77" s="64"/>
      <c r="O77" s="64"/>
    </row>
    <row r="78" spans="10:15" x14ac:dyDescent="0.35">
      <c r="J78" s="359"/>
      <c r="K78" s="66" t="s">
        <v>371</v>
      </c>
      <c r="L78" s="64"/>
      <c r="M78" s="64"/>
      <c r="N78" s="64"/>
      <c r="O78" s="64"/>
    </row>
    <row r="79" spans="10:15" x14ac:dyDescent="0.35">
      <c r="J79" s="359"/>
      <c r="K79" s="62" t="s">
        <v>372</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headerFooter scaleWithDoc="0">
    <oddFooter>&amp;C&amp;"Arial,Regular"Page &amp;P</oddFooter>
  </headerFooter>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showGridLines="0" zoomScaleNormal="100" workbookViewId="0">
      <selection activeCell="C19" sqref="C19"/>
    </sheetView>
  </sheetViews>
  <sheetFormatPr defaultRowHeight="13.5" x14ac:dyDescent="0.35"/>
  <cols>
    <col min="1" max="1" width="14" style="3" customWidth="1"/>
    <col min="2" max="4" width="17" style="35" customWidth="1"/>
    <col min="5" max="5" width="14.73046875" style="35" customWidth="1"/>
    <col min="6" max="7" width="17" style="35" customWidth="1"/>
    <col min="8" max="11" width="9.265625" style="3"/>
    <col min="12" max="12" width="15.3984375" style="3" customWidth="1"/>
    <col min="13" max="13" width="17.3984375" style="3" bestFit="1" customWidth="1"/>
    <col min="14" max="14" width="13.73046875" style="3" customWidth="1"/>
    <col min="15" max="15" width="15" style="3" customWidth="1"/>
    <col min="16" max="18" width="9.265625" style="3"/>
    <col min="19" max="19" width="21.73046875" style="3" customWidth="1"/>
    <col min="20" max="256" width="9.265625" style="3"/>
    <col min="257" max="257" width="14" style="3" customWidth="1"/>
    <col min="258" max="263" width="10.265625" style="3" customWidth="1"/>
    <col min="264" max="512" width="9.265625" style="3"/>
    <col min="513" max="513" width="14" style="3" customWidth="1"/>
    <col min="514" max="519" width="10.265625" style="3" customWidth="1"/>
    <col min="520" max="768" width="9.265625" style="3"/>
    <col min="769" max="769" width="14" style="3" customWidth="1"/>
    <col min="770" max="775" width="10.265625" style="3" customWidth="1"/>
    <col min="776" max="1024" width="9.265625" style="3"/>
    <col min="1025" max="1025" width="14" style="3" customWidth="1"/>
    <col min="1026" max="1031" width="10.265625" style="3" customWidth="1"/>
    <col min="1032" max="1280" width="9.265625" style="3"/>
    <col min="1281" max="1281" width="14" style="3" customWidth="1"/>
    <col min="1282" max="1287" width="10.265625" style="3" customWidth="1"/>
    <col min="1288" max="1536" width="9.265625" style="3"/>
    <col min="1537" max="1537" width="14" style="3" customWidth="1"/>
    <col min="1538" max="1543" width="10.265625" style="3" customWidth="1"/>
    <col min="1544" max="1792" width="9.265625" style="3"/>
    <col min="1793" max="1793" width="14" style="3" customWidth="1"/>
    <col min="1794" max="1799" width="10.265625" style="3" customWidth="1"/>
    <col min="1800" max="2048" width="9.265625" style="3"/>
    <col min="2049" max="2049" width="14" style="3" customWidth="1"/>
    <col min="2050" max="2055" width="10.265625" style="3" customWidth="1"/>
    <col min="2056" max="2304" width="9.265625" style="3"/>
    <col min="2305" max="2305" width="14" style="3" customWidth="1"/>
    <col min="2306" max="2311" width="10.265625" style="3" customWidth="1"/>
    <col min="2312" max="2560" width="9.265625" style="3"/>
    <col min="2561" max="2561" width="14" style="3" customWidth="1"/>
    <col min="2562" max="2567" width="10.265625" style="3" customWidth="1"/>
    <col min="2568" max="2816" width="9.265625" style="3"/>
    <col min="2817" max="2817" width="14" style="3" customWidth="1"/>
    <col min="2818" max="2823" width="10.265625" style="3" customWidth="1"/>
    <col min="2824" max="3072" width="9.265625" style="3"/>
    <col min="3073" max="3073" width="14" style="3" customWidth="1"/>
    <col min="3074" max="3079" width="10.265625" style="3" customWidth="1"/>
    <col min="3080" max="3328" width="9.265625" style="3"/>
    <col min="3329" max="3329" width="14" style="3" customWidth="1"/>
    <col min="3330" max="3335" width="10.265625" style="3" customWidth="1"/>
    <col min="3336" max="3584" width="9.265625" style="3"/>
    <col min="3585" max="3585" width="14" style="3" customWidth="1"/>
    <col min="3586" max="3591" width="10.265625" style="3" customWidth="1"/>
    <col min="3592" max="3840" width="9.265625" style="3"/>
    <col min="3841" max="3841" width="14" style="3" customWidth="1"/>
    <col min="3842" max="3847" width="10.265625" style="3" customWidth="1"/>
    <col min="3848" max="4096" width="9.265625" style="3"/>
    <col min="4097" max="4097" width="14" style="3" customWidth="1"/>
    <col min="4098" max="4103" width="10.265625" style="3" customWidth="1"/>
    <col min="4104" max="4352" width="9.265625" style="3"/>
    <col min="4353" max="4353" width="14" style="3" customWidth="1"/>
    <col min="4354" max="4359" width="10.265625" style="3" customWidth="1"/>
    <col min="4360" max="4608" width="9.265625" style="3"/>
    <col min="4609" max="4609" width="14" style="3" customWidth="1"/>
    <col min="4610" max="4615" width="10.265625" style="3" customWidth="1"/>
    <col min="4616" max="4864" width="9.265625" style="3"/>
    <col min="4865" max="4865" width="14" style="3" customWidth="1"/>
    <col min="4866" max="4871" width="10.265625" style="3" customWidth="1"/>
    <col min="4872" max="5120" width="9.265625" style="3"/>
    <col min="5121" max="5121" width="14" style="3" customWidth="1"/>
    <col min="5122" max="5127" width="10.265625" style="3" customWidth="1"/>
    <col min="5128" max="5376" width="9.265625" style="3"/>
    <col min="5377" max="5377" width="14" style="3" customWidth="1"/>
    <col min="5378" max="5383" width="10.265625" style="3" customWidth="1"/>
    <col min="5384" max="5632" width="9.265625" style="3"/>
    <col min="5633" max="5633" width="14" style="3" customWidth="1"/>
    <col min="5634" max="5639" width="10.265625" style="3" customWidth="1"/>
    <col min="5640" max="5888" width="9.265625" style="3"/>
    <col min="5889" max="5889" width="14" style="3" customWidth="1"/>
    <col min="5890" max="5895" width="10.265625" style="3" customWidth="1"/>
    <col min="5896" max="6144" width="9.265625" style="3"/>
    <col min="6145" max="6145" width="14" style="3" customWidth="1"/>
    <col min="6146" max="6151" width="10.265625" style="3" customWidth="1"/>
    <col min="6152" max="6400" width="9.265625" style="3"/>
    <col min="6401" max="6401" width="14" style="3" customWidth="1"/>
    <col min="6402" max="6407" width="10.265625" style="3" customWidth="1"/>
    <col min="6408" max="6656" width="9.265625" style="3"/>
    <col min="6657" max="6657" width="14" style="3" customWidth="1"/>
    <col min="6658" max="6663" width="10.265625" style="3" customWidth="1"/>
    <col min="6664" max="6912" width="9.265625" style="3"/>
    <col min="6913" max="6913" width="14" style="3" customWidth="1"/>
    <col min="6914" max="6919" width="10.265625" style="3" customWidth="1"/>
    <col min="6920" max="7168" width="9.265625" style="3"/>
    <col min="7169" max="7169" width="14" style="3" customWidth="1"/>
    <col min="7170" max="7175" width="10.265625" style="3" customWidth="1"/>
    <col min="7176" max="7424" width="9.265625" style="3"/>
    <col min="7425" max="7425" width="14" style="3" customWidth="1"/>
    <col min="7426" max="7431" width="10.265625" style="3" customWidth="1"/>
    <col min="7432" max="7680" width="9.265625" style="3"/>
    <col min="7681" max="7681" width="14" style="3" customWidth="1"/>
    <col min="7682" max="7687" width="10.265625" style="3" customWidth="1"/>
    <col min="7688" max="7936" width="9.265625" style="3"/>
    <col min="7937" max="7937" width="14" style="3" customWidth="1"/>
    <col min="7938" max="7943" width="10.265625" style="3" customWidth="1"/>
    <col min="7944" max="8192" width="9.265625" style="3"/>
    <col min="8193" max="8193" width="14" style="3" customWidth="1"/>
    <col min="8194" max="8199" width="10.265625" style="3" customWidth="1"/>
    <col min="8200" max="8448" width="9.265625" style="3"/>
    <col min="8449" max="8449" width="14" style="3" customWidth="1"/>
    <col min="8450" max="8455" width="10.265625" style="3" customWidth="1"/>
    <col min="8456" max="8704" width="9.265625" style="3"/>
    <col min="8705" max="8705" width="14" style="3" customWidth="1"/>
    <col min="8706" max="8711" width="10.265625" style="3" customWidth="1"/>
    <col min="8712" max="8960" width="9.265625" style="3"/>
    <col min="8961" max="8961" width="14" style="3" customWidth="1"/>
    <col min="8962" max="8967" width="10.265625" style="3" customWidth="1"/>
    <col min="8968" max="9216" width="9.265625" style="3"/>
    <col min="9217" max="9217" width="14" style="3" customWidth="1"/>
    <col min="9218" max="9223" width="10.265625" style="3" customWidth="1"/>
    <col min="9224" max="9472" width="9.265625" style="3"/>
    <col min="9473" max="9473" width="14" style="3" customWidth="1"/>
    <col min="9474" max="9479" width="10.265625" style="3" customWidth="1"/>
    <col min="9480" max="9728" width="9.265625" style="3"/>
    <col min="9729" max="9729" width="14" style="3" customWidth="1"/>
    <col min="9730" max="9735" width="10.265625" style="3" customWidth="1"/>
    <col min="9736" max="9984" width="9.265625" style="3"/>
    <col min="9985" max="9985" width="14" style="3" customWidth="1"/>
    <col min="9986" max="9991" width="10.265625" style="3" customWidth="1"/>
    <col min="9992" max="10240" width="9.265625" style="3"/>
    <col min="10241" max="10241" width="14" style="3" customWidth="1"/>
    <col min="10242" max="10247" width="10.265625" style="3" customWidth="1"/>
    <col min="10248" max="10496" width="9.265625" style="3"/>
    <col min="10497" max="10497" width="14" style="3" customWidth="1"/>
    <col min="10498" max="10503" width="10.265625" style="3" customWidth="1"/>
    <col min="10504" max="10752" width="9.265625" style="3"/>
    <col min="10753" max="10753" width="14" style="3" customWidth="1"/>
    <col min="10754" max="10759" width="10.265625" style="3" customWidth="1"/>
    <col min="10760" max="11008" width="9.265625" style="3"/>
    <col min="11009" max="11009" width="14" style="3" customWidth="1"/>
    <col min="11010" max="11015" width="10.265625" style="3" customWidth="1"/>
    <col min="11016" max="11264" width="9.265625" style="3"/>
    <col min="11265" max="11265" width="14" style="3" customWidth="1"/>
    <col min="11266" max="11271" width="10.265625" style="3" customWidth="1"/>
    <col min="11272" max="11520" width="9.265625" style="3"/>
    <col min="11521" max="11521" width="14" style="3" customWidth="1"/>
    <col min="11522" max="11527" width="10.265625" style="3" customWidth="1"/>
    <col min="11528" max="11776" width="9.265625" style="3"/>
    <col min="11777" max="11777" width="14" style="3" customWidth="1"/>
    <col min="11778" max="11783" width="10.265625" style="3" customWidth="1"/>
    <col min="11784" max="12032" width="9.265625" style="3"/>
    <col min="12033" max="12033" width="14" style="3" customWidth="1"/>
    <col min="12034" max="12039" width="10.265625" style="3" customWidth="1"/>
    <col min="12040" max="12288" width="9.265625" style="3"/>
    <col min="12289" max="12289" width="14" style="3" customWidth="1"/>
    <col min="12290" max="12295" width="10.265625" style="3" customWidth="1"/>
    <col min="12296" max="12544" width="9.265625" style="3"/>
    <col min="12545" max="12545" width="14" style="3" customWidth="1"/>
    <col min="12546" max="12551" width="10.265625" style="3" customWidth="1"/>
    <col min="12552" max="12800" width="9.265625" style="3"/>
    <col min="12801" max="12801" width="14" style="3" customWidth="1"/>
    <col min="12802" max="12807" width="10.265625" style="3" customWidth="1"/>
    <col min="12808" max="13056" width="9.265625" style="3"/>
    <col min="13057" max="13057" width="14" style="3" customWidth="1"/>
    <col min="13058" max="13063" width="10.265625" style="3" customWidth="1"/>
    <col min="13064" max="13312" width="9.265625" style="3"/>
    <col min="13313" max="13313" width="14" style="3" customWidth="1"/>
    <col min="13314" max="13319" width="10.265625" style="3" customWidth="1"/>
    <col min="13320" max="13568" width="9.265625" style="3"/>
    <col min="13569" max="13569" width="14" style="3" customWidth="1"/>
    <col min="13570" max="13575" width="10.265625" style="3" customWidth="1"/>
    <col min="13576" max="13824" width="9.265625" style="3"/>
    <col min="13825" max="13825" width="14" style="3" customWidth="1"/>
    <col min="13826" max="13831" width="10.265625" style="3" customWidth="1"/>
    <col min="13832" max="14080" width="9.265625" style="3"/>
    <col min="14081" max="14081" width="14" style="3" customWidth="1"/>
    <col min="14082" max="14087" width="10.265625" style="3" customWidth="1"/>
    <col min="14088" max="14336" width="9.265625" style="3"/>
    <col min="14337" max="14337" width="14" style="3" customWidth="1"/>
    <col min="14338" max="14343" width="10.265625" style="3" customWidth="1"/>
    <col min="14344" max="14592" width="9.265625" style="3"/>
    <col min="14593" max="14593" width="14" style="3" customWidth="1"/>
    <col min="14594" max="14599" width="10.265625" style="3" customWidth="1"/>
    <col min="14600" max="14848" width="9.265625" style="3"/>
    <col min="14849" max="14849" width="14" style="3" customWidth="1"/>
    <col min="14850" max="14855" width="10.265625" style="3" customWidth="1"/>
    <col min="14856" max="15104" width="9.265625" style="3"/>
    <col min="15105" max="15105" width="14" style="3" customWidth="1"/>
    <col min="15106" max="15111" width="10.265625" style="3" customWidth="1"/>
    <col min="15112" max="15360" width="9.265625" style="3"/>
    <col min="15361" max="15361" width="14" style="3" customWidth="1"/>
    <col min="15362" max="15367" width="10.265625" style="3" customWidth="1"/>
    <col min="15368" max="15616" width="9.265625" style="3"/>
    <col min="15617" max="15617" width="14" style="3" customWidth="1"/>
    <col min="15618" max="15623" width="10.265625" style="3" customWidth="1"/>
    <col min="15624" max="15872" width="9.265625" style="3"/>
    <col min="15873" max="15873" width="14" style="3" customWidth="1"/>
    <col min="15874" max="15879" width="10.265625" style="3" customWidth="1"/>
    <col min="15880" max="16128" width="9.265625" style="3"/>
    <col min="16129" max="16129" width="14" style="3" customWidth="1"/>
    <col min="16130" max="16135" width="10.265625" style="3" customWidth="1"/>
    <col min="16136" max="16384" width="9.265625" style="3"/>
  </cols>
  <sheetData>
    <row r="1" spans="1:19" ht="15" x14ac:dyDescent="0.4">
      <c r="A1" s="93" t="str">
        <f>+'Cover Page'!$B$29</f>
        <v>Annual Performance Report 2022</v>
      </c>
      <c r="B1" s="93"/>
      <c r="C1" s="93"/>
      <c r="D1" s="93"/>
      <c r="E1" s="93" t="str">
        <f>+'Cover Page'!$B$33</f>
        <v>EQUANS FM Ltd</v>
      </c>
    </row>
    <row r="3" spans="1:19" ht="13.9" x14ac:dyDescent="0.4">
      <c r="A3" s="60" t="s">
        <v>379</v>
      </c>
      <c r="D3" s="76" t="s">
        <v>341</v>
      </c>
      <c r="G3" s="80" t="s">
        <v>342</v>
      </c>
      <c r="J3" s="9" t="str">
        <f>+A3</f>
        <v>Monitoring of Total organic carbon emissions</v>
      </c>
      <c r="L3" s="9"/>
      <c r="N3" s="9" t="s">
        <v>343</v>
      </c>
      <c r="Q3" s="79" t="s">
        <v>3</v>
      </c>
      <c r="R3" s="74"/>
      <c r="S3" s="74"/>
    </row>
    <row r="4" spans="1:19" ht="14.1" customHeight="1" x14ac:dyDescent="0.35">
      <c r="Q4" s="350" t="s">
        <v>344</v>
      </c>
      <c r="R4" s="350"/>
      <c r="S4" s="350"/>
    </row>
    <row r="5" spans="1:19" ht="15.75" x14ac:dyDescent="0.4">
      <c r="A5" s="68" t="s">
        <v>345</v>
      </c>
      <c r="B5" s="361" t="s">
        <v>346</v>
      </c>
      <c r="C5" s="361"/>
      <c r="D5" s="361"/>
      <c r="E5" s="361" t="s">
        <v>347</v>
      </c>
      <c r="F5" s="361"/>
      <c r="G5" s="361"/>
      <c r="J5" s="360"/>
      <c r="K5" s="360"/>
      <c r="L5" s="360"/>
      <c r="M5" s="360"/>
      <c r="N5" s="360"/>
      <c r="O5" s="360"/>
      <c r="Q5" s="350"/>
      <c r="R5" s="350"/>
      <c r="S5" s="350"/>
    </row>
    <row r="6" spans="1:19" s="58" customFormat="1" ht="37.5" customHeight="1" x14ac:dyDescent="0.45">
      <c r="A6" s="65">
        <f>+'Cover Page'!C39</f>
        <v>2022</v>
      </c>
      <c r="B6" s="55" t="s">
        <v>380</v>
      </c>
      <c r="C6" s="55" t="s">
        <v>349</v>
      </c>
      <c r="D6" s="55" t="s">
        <v>350</v>
      </c>
      <c r="E6" s="55" t="s">
        <v>381</v>
      </c>
      <c r="F6" s="55" t="s">
        <v>352</v>
      </c>
      <c r="G6" s="55" t="s">
        <v>353</v>
      </c>
      <c r="H6" s="59"/>
      <c r="J6" s="61">
        <f>+A6</f>
        <v>2022</v>
      </c>
      <c r="K6" s="61" t="s">
        <v>354</v>
      </c>
      <c r="L6" s="67" t="s">
        <v>349</v>
      </c>
      <c r="M6" s="67" t="s">
        <v>355</v>
      </c>
      <c r="N6" s="67" t="s">
        <v>352</v>
      </c>
      <c r="O6" s="67" t="s">
        <v>356</v>
      </c>
      <c r="Q6" s="350"/>
      <c r="R6" s="350"/>
      <c r="S6" s="350"/>
    </row>
    <row r="7" spans="1:19" x14ac:dyDescent="0.35">
      <c r="A7" s="66" t="s">
        <v>357</v>
      </c>
      <c r="B7" s="63">
        <v>30</v>
      </c>
      <c r="C7" s="64">
        <v>1</v>
      </c>
      <c r="D7" s="64">
        <v>2</v>
      </c>
      <c r="E7" s="63">
        <v>15</v>
      </c>
      <c r="F7" s="64">
        <v>1</v>
      </c>
      <c r="G7" s="64">
        <v>1</v>
      </c>
      <c r="J7" s="359" t="s">
        <v>186</v>
      </c>
      <c r="K7" s="66" t="s">
        <v>357</v>
      </c>
      <c r="L7" s="64"/>
      <c r="M7" s="64"/>
      <c r="N7" s="64"/>
      <c r="O7" s="64"/>
      <c r="Q7" s="350"/>
      <c r="R7" s="350"/>
      <c r="S7" s="350"/>
    </row>
    <row r="8" spans="1:19" x14ac:dyDescent="0.35">
      <c r="A8" s="66" t="s">
        <v>358</v>
      </c>
      <c r="B8" s="63">
        <v>30</v>
      </c>
      <c r="C8" s="64">
        <v>1</v>
      </c>
      <c r="D8" s="64">
        <v>1</v>
      </c>
      <c r="E8" s="63">
        <v>15</v>
      </c>
      <c r="F8" s="64">
        <v>1</v>
      </c>
      <c r="G8" s="64">
        <v>1</v>
      </c>
      <c r="J8" s="359"/>
      <c r="K8" s="66" t="s">
        <v>358</v>
      </c>
      <c r="L8" s="64"/>
      <c r="M8" s="64"/>
      <c r="N8" s="64"/>
      <c r="O8" s="64"/>
      <c r="Q8" s="350"/>
      <c r="R8" s="350"/>
      <c r="S8" s="350"/>
    </row>
    <row r="9" spans="1:19" ht="13.9" x14ac:dyDescent="0.4">
      <c r="A9" s="66" t="s">
        <v>359</v>
      </c>
      <c r="B9" s="63">
        <v>30</v>
      </c>
      <c r="C9" s="64">
        <v>1</v>
      </c>
      <c r="D9" s="64">
        <v>3</v>
      </c>
      <c r="E9" s="63">
        <v>15</v>
      </c>
      <c r="F9" s="64">
        <v>1</v>
      </c>
      <c r="G9" s="64">
        <v>1</v>
      </c>
      <c r="J9" s="359"/>
      <c r="K9" s="66" t="s">
        <v>359</v>
      </c>
      <c r="L9" s="64"/>
      <c r="M9" s="64"/>
      <c r="N9" s="64"/>
      <c r="O9" s="64"/>
      <c r="Q9" s="78" t="s">
        <v>360</v>
      </c>
    </row>
    <row r="10" spans="1:19" ht="14.25" customHeight="1" x14ac:dyDescent="0.35">
      <c r="A10" s="66" t="s">
        <v>361</v>
      </c>
      <c r="B10" s="63">
        <v>30</v>
      </c>
      <c r="C10" s="64">
        <v>1</v>
      </c>
      <c r="D10" s="64">
        <v>1</v>
      </c>
      <c r="E10" s="63">
        <v>15</v>
      </c>
      <c r="F10" s="64">
        <v>1</v>
      </c>
      <c r="G10" s="64">
        <v>1</v>
      </c>
      <c r="J10" s="359"/>
      <c r="K10" s="66" t="s">
        <v>361</v>
      </c>
      <c r="L10" s="64"/>
      <c r="M10" s="64"/>
      <c r="N10" s="64"/>
      <c r="O10" s="64"/>
      <c r="Q10" s="358" t="s">
        <v>362</v>
      </c>
      <c r="R10" s="358"/>
      <c r="S10" s="358"/>
    </row>
    <row r="11" spans="1:19" x14ac:dyDescent="0.35">
      <c r="A11" s="66" t="s">
        <v>363</v>
      </c>
      <c r="B11" s="63">
        <v>30</v>
      </c>
      <c r="C11" s="64">
        <v>1</v>
      </c>
      <c r="D11" s="64">
        <v>1</v>
      </c>
      <c r="E11" s="63">
        <v>15</v>
      </c>
      <c r="F11" s="64">
        <v>1</v>
      </c>
      <c r="G11" s="64">
        <v>1</v>
      </c>
      <c r="J11" s="359"/>
      <c r="K11" s="66" t="s">
        <v>363</v>
      </c>
      <c r="L11" s="64"/>
      <c r="M11" s="64"/>
      <c r="N11" s="64"/>
      <c r="O11" s="64"/>
      <c r="Q11" s="358"/>
      <c r="R11" s="358"/>
      <c r="S11" s="358"/>
    </row>
    <row r="12" spans="1:19" x14ac:dyDescent="0.35">
      <c r="A12" s="66" t="s">
        <v>364</v>
      </c>
      <c r="B12" s="63">
        <v>30</v>
      </c>
      <c r="C12" s="64">
        <v>0</v>
      </c>
      <c r="D12" s="64">
        <v>2</v>
      </c>
      <c r="E12" s="63">
        <v>15</v>
      </c>
      <c r="F12" s="64">
        <v>0</v>
      </c>
      <c r="G12" s="64">
        <v>0</v>
      </c>
      <c r="J12" s="359"/>
      <c r="K12" s="66" t="s">
        <v>364</v>
      </c>
      <c r="L12" s="64"/>
      <c r="M12" s="64"/>
      <c r="N12" s="64"/>
      <c r="O12" s="64"/>
      <c r="Q12" s="358"/>
      <c r="R12" s="358"/>
      <c r="S12" s="358"/>
    </row>
    <row r="13" spans="1:19" ht="14.25" customHeight="1" x14ac:dyDescent="0.35">
      <c r="A13" s="66" t="s">
        <v>365</v>
      </c>
      <c r="B13" s="63">
        <v>30</v>
      </c>
      <c r="C13" s="64">
        <v>0</v>
      </c>
      <c r="D13" s="64">
        <v>0</v>
      </c>
      <c r="E13" s="63">
        <v>15</v>
      </c>
      <c r="F13" s="64">
        <v>0</v>
      </c>
      <c r="G13" s="64">
        <v>0</v>
      </c>
      <c r="J13" s="359"/>
      <c r="K13" s="66" t="s">
        <v>365</v>
      </c>
      <c r="L13" s="64"/>
      <c r="M13" s="64"/>
      <c r="N13" s="64"/>
      <c r="O13" s="64"/>
      <c r="Q13" s="358" t="s">
        <v>366</v>
      </c>
      <c r="R13" s="358"/>
      <c r="S13" s="358"/>
    </row>
    <row r="14" spans="1:19" x14ac:dyDescent="0.35">
      <c r="A14" s="66" t="s">
        <v>367</v>
      </c>
      <c r="B14" s="63">
        <v>30</v>
      </c>
      <c r="C14" s="64">
        <v>0</v>
      </c>
      <c r="D14" s="64">
        <v>0</v>
      </c>
      <c r="E14" s="63">
        <v>15</v>
      </c>
      <c r="F14" s="64">
        <v>0</v>
      </c>
      <c r="G14" s="64">
        <v>0</v>
      </c>
      <c r="J14" s="359"/>
      <c r="K14" s="66" t="s">
        <v>367</v>
      </c>
      <c r="L14" s="64"/>
      <c r="M14" s="64"/>
      <c r="N14" s="64"/>
      <c r="O14" s="64"/>
      <c r="Q14" s="358"/>
      <c r="R14" s="358"/>
      <c r="S14" s="358"/>
    </row>
    <row r="15" spans="1:19" x14ac:dyDescent="0.35">
      <c r="A15" s="66" t="s">
        <v>368</v>
      </c>
      <c r="B15" s="63">
        <v>30</v>
      </c>
      <c r="C15" s="64">
        <v>0</v>
      </c>
      <c r="D15" s="64">
        <v>0</v>
      </c>
      <c r="E15" s="63">
        <v>15</v>
      </c>
      <c r="F15" s="64">
        <v>0</v>
      </c>
      <c r="G15" s="64">
        <v>0</v>
      </c>
      <c r="J15" s="359"/>
      <c r="K15" s="66" t="s">
        <v>368</v>
      </c>
      <c r="L15" s="64"/>
      <c r="M15" s="64"/>
      <c r="N15" s="64"/>
      <c r="O15" s="64"/>
      <c r="Q15" s="358"/>
      <c r="R15" s="358"/>
      <c r="S15" s="358"/>
    </row>
    <row r="16" spans="1:19" x14ac:dyDescent="0.35">
      <c r="A16" s="66" t="s">
        <v>369</v>
      </c>
      <c r="B16" s="63">
        <v>30</v>
      </c>
      <c r="C16" s="64">
        <v>0</v>
      </c>
      <c r="D16" s="64">
        <v>1</v>
      </c>
      <c r="E16" s="63">
        <v>15</v>
      </c>
      <c r="F16" s="64">
        <v>0</v>
      </c>
      <c r="G16" s="64">
        <v>0</v>
      </c>
      <c r="J16" s="359"/>
      <c r="K16" s="66" t="s">
        <v>369</v>
      </c>
      <c r="L16" s="64"/>
      <c r="M16" s="64"/>
      <c r="N16" s="64"/>
      <c r="O16" s="64"/>
      <c r="Q16" s="358"/>
      <c r="R16" s="358"/>
      <c r="S16" s="358"/>
    </row>
    <row r="17" spans="1:15" x14ac:dyDescent="0.35">
      <c r="A17" s="66" t="s">
        <v>370</v>
      </c>
      <c r="B17" s="63">
        <v>30</v>
      </c>
      <c r="C17" s="64">
        <v>0</v>
      </c>
      <c r="D17" s="64">
        <v>0</v>
      </c>
      <c r="E17" s="63">
        <v>15</v>
      </c>
      <c r="F17" s="64">
        <v>0</v>
      </c>
      <c r="G17" s="64">
        <v>0</v>
      </c>
      <c r="J17" s="359"/>
      <c r="K17" s="66" t="s">
        <v>370</v>
      </c>
      <c r="L17" s="64"/>
      <c r="M17" s="64"/>
      <c r="N17" s="64"/>
      <c r="O17" s="64"/>
    </row>
    <row r="18" spans="1:15" x14ac:dyDescent="0.35">
      <c r="A18" s="66" t="s">
        <v>371</v>
      </c>
      <c r="B18" s="63">
        <v>30</v>
      </c>
      <c r="C18" s="64">
        <v>0</v>
      </c>
      <c r="D18" s="64">
        <v>16</v>
      </c>
      <c r="E18" s="63">
        <v>15</v>
      </c>
      <c r="F18" s="64">
        <v>0</v>
      </c>
      <c r="G18" s="64">
        <v>0</v>
      </c>
      <c r="J18" s="359"/>
      <c r="K18" s="66" t="s">
        <v>371</v>
      </c>
      <c r="L18" s="64"/>
      <c r="M18" s="64"/>
      <c r="N18" s="64"/>
      <c r="O18" s="64"/>
    </row>
    <row r="19" spans="1:15" x14ac:dyDescent="0.35">
      <c r="J19" s="359"/>
      <c r="K19" s="62" t="s">
        <v>372</v>
      </c>
      <c r="L19" s="62" t="e">
        <f>AVERAGE(L7:L18)</f>
        <v>#DIV/0!</v>
      </c>
      <c r="M19" s="62">
        <f>MAX(M7:M18)</f>
        <v>0</v>
      </c>
      <c r="N19" s="62" t="e">
        <f>AVERAGE(N7:N18)</f>
        <v>#DIV/0!</v>
      </c>
      <c r="O19" s="62">
        <f>MAX(O7:O18)</f>
        <v>0</v>
      </c>
    </row>
    <row r="21" spans="1:15" ht="27.75" x14ac:dyDescent="0.35">
      <c r="J21" s="61">
        <f>+A6</f>
        <v>2022</v>
      </c>
      <c r="K21" s="61" t="s">
        <v>354</v>
      </c>
      <c r="L21" s="67" t="s">
        <v>349</v>
      </c>
      <c r="M21" s="67" t="s">
        <v>355</v>
      </c>
      <c r="N21" s="67" t="s">
        <v>352</v>
      </c>
      <c r="O21" s="67" t="s">
        <v>356</v>
      </c>
    </row>
    <row r="22" spans="1:15" x14ac:dyDescent="0.35">
      <c r="J22" s="359" t="s">
        <v>187</v>
      </c>
      <c r="K22" s="66" t="s">
        <v>357</v>
      </c>
      <c r="L22" s="64"/>
      <c r="M22" s="64"/>
      <c r="N22" s="64"/>
      <c r="O22" s="64"/>
    </row>
    <row r="23" spans="1:15" x14ac:dyDescent="0.35">
      <c r="J23" s="359"/>
      <c r="K23" s="66" t="s">
        <v>358</v>
      </c>
      <c r="L23" s="64"/>
      <c r="M23" s="64"/>
      <c r="N23" s="64"/>
      <c r="O23" s="64"/>
    </row>
    <row r="24" spans="1:15" x14ac:dyDescent="0.35">
      <c r="J24" s="359"/>
      <c r="K24" s="66" t="s">
        <v>359</v>
      </c>
      <c r="L24" s="64"/>
      <c r="M24" s="64"/>
      <c r="N24" s="64"/>
      <c r="O24" s="64"/>
    </row>
    <row r="25" spans="1:15" x14ac:dyDescent="0.35">
      <c r="J25" s="359"/>
      <c r="K25" s="66" t="s">
        <v>361</v>
      </c>
      <c r="L25" s="64"/>
      <c r="M25" s="64"/>
      <c r="N25" s="64"/>
      <c r="O25" s="64"/>
    </row>
    <row r="26" spans="1:15" x14ac:dyDescent="0.35">
      <c r="J26" s="359"/>
      <c r="K26" s="66" t="s">
        <v>363</v>
      </c>
      <c r="L26" s="64"/>
      <c r="M26" s="64"/>
      <c r="N26" s="64"/>
      <c r="O26" s="64"/>
    </row>
    <row r="27" spans="1:15" x14ac:dyDescent="0.35">
      <c r="J27" s="359"/>
      <c r="K27" s="66" t="s">
        <v>364</v>
      </c>
      <c r="L27" s="64"/>
      <c r="M27" s="64"/>
      <c r="N27" s="64"/>
      <c r="O27" s="64"/>
    </row>
    <row r="28" spans="1:15" x14ac:dyDescent="0.35">
      <c r="J28" s="359"/>
      <c r="K28" s="66" t="s">
        <v>365</v>
      </c>
      <c r="L28" s="64"/>
      <c r="M28" s="64"/>
      <c r="N28" s="64"/>
      <c r="O28" s="64"/>
    </row>
    <row r="29" spans="1:15" x14ac:dyDescent="0.35">
      <c r="J29" s="359"/>
      <c r="K29" s="66" t="s">
        <v>367</v>
      </c>
      <c r="L29" s="64"/>
      <c r="M29" s="64"/>
      <c r="N29" s="64"/>
      <c r="O29" s="64"/>
    </row>
    <row r="30" spans="1:15" x14ac:dyDescent="0.35">
      <c r="J30" s="359"/>
      <c r="K30" s="66" t="s">
        <v>368</v>
      </c>
      <c r="L30" s="64"/>
      <c r="M30" s="64"/>
      <c r="N30" s="64"/>
      <c r="O30" s="64"/>
    </row>
    <row r="31" spans="1:15" x14ac:dyDescent="0.35">
      <c r="J31" s="359"/>
      <c r="K31" s="66" t="s">
        <v>369</v>
      </c>
      <c r="L31" s="64"/>
      <c r="M31" s="64"/>
      <c r="N31" s="64"/>
      <c r="O31" s="64"/>
    </row>
    <row r="32" spans="1:15" x14ac:dyDescent="0.35">
      <c r="J32" s="359"/>
      <c r="K32" s="66" t="s">
        <v>370</v>
      </c>
      <c r="L32" s="64"/>
      <c r="M32" s="64"/>
      <c r="N32" s="64"/>
      <c r="O32" s="64"/>
    </row>
    <row r="33" spans="1:15" x14ac:dyDescent="0.35">
      <c r="J33" s="359"/>
      <c r="K33" s="66" t="s">
        <v>371</v>
      </c>
      <c r="L33" s="64"/>
      <c r="M33" s="64"/>
      <c r="N33" s="64"/>
      <c r="O33" s="64"/>
    </row>
    <row r="34" spans="1:15" x14ac:dyDescent="0.35">
      <c r="J34" s="359"/>
      <c r="K34" s="62" t="s">
        <v>372</v>
      </c>
      <c r="L34" s="62" t="e">
        <f>AVERAGE(L22:L33)</f>
        <v>#DIV/0!</v>
      </c>
      <c r="M34" s="62">
        <f>MAX(M22:M33)</f>
        <v>0</v>
      </c>
      <c r="N34" s="62" t="e">
        <f>AVERAGE(N22:N33)</f>
        <v>#DIV/0!</v>
      </c>
      <c r="O34" s="62">
        <f>MAX(O22:O33)</f>
        <v>0</v>
      </c>
    </row>
    <row r="36" spans="1:15" ht="27.75" x14ac:dyDescent="0.35">
      <c r="J36" s="61">
        <f>+A6</f>
        <v>2022</v>
      </c>
      <c r="K36" s="61" t="s">
        <v>354</v>
      </c>
      <c r="L36" s="67" t="s">
        <v>349</v>
      </c>
      <c r="M36" s="67" t="s">
        <v>355</v>
      </c>
      <c r="N36" s="67" t="s">
        <v>352</v>
      </c>
      <c r="O36" s="67" t="s">
        <v>356</v>
      </c>
    </row>
    <row r="37" spans="1:15" x14ac:dyDescent="0.35">
      <c r="J37" s="359" t="s">
        <v>188</v>
      </c>
      <c r="K37" s="66" t="s">
        <v>357</v>
      </c>
      <c r="L37" s="64"/>
      <c r="M37" s="64"/>
      <c r="N37" s="64"/>
      <c r="O37" s="64"/>
    </row>
    <row r="38" spans="1:15" x14ac:dyDescent="0.35">
      <c r="J38" s="359"/>
      <c r="K38" s="66" t="s">
        <v>358</v>
      </c>
      <c r="L38" s="64"/>
      <c r="M38" s="64"/>
      <c r="N38" s="64"/>
      <c r="O38" s="64"/>
    </row>
    <row r="39" spans="1:15" x14ac:dyDescent="0.35">
      <c r="J39" s="359"/>
      <c r="K39" s="66" t="s">
        <v>359</v>
      </c>
      <c r="L39" s="64"/>
      <c r="M39" s="64"/>
      <c r="N39" s="64"/>
      <c r="O39" s="64"/>
    </row>
    <row r="40" spans="1:15" x14ac:dyDescent="0.35">
      <c r="J40" s="359"/>
      <c r="K40" s="66" t="s">
        <v>361</v>
      </c>
      <c r="L40" s="64"/>
      <c r="M40" s="64"/>
      <c r="N40" s="64"/>
      <c r="O40" s="64"/>
    </row>
    <row r="41" spans="1:15" x14ac:dyDescent="0.35">
      <c r="J41" s="359"/>
      <c r="K41" s="66" t="s">
        <v>363</v>
      </c>
      <c r="L41" s="64"/>
      <c r="M41" s="64"/>
      <c r="N41" s="64"/>
      <c r="O41" s="64"/>
    </row>
    <row r="42" spans="1:15" x14ac:dyDescent="0.35">
      <c r="J42" s="359"/>
      <c r="K42" s="66" t="s">
        <v>364</v>
      </c>
      <c r="L42" s="64"/>
      <c r="M42" s="64"/>
      <c r="N42" s="64"/>
      <c r="O42" s="64"/>
    </row>
    <row r="43" spans="1:15" x14ac:dyDescent="0.35">
      <c r="J43" s="359"/>
      <c r="K43" s="66" t="s">
        <v>365</v>
      </c>
      <c r="L43" s="64"/>
      <c r="M43" s="64"/>
      <c r="N43" s="64"/>
      <c r="O43" s="64"/>
    </row>
    <row r="44" spans="1:15" x14ac:dyDescent="0.35">
      <c r="J44" s="359"/>
      <c r="K44" s="66" t="s">
        <v>367</v>
      </c>
      <c r="L44" s="64"/>
      <c r="M44" s="64"/>
      <c r="N44" s="64"/>
      <c r="O44" s="64"/>
    </row>
    <row r="45" spans="1:15" x14ac:dyDescent="0.35">
      <c r="J45" s="359"/>
      <c r="K45" s="66" t="s">
        <v>368</v>
      </c>
      <c r="L45" s="64"/>
      <c r="M45" s="64"/>
      <c r="N45" s="64"/>
      <c r="O45" s="64"/>
    </row>
    <row r="46" spans="1:15" x14ac:dyDescent="0.35">
      <c r="J46" s="359"/>
      <c r="K46" s="66" t="s">
        <v>369</v>
      </c>
      <c r="L46" s="64"/>
      <c r="M46" s="64"/>
      <c r="N46" s="64"/>
      <c r="O46" s="64"/>
    </row>
    <row r="47" spans="1:15" x14ac:dyDescent="0.35">
      <c r="J47" s="359"/>
      <c r="K47" s="66" t="s">
        <v>370</v>
      </c>
      <c r="L47" s="64"/>
      <c r="M47" s="64"/>
      <c r="N47" s="64"/>
      <c r="O47" s="64"/>
    </row>
    <row r="48" spans="1:15" ht="13.9" x14ac:dyDescent="0.35">
      <c r="A48" s="371" t="s">
        <v>267</v>
      </c>
      <c r="B48" s="372"/>
      <c r="C48" s="372"/>
      <c r="D48" s="372"/>
      <c r="E48" s="372"/>
      <c r="F48" s="372"/>
      <c r="G48" s="373"/>
      <c r="J48" s="359"/>
      <c r="K48" s="66" t="s">
        <v>371</v>
      </c>
      <c r="L48" s="64"/>
      <c r="M48" s="64"/>
      <c r="N48" s="64"/>
      <c r="O48" s="64"/>
    </row>
    <row r="49" spans="1:15" x14ac:dyDescent="0.35">
      <c r="A49" s="362"/>
      <c r="B49" s="363"/>
      <c r="C49" s="363"/>
      <c r="D49" s="363"/>
      <c r="E49" s="363"/>
      <c r="F49" s="363"/>
      <c r="G49" s="364"/>
      <c r="J49" s="359"/>
      <c r="K49" s="62" t="s">
        <v>372</v>
      </c>
      <c r="L49" s="62" t="e">
        <f>AVERAGE(L37:L48)</f>
        <v>#DIV/0!</v>
      </c>
      <c r="M49" s="62">
        <f>MAX(M37:M48)</f>
        <v>0</v>
      </c>
      <c r="N49" s="62" t="e">
        <f>AVERAGE(N37:N48)</f>
        <v>#DIV/0!</v>
      </c>
      <c r="O49" s="62">
        <f>MAX(O37:O48)</f>
        <v>0</v>
      </c>
    </row>
    <row r="50" spans="1:15" x14ac:dyDescent="0.35">
      <c r="A50" s="365"/>
      <c r="B50" s="366"/>
      <c r="C50" s="366"/>
      <c r="D50" s="366"/>
      <c r="E50" s="366"/>
      <c r="F50" s="366"/>
      <c r="G50" s="367"/>
    </row>
    <row r="51" spans="1:15" ht="27.75" x14ac:dyDescent="0.35">
      <c r="A51" s="365"/>
      <c r="B51" s="366"/>
      <c r="C51" s="366"/>
      <c r="D51" s="366"/>
      <c r="E51" s="366"/>
      <c r="F51" s="366"/>
      <c r="G51" s="367"/>
      <c r="J51" s="61">
        <f>+A6</f>
        <v>2022</v>
      </c>
      <c r="K51" s="61" t="s">
        <v>354</v>
      </c>
      <c r="L51" s="67" t="s">
        <v>349</v>
      </c>
      <c r="M51" s="67" t="s">
        <v>355</v>
      </c>
      <c r="N51" s="67" t="s">
        <v>352</v>
      </c>
      <c r="O51" s="67" t="s">
        <v>356</v>
      </c>
    </row>
    <row r="52" spans="1:15" x14ac:dyDescent="0.35">
      <c r="A52" s="368"/>
      <c r="B52" s="369"/>
      <c r="C52" s="369"/>
      <c r="D52" s="369"/>
      <c r="E52" s="369"/>
      <c r="F52" s="369"/>
      <c r="G52" s="370"/>
      <c r="J52" s="359" t="s">
        <v>189</v>
      </c>
      <c r="K52" s="66" t="s">
        <v>357</v>
      </c>
      <c r="L52" s="64"/>
      <c r="M52" s="64"/>
      <c r="N52" s="64"/>
      <c r="O52" s="64"/>
    </row>
    <row r="53" spans="1:15" x14ac:dyDescent="0.35">
      <c r="J53" s="359"/>
      <c r="K53" s="66" t="s">
        <v>358</v>
      </c>
      <c r="L53" s="64"/>
      <c r="M53" s="64"/>
      <c r="N53" s="64"/>
      <c r="O53" s="64"/>
    </row>
    <row r="54" spans="1:15" x14ac:dyDescent="0.35">
      <c r="J54" s="359"/>
      <c r="K54" s="66" t="s">
        <v>359</v>
      </c>
      <c r="L54" s="64"/>
      <c r="M54" s="64"/>
      <c r="N54" s="64"/>
      <c r="O54" s="64"/>
    </row>
    <row r="55" spans="1:15" x14ac:dyDescent="0.35">
      <c r="J55" s="359"/>
      <c r="K55" s="66" t="s">
        <v>361</v>
      </c>
      <c r="L55" s="64"/>
      <c r="M55" s="64"/>
      <c r="N55" s="64"/>
      <c r="O55" s="64"/>
    </row>
    <row r="56" spans="1:15" x14ac:dyDescent="0.35">
      <c r="J56" s="359"/>
      <c r="K56" s="66" t="s">
        <v>363</v>
      </c>
      <c r="L56" s="64"/>
      <c r="M56" s="64"/>
      <c r="N56" s="64"/>
      <c r="O56" s="64"/>
    </row>
    <row r="57" spans="1:15" x14ac:dyDescent="0.35">
      <c r="J57" s="359"/>
      <c r="K57" s="66" t="s">
        <v>364</v>
      </c>
      <c r="L57" s="64"/>
      <c r="M57" s="64"/>
      <c r="N57" s="64"/>
      <c r="O57" s="64"/>
    </row>
    <row r="58" spans="1:15" x14ac:dyDescent="0.35">
      <c r="J58" s="359"/>
      <c r="K58" s="66" t="s">
        <v>365</v>
      </c>
      <c r="L58" s="64"/>
      <c r="M58" s="64"/>
      <c r="N58" s="64"/>
      <c r="O58" s="64"/>
    </row>
    <row r="59" spans="1:15" x14ac:dyDescent="0.35">
      <c r="J59" s="359"/>
      <c r="K59" s="66" t="s">
        <v>367</v>
      </c>
      <c r="L59" s="64"/>
      <c r="M59" s="64"/>
      <c r="N59" s="64"/>
      <c r="O59" s="64"/>
    </row>
    <row r="60" spans="1:15" x14ac:dyDescent="0.35">
      <c r="J60" s="359"/>
      <c r="K60" s="66" t="s">
        <v>368</v>
      </c>
      <c r="L60" s="64"/>
      <c r="M60" s="64"/>
      <c r="N60" s="64"/>
      <c r="O60" s="64"/>
    </row>
    <row r="61" spans="1:15" x14ac:dyDescent="0.35">
      <c r="J61" s="359"/>
      <c r="K61" s="66" t="s">
        <v>369</v>
      </c>
      <c r="L61" s="64"/>
      <c r="M61" s="64"/>
      <c r="N61" s="64"/>
      <c r="O61" s="64"/>
    </row>
    <row r="62" spans="1:15" x14ac:dyDescent="0.35">
      <c r="J62" s="359"/>
      <c r="K62" s="66" t="s">
        <v>370</v>
      </c>
      <c r="L62" s="64"/>
      <c r="M62" s="64"/>
      <c r="N62" s="64"/>
      <c r="O62" s="64"/>
    </row>
    <row r="63" spans="1:15" x14ac:dyDescent="0.35">
      <c r="J63" s="359"/>
      <c r="K63" s="66" t="s">
        <v>371</v>
      </c>
      <c r="L63" s="64"/>
      <c r="M63" s="64"/>
      <c r="N63" s="64"/>
      <c r="O63" s="64"/>
    </row>
    <row r="64" spans="1:15" x14ac:dyDescent="0.35">
      <c r="J64" s="359"/>
      <c r="K64" s="62" t="s">
        <v>372</v>
      </c>
      <c r="L64" s="62" t="e">
        <f>AVERAGE(L52:L63)</f>
        <v>#DIV/0!</v>
      </c>
      <c r="M64" s="62">
        <f>MAX(M52:M63)</f>
        <v>0</v>
      </c>
      <c r="N64" s="62" t="e">
        <f>AVERAGE(N52:N63)</f>
        <v>#DIV/0!</v>
      </c>
      <c r="O64" s="62">
        <f>MAX(O52:O63)</f>
        <v>0</v>
      </c>
    </row>
    <row r="66" spans="10:15" ht="27.75" x14ac:dyDescent="0.35">
      <c r="J66" s="61">
        <f>+A6</f>
        <v>2022</v>
      </c>
      <c r="K66" s="61" t="s">
        <v>354</v>
      </c>
      <c r="L66" s="67" t="s">
        <v>349</v>
      </c>
      <c r="M66" s="67" t="s">
        <v>355</v>
      </c>
      <c r="N66" s="67" t="s">
        <v>352</v>
      </c>
      <c r="O66" s="67" t="s">
        <v>356</v>
      </c>
    </row>
    <row r="67" spans="10:15" x14ac:dyDescent="0.35">
      <c r="J67" s="359" t="s">
        <v>190</v>
      </c>
      <c r="K67" s="66" t="s">
        <v>357</v>
      </c>
      <c r="L67" s="64"/>
      <c r="M67" s="64"/>
      <c r="N67" s="64"/>
      <c r="O67" s="64"/>
    </row>
    <row r="68" spans="10:15" x14ac:dyDescent="0.35">
      <c r="J68" s="359"/>
      <c r="K68" s="66" t="s">
        <v>358</v>
      </c>
      <c r="L68" s="64"/>
      <c r="M68" s="64"/>
      <c r="N68" s="64"/>
      <c r="O68" s="64"/>
    </row>
    <row r="69" spans="10:15" x14ac:dyDescent="0.35">
      <c r="J69" s="359"/>
      <c r="K69" s="66" t="s">
        <v>359</v>
      </c>
      <c r="L69" s="64"/>
      <c r="M69" s="64"/>
      <c r="N69" s="64"/>
      <c r="O69" s="64"/>
    </row>
    <row r="70" spans="10:15" x14ac:dyDescent="0.35">
      <c r="J70" s="359"/>
      <c r="K70" s="66" t="s">
        <v>361</v>
      </c>
      <c r="L70" s="64"/>
      <c r="M70" s="64"/>
      <c r="N70" s="64"/>
      <c r="O70" s="64"/>
    </row>
    <row r="71" spans="10:15" x14ac:dyDescent="0.35">
      <c r="J71" s="359"/>
      <c r="K71" s="66" t="s">
        <v>363</v>
      </c>
      <c r="L71" s="64"/>
      <c r="M71" s="64"/>
      <c r="N71" s="64"/>
      <c r="O71" s="64"/>
    </row>
    <row r="72" spans="10:15" x14ac:dyDescent="0.35">
      <c r="J72" s="359"/>
      <c r="K72" s="66" t="s">
        <v>364</v>
      </c>
      <c r="L72" s="64"/>
      <c r="M72" s="64"/>
      <c r="N72" s="64"/>
      <c r="O72" s="64"/>
    </row>
    <row r="73" spans="10:15" x14ac:dyDescent="0.35">
      <c r="J73" s="359"/>
      <c r="K73" s="66" t="s">
        <v>365</v>
      </c>
      <c r="L73" s="64"/>
      <c r="M73" s="64"/>
      <c r="N73" s="64"/>
      <c r="O73" s="64"/>
    </row>
    <row r="74" spans="10:15" x14ac:dyDescent="0.35">
      <c r="J74" s="359"/>
      <c r="K74" s="66" t="s">
        <v>367</v>
      </c>
      <c r="L74" s="64"/>
      <c r="M74" s="64"/>
      <c r="N74" s="64"/>
      <c r="O74" s="64"/>
    </row>
    <row r="75" spans="10:15" x14ac:dyDescent="0.35">
      <c r="J75" s="359"/>
      <c r="K75" s="66" t="s">
        <v>368</v>
      </c>
      <c r="L75" s="64"/>
      <c r="M75" s="64"/>
      <c r="N75" s="64"/>
      <c r="O75" s="64"/>
    </row>
    <row r="76" spans="10:15" x14ac:dyDescent="0.35">
      <c r="J76" s="359"/>
      <c r="K76" s="66" t="s">
        <v>369</v>
      </c>
      <c r="L76" s="64"/>
      <c r="M76" s="64"/>
      <c r="N76" s="64"/>
      <c r="O76" s="64"/>
    </row>
    <row r="77" spans="10:15" x14ac:dyDescent="0.35">
      <c r="J77" s="359"/>
      <c r="K77" s="66" t="s">
        <v>370</v>
      </c>
      <c r="L77" s="64"/>
      <c r="M77" s="64"/>
      <c r="N77" s="64"/>
      <c r="O77" s="64"/>
    </row>
    <row r="78" spans="10:15" x14ac:dyDescent="0.35">
      <c r="J78" s="359"/>
      <c r="K78" s="66" t="s">
        <v>371</v>
      </c>
      <c r="L78" s="64"/>
      <c r="M78" s="64"/>
      <c r="N78" s="64"/>
      <c r="O78" s="64"/>
    </row>
    <row r="79" spans="10:15" x14ac:dyDescent="0.35">
      <c r="J79" s="359"/>
      <c r="K79" s="62" t="s">
        <v>372</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headerFooter scaleWithDoc="0">
    <oddFooter>&amp;C&amp;"Arial,Regular"Page &amp;P</oddFooter>
  </headerFooter>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showGridLines="0" topLeftCell="A27" zoomScaleNormal="100" workbookViewId="0">
      <selection activeCell="I10" sqref="I10"/>
    </sheetView>
  </sheetViews>
  <sheetFormatPr defaultRowHeight="13.5" x14ac:dyDescent="0.35"/>
  <cols>
    <col min="1" max="1" width="14" style="3" customWidth="1"/>
    <col min="2" max="4" width="17" style="35" customWidth="1"/>
    <col min="5" max="5" width="14.73046875" style="35" customWidth="1"/>
    <col min="6" max="7" width="17" style="35" customWidth="1"/>
    <col min="8" max="11" width="9.265625" style="3"/>
    <col min="12" max="12" width="15.3984375" style="3" customWidth="1"/>
    <col min="13" max="13" width="17.3984375" style="3" bestFit="1" customWidth="1"/>
    <col min="14" max="14" width="13.73046875" style="3" customWidth="1"/>
    <col min="15" max="15" width="15" style="3" customWidth="1"/>
    <col min="16" max="18" width="9.265625" style="3"/>
    <col min="19" max="19" width="22.265625" style="3" customWidth="1"/>
    <col min="20" max="256" width="9.265625" style="3"/>
    <col min="257" max="257" width="14" style="3" customWidth="1"/>
    <col min="258" max="263" width="10.265625" style="3" customWidth="1"/>
    <col min="264" max="512" width="9.265625" style="3"/>
    <col min="513" max="513" width="14" style="3" customWidth="1"/>
    <col min="514" max="519" width="10.265625" style="3" customWidth="1"/>
    <col min="520" max="768" width="9.265625" style="3"/>
    <col min="769" max="769" width="14" style="3" customWidth="1"/>
    <col min="770" max="775" width="10.265625" style="3" customWidth="1"/>
    <col min="776" max="1024" width="9.265625" style="3"/>
    <col min="1025" max="1025" width="14" style="3" customWidth="1"/>
    <col min="1026" max="1031" width="10.265625" style="3" customWidth="1"/>
    <col min="1032" max="1280" width="9.265625" style="3"/>
    <col min="1281" max="1281" width="14" style="3" customWidth="1"/>
    <col min="1282" max="1287" width="10.265625" style="3" customWidth="1"/>
    <col min="1288" max="1536" width="9.265625" style="3"/>
    <col min="1537" max="1537" width="14" style="3" customWidth="1"/>
    <col min="1538" max="1543" width="10.265625" style="3" customWidth="1"/>
    <col min="1544" max="1792" width="9.265625" style="3"/>
    <col min="1793" max="1793" width="14" style="3" customWidth="1"/>
    <col min="1794" max="1799" width="10.265625" style="3" customWidth="1"/>
    <col min="1800" max="2048" width="9.265625" style="3"/>
    <col min="2049" max="2049" width="14" style="3" customWidth="1"/>
    <col min="2050" max="2055" width="10.265625" style="3" customWidth="1"/>
    <col min="2056" max="2304" width="9.265625" style="3"/>
    <col min="2305" max="2305" width="14" style="3" customWidth="1"/>
    <col min="2306" max="2311" width="10.265625" style="3" customWidth="1"/>
    <col min="2312" max="2560" width="9.265625" style="3"/>
    <col min="2561" max="2561" width="14" style="3" customWidth="1"/>
    <col min="2562" max="2567" width="10.265625" style="3" customWidth="1"/>
    <col min="2568" max="2816" width="9.265625" style="3"/>
    <col min="2817" max="2817" width="14" style="3" customWidth="1"/>
    <col min="2818" max="2823" width="10.265625" style="3" customWidth="1"/>
    <col min="2824" max="3072" width="9.265625" style="3"/>
    <col min="3073" max="3073" width="14" style="3" customWidth="1"/>
    <col min="3074" max="3079" width="10.265625" style="3" customWidth="1"/>
    <col min="3080" max="3328" width="9.265625" style="3"/>
    <col min="3329" max="3329" width="14" style="3" customWidth="1"/>
    <col min="3330" max="3335" width="10.265625" style="3" customWidth="1"/>
    <col min="3336" max="3584" width="9.265625" style="3"/>
    <col min="3585" max="3585" width="14" style="3" customWidth="1"/>
    <col min="3586" max="3591" width="10.265625" style="3" customWidth="1"/>
    <col min="3592" max="3840" width="9.265625" style="3"/>
    <col min="3841" max="3841" width="14" style="3" customWidth="1"/>
    <col min="3842" max="3847" width="10.265625" style="3" customWidth="1"/>
    <col min="3848" max="4096" width="9.265625" style="3"/>
    <col min="4097" max="4097" width="14" style="3" customWidth="1"/>
    <col min="4098" max="4103" width="10.265625" style="3" customWidth="1"/>
    <col min="4104" max="4352" width="9.265625" style="3"/>
    <col min="4353" max="4353" width="14" style="3" customWidth="1"/>
    <col min="4354" max="4359" width="10.265625" style="3" customWidth="1"/>
    <col min="4360" max="4608" width="9.265625" style="3"/>
    <col min="4609" max="4609" width="14" style="3" customWidth="1"/>
    <col min="4610" max="4615" width="10.265625" style="3" customWidth="1"/>
    <col min="4616" max="4864" width="9.265625" style="3"/>
    <col min="4865" max="4865" width="14" style="3" customWidth="1"/>
    <col min="4866" max="4871" width="10.265625" style="3" customWidth="1"/>
    <col min="4872" max="5120" width="9.265625" style="3"/>
    <col min="5121" max="5121" width="14" style="3" customWidth="1"/>
    <col min="5122" max="5127" width="10.265625" style="3" customWidth="1"/>
    <col min="5128" max="5376" width="9.265625" style="3"/>
    <col min="5377" max="5377" width="14" style="3" customWidth="1"/>
    <col min="5378" max="5383" width="10.265625" style="3" customWidth="1"/>
    <col min="5384" max="5632" width="9.265625" style="3"/>
    <col min="5633" max="5633" width="14" style="3" customWidth="1"/>
    <col min="5634" max="5639" width="10.265625" style="3" customWidth="1"/>
    <col min="5640" max="5888" width="9.265625" style="3"/>
    <col min="5889" max="5889" width="14" style="3" customWidth="1"/>
    <col min="5890" max="5895" width="10.265625" style="3" customWidth="1"/>
    <col min="5896" max="6144" width="9.265625" style="3"/>
    <col min="6145" max="6145" width="14" style="3" customWidth="1"/>
    <col min="6146" max="6151" width="10.265625" style="3" customWidth="1"/>
    <col min="6152" max="6400" width="9.265625" style="3"/>
    <col min="6401" max="6401" width="14" style="3" customWidth="1"/>
    <col min="6402" max="6407" width="10.265625" style="3" customWidth="1"/>
    <col min="6408" max="6656" width="9.265625" style="3"/>
    <col min="6657" max="6657" width="14" style="3" customWidth="1"/>
    <col min="6658" max="6663" width="10.265625" style="3" customWidth="1"/>
    <col min="6664" max="6912" width="9.265625" style="3"/>
    <col min="6913" max="6913" width="14" style="3" customWidth="1"/>
    <col min="6914" max="6919" width="10.265625" style="3" customWidth="1"/>
    <col min="6920" max="7168" width="9.265625" style="3"/>
    <col min="7169" max="7169" width="14" style="3" customWidth="1"/>
    <col min="7170" max="7175" width="10.265625" style="3" customWidth="1"/>
    <col min="7176" max="7424" width="9.265625" style="3"/>
    <col min="7425" max="7425" width="14" style="3" customWidth="1"/>
    <col min="7426" max="7431" width="10.265625" style="3" customWidth="1"/>
    <col min="7432" max="7680" width="9.265625" style="3"/>
    <col min="7681" max="7681" width="14" style="3" customWidth="1"/>
    <col min="7682" max="7687" width="10.265625" style="3" customWidth="1"/>
    <col min="7688" max="7936" width="9.265625" style="3"/>
    <col min="7937" max="7937" width="14" style="3" customWidth="1"/>
    <col min="7938" max="7943" width="10.265625" style="3" customWidth="1"/>
    <col min="7944" max="8192" width="9.265625" style="3"/>
    <col min="8193" max="8193" width="14" style="3" customWidth="1"/>
    <col min="8194" max="8199" width="10.265625" style="3" customWidth="1"/>
    <col min="8200" max="8448" width="9.265625" style="3"/>
    <col min="8449" max="8449" width="14" style="3" customWidth="1"/>
    <col min="8450" max="8455" width="10.265625" style="3" customWidth="1"/>
    <col min="8456" max="8704" width="9.265625" style="3"/>
    <col min="8705" max="8705" width="14" style="3" customWidth="1"/>
    <col min="8706" max="8711" width="10.265625" style="3" customWidth="1"/>
    <col min="8712" max="8960" width="9.265625" style="3"/>
    <col min="8961" max="8961" width="14" style="3" customWidth="1"/>
    <col min="8962" max="8967" width="10.265625" style="3" customWidth="1"/>
    <col min="8968" max="9216" width="9.265625" style="3"/>
    <col min="9217" max="9217" width="14" style="3" customWidth="1"/>
    <col min="9218" max="9223" width="10.265625" style="3" customWidth="1"/>
    <col min="9224" max="9472" width="9.265625" style="3"/>
    <col min="9473" max="9473" width="14" style="3" customWidth="1"/>
    <col min="9474" max="9479" width="10.265625" style="3" customWidth="1"/>
    <col min="9480" max="9728" width="9.265625" style="3"/>
    <col min="9729" max="9729" width="14" style="3" customWidth="1"/>
    <col min="9730" max="9735" width="10.265625" style="3" customWidth="1"/>
    <col min="9736" max="9984" width="9.265625" style="3"/>
    <col min="9985" max="9985" width="14" style="3" customWidth="1"/>
    <col min="9986" max="9991" width="10.265625" style="3" customWidth="1"/>
    <col min="9992" max="10240" width="9.265625" style="3"/>
    <col min="10241" max="10241" width="14" style="3" customWidth="1"/>
    <col min="10242" max="10247" width="10.265625" style="3" customWidth="1"/>
    <col min="10248" max="10496" width="9.265625" style="3"/>
    <col min="10497" max="10497" width="14" style="3" customWidth="1"/>
    <col min="10498" max="10503" width="10.265625" style="3" customWidth="1"/>
    <col min="10504" max="10752" width="9.265625" style="3"/>
    <col min="10753" max="10753" width="14" style="3" customWidth="1"/>
    <col min="10754" max="10759" width="10.265625" style="3" customWidth="1"/>
    <col min="10760" max="11008" width="9.265625" style="3"/>
    <col min="11009" max="11009" width="14" style="3" customWidth="1"/>
    <col min="11010" max="11015" width="10.265625" style="3" customWidth="1"/>
    <col min="11016" max="11264" width="9.265625" style="3"/>
    <col min="11265" max="11265" width="14" style="3" customWidth="1"/>
    <col min="11266" max="11271" width="10.265625" style="3" customWidth="1"/>
    <col min="11272" max="11520" width="9.265625" style="3"/>
    <col min="11521" max="11521" width="14" style="3" customWidth="1"/>
    <col min="11522" max="11527" width="10.265625" style="3" customWidth="1"/>
    <col min="11528" max="11776" width="9.265625" style="3"/>
    <col min="11777" max="11777" width="14" style="3" customWidth="1"/>
    <col min="11778" max="11783" width="10.265625" style="3" customWidth="1"/>
    <col min="11784" max="12032" width="9.265625" style="3"/>
    <col min="12033" max="12033" width="14" style="3" customWidth="1"/>
    <col min="12034" max="12039" width="10.265625" style="3" customWidth="1"/>
    <col min="12040" max="12288" width="9.265625" style="3"/>
    <col min="12289" max="12289" width="14" style="3" customWidth="1"/>
    <col min="12290" max="12295" width="10.265625" style="3" customWidth="1"/>
    <col min="12296" max="12544" width="9.265625" style="3"/>
    <col min="12545" max="12545" width="14" style="3" customWidth="1"/>
    <col min="12546" max="12551" width="10.265625" style="3" customWidth="1"/>
    <col min="12552" max="12800" width="9.265625" style="3"/>
    <col min="12801" max="12801" width="14" style="3" customWidth="1"/>
    <col min="12802" max="12807" width="10.265625" style="3" customWidth="1"/>
    <col min="12808" max="13056" width="9.265625" style="3"/>
    <col min="13057" max="13057" width="14" style="3" customWidth="1"/>
    <col min="13058" max="13063" width="10.265625" style="3" customWidth="1"/>
    <col min="13064" max="13312" width="9.265625" style="3"/>
    <col min="13313" max="13313" width="14" style="3" customWidth="1"/>
    <col min="13314" max="13319" width="10.265625" style="3" customWidth="1"/>
    <col min="13320" max="13568" width="9.265625" style="3"/>
    <col min="13569" max="13569" width="14" style="3" customWidth="1"/>
    <col min="13570" max="13575" width="10.265625" style="3" customWidth="1"/>
    <col min="13576" max="13824" width="9.265625" style="3"/>
    <col min="13825" max="13825" width="14" style="3" customWidth="1"/>
    <col min="13826" max="13831" width="10.265625" style="3" customWidth="1"/>
    <col min="13832" max="14080" width="9.265625" style="3"/>
    <col min="14081" max="14081" width="14" style="3" customWidth="1"/>
    <col min="14082" max="14087" width="10.265625" style="3" customWidth="1"/>
    <col min="14088" max="14336" width="9.265625" style="3"/>
    <col min="14337" max="14337" width="14" style="3" customWidth="1"/>
    <col min="14338" max="14343" width="10.265625" style="3" customWidth="1"/>
    <col min="14344" max="14592" width="9.265625" style="3"/>
    <col min="14593" max="14593" width="14" style="3" customWidth="1"/>
    <col min="14594" max="14599" width="10.265625" style="3" customWidth="1"/>
    <col min="14600" max="14848" width="9.265625" style="3"/>
    <col min="14849" max="14849" width="14" style="3" customWidth="1"/>
    <col min="14850" max="14855" width="10.265625" style="3" customWidth="1"/>
    <col min="14856" max="15104" width="9.265625" style="3"/>
    <col min="15105" max="15105" width="14" style="3" customWidth="1"/>
    <col min="15106" max="15111" width="10.265625" style="3" customWidth="1"/>
    <col min="15112" max="15360" width="9.265625" style="3"/>
    <col min="15361" max="15361" width="14" style="3" customWidth="1"/>
    <col min="15362" max="15367" width="10.265625" style="3" customWidth="1"/>
    <col min="15368" max="15616" width="9.265625" style="3"/>
    <col min="15617" max="15617" width="14" style="3" customWidth="1"/>
    <col min="15618" max="15623" width="10.265625" style="3" customWidth="1"/>
    <col min="15624" max="15872" width="9.265625" style="3"/>
    <col min="15873" max="15873" width="14" style="3" customWidth="1"/>
    <col min="15874" max="15879" width="10.265625" style="3" customWidth="1"/>
    <col min="15880" max="16128" width="9.265625" style="3"/>
    <col min="16129" max="16129" width="14" style="3" customWidth="1"/>
    <col min="16130" max="16135" width="10.265625" style="3" customWidth="1"/>
    <col min="16136" max="16384" width="9.265625" style="3"/>
  </cols>
  <sheetData>
    <row r="1" spans="1:19" ht="15" x14ac:dyDescent="0.4">
      <c r="A1" s="93" t="str">
        <f>+'Cover Page'!$B$29</f>
        <v>Annual Performance Report 2022</v>
      </c>
      <c r="B1" s="93"/>
      <c r="C1" s="93"/>
      <c r="D1" s="93"/>
      <c r="E1" s="93" t="str">
        <f>+'Cover Page'!$B$33</f>
        <v>EQUANS FM Ltd</v>
      </c>
    </row>
    <row r="3" spans="1:19" ht="13.9" x14ac:dyDescent="0.4">
      <c r="A3" s="60" t="s">
        <v>382</v>
      </c>
      <c r="D3" s="76" t="s">
        <v>341</v>
      </c>
      <c r="G3" s="80" t="s">
        <v>342</v>
      </c>
      <c r="J3" s="9" t="str">
        <f>+A3</f>
        <v>Monitoring of Particulate matter emissions</v>
      </c>
      <c r="L3" s="9"/>
      <c r="N3" s="9" t="s">
        <v>343</v>
      </c>
      <c r="Q3" s="79" t="s">
        <v>3</v>
      </c>
      <c r="R3" s="74"/>
      <c r="S3" s="74"/>
    </row>
    <row r="4" spans="1:19" ht="14.1" customHeight="1" x14ac:dyDescent="0.35">
      <c r="Q4" s="350" t="s">
        <v>344</v>
      </c>
      <c r="R4" s="350"/>
      <c r="S4" s="350"/>
    </row>
    <row r="5" spans="1:19" ht="15.75" x14ac:dyDescent="0.4">
      <c r="A5" s="68" t="s">
        <v>345</v>
      </c>
      <c r="B5" s="361" t="s">
        <v>346</v>
      </c>
      <c r="C5" s="361"/>
      <c r="D5" s="361"/>
      <c r="E5" s="361" t="s">
        <v>347</v>
      </c>
      <c r="F5" s="361"/>
      <c r="G5" s="361"/>
      <c r="J5" s="360"/>
      <c r="K5" s="360"/>
      <c r="L5" s="360"/>
      <c r="M5" s="360"/>
      <c r="N5" s="360"/>
      <c r="O5" s="360"/>
      <c r="Q5" s="350"/>
      <c r="R5" s="350"/>
      <c r="S5" s="350"/>
    </row>
    <row r="6" spans="1:19" s="58" customFormat="1" ht="37.5" customHeight="1" x14ac:dyDescent="0.45">
      <c r="A6" s="65">
        <f>+'Cover Page'!C39</f>
        <v>2022</v>
      </c>
      <c r="B6" s="55" t="s">
        <v>383</v>
      </c>
      <c r="C6" s="55" t="s">
        <v>349</v>
      </c>
      <c r="D6" s="55" t="s">
        <v>350</v>
      </c>
      <c r="E6" s="55" t="s">
        <v>384</v>
      </c>
      <c r="F6" s="55" t="s">
        <v>352</v>
      </c>
      <c r="G6" s="55" t="s">
        <v>353</v>
      </c>
      <c r="H6" s="59"/>
      <c r="J6" s="61">
        <f>+A6</f>
        <v>2022</v>
      </c>
      <c r="K6" s="61" t="s">
        <v>354</v>
      </c>
      <c r="L6" s="67" t="s">
        <v>349</v>
      </c>
      <c r="M6" s="67" t="s">
        <v>355</v>
      </c>
      <c r="N6" s="67" t="s">
        <v>352</v>
      </c>
      <c r="O6" s="67" t="s">
        <v>356</v>
      </c>
      <c r="Q6" s="350"/>
      <c r="R6" s="350"/>
      <c r="S6" s="350"/>
    </row>
    <row r="7" spans="1:19" x14ac:dyDescent="0.35">
      <c r="A7" s="66" t="s">
        <v>357</v>
      </c>
      <c r="B7" s="63">
        <v>45</v>
      </c>
      <c r="C7" s="177">
        <v>1</v>
      </c>
      <c r="D7" s="64">
        <v>2</v>
      </c>
      <c r="E7" s="63">
        <v>15</v>
      </c>
      <c r="F7" s="177">
        <v>1</v>
      </c>
      <c r="G7" s="64">
        <v>1</v>
      </c>
      <c r="J7" s="359" t="s">
        <v>186</v>
      </c>
      <c r="K7" s="66" t="s">
        <v>357</v>
      </c>
      <c r="L7" s="64"/>
      <c r="M7" s="64"/>
      <c r="N7" s="64"/>
      <c r="O7" s="64"/>
      <c r="Q7" s="350"/>
      <c r="R7" s="350"/>
      <c r="S7" s="350"/>
    </row>
    <row r="8" spans="1:19" x14ac:dyDescent="0.35">
      <c r="A8" s="66" t="s">
        <v>358</v>
      </c>
      <c r="B8" s="63">
        <v>45</v>
      </c>
      <c r="C8" s="177">
        <v>1</v>
      </c>
      <c r="D8" s="64">
        <v>3</v>
      </c>
      <c r="E8" s="63">
        <v>15</v>
      </c>
      <c r="F8" s="177">
        <v>1</v>
      </c>
      <c r="G8" s="64">
        <v>1</v>
      </c>
      <c r="J8" s="359"/>
      <c r="K8" s="66" t="s">
        <v>358</v>
      </c>
      <c r="L8" s="64"/>
      <c r="M8" s="64"/>
      <c r="N8" s="64"/>
      <c r="O8" s="64"/>
      <c r="Q8" s="350"/>
      <c r="R8" s="350"/>
      <c r="S8" s="350"/>
    </row>
    <row r="9" spans="1:19" ht="13.9" x14ac:dyDescent="0.4">
      <c r="A9" s="66" t="s">
        <v>359</v>
      </c>
      <c r="B9" s="63">
        <v>45</v>
      </c>
      <c r="C9" s="177">
        <v>1.4830000000000001</v>
      </c>
      <c r="D9" s="64">
        <v>13</v>
      </c>
      <c r="E9" s="63">
        <v>15</v>
      </c>
      <c r="F9" s="177">
        <v>1.4830000000000001</v>
      </c>
      <c r="G9" s="64">
        <v>2</v>
      </c>
      <c r="J9" s="359"/>
      <c r="K9" s="66" t="s">
        <v>359</v>
      </c>
      <c r="L9" s="64"/>
      <c r="M9" s="64"/>
      <c r="N9" s="64"/>
      <c r="O9" s="64"/>
      <c r="Q9" s="78" t="s">
        <v>360</v>
      </c>
    </row>
    <row r="10" spans="1:19" ht="14.25" customHeight="1" x14ac:dyDescent="0.35">
      <c r="A10" s="66" t="s">
        <v>361</v>
      </c>
      <c r="B10" s="63">
        <v>45</v>
      </c>
      <c r="C10" s="177">
        <v>1.7</v>
      </c>
      <c r="D10" s="64">
        <v>4</v>
      </c>
      <c r="E10" s="63">
        <v>15</v>
      </c>
      <c r="F10" s="177">
        <v>1.7</v>
      </c>
      <c r="G10" s="64">
        <v>2</v>
      </c>
      <c r="J10" s="359"/>
      <c r="K10" s="66" t="s">
        <v>361</v>
      </c>
      <c r="L10" s="64"/>
      <c r="M10" s="64"/>
      <c r="N10" s="64"/>
      <c r="O10" s="64"/>
      <c r="Q10" s="358" t="s">
        <v>362</v>
      </c>
      <c r="R10" s="358"/>
      <c r="S10" s="358"/>
    </row>
    <row r="11" spans="1:19" x14ac:dyDescent="0.35">
      <c r="A11" s="66" t="s">
        <v>363</v>
      </c>
      <c r="B11" s="63">
        <v>45</v>
      </c>
      <c r="C11" s="177">
        <v>2</v>
      </c>
      <c r="D11" s="64">
        <v>5</v>
      </c>
      <c r="E11" s="63">
        <v>15</v>
      </c>
      <c r="F11" s="177">
        <v>2</v>
      </c>
      <c r="G11" s="64">
        <v>2</v>
      </c>
      <c r="J11" s="359"/>
      <c r="K11" s="66" t="s">
        <v>363</v>
      </c>
      <c r="L11" s="64"/>
      <c r="M11" s="64"/>
      <c r="N11" s="64"/>
      <c r="O11" s="64"/>
      <c r="Q11" s="358"/>
      <c r="R11" s="358"/>
      <c r="S11" s="358"/>
    </row>
    <row r="12" spans="1:19" x14ac:dyDescent="0.35">
      <c r="A12" s="66" t="s">
        <v>364</v>
      </c>
      <c r="B12" s="63">
        <v>45</v>
      </c>
      <c r="C12" s="177">
        <v>3.4279999999999999</v>
      </c>
      <c r="D12" s="64">
        <v>10</v>
      </c>
      <c r="E12" s="63">
        <v>15</v>
      </c>
      <c r="F12" s="177">
        <v>3.4279999999999999</v>
      </c>
      <c r="G12" s="64">
        <v>6</v>
      </c>
      <c r="J12" s="359"/>
      <c r="K12" s="66" t="s">
        <v>364</v>
      </c>
      <c r="L12" s="64"/>
      <c r="M12" s="64"/>
      <c r="N12" s="64"/>
      <c r="O12" s="64"/>
      <c r="Q12" s="358"/>
      <c r="R12" s="358"/>
      <c r="S12" s="358"/>
    </row>
    <row r="13" spans="1:19" ht="14.25" customHeight="1" x14ac:dyDescent="0.35">
      <c r="A13" s="66" t="s">
        <v>365</v>
      </c>
      <c r="B13" s="63">
        <v>45</v>
      </c>
      <c r="C13" s="177">
        <v>0</v>
      </c>
      <c r="D13" s="64">
        <v>0</v>
      </c>
      <c r="E13" s="63">
        <v>15</v>
      </c>
      <c r="F13" s="177">
        <v>0</v>
      </c>
      <c r="G13" s="64">
        <v>0</v>
      </c>
      <c r="J13" s="359"/>
      <c r="K13" s="66" t="s">
        <v>365</v>
      </c>
      <c r="L13" s="64"/>
      <c r="M13" s="64"/>
      <c r="N13" s="64"/>
      <c r="O13" s="64"/>
      <c r="Q13" s="358" t="s">
        <v>366</v>
      </c>
      <c r="R13" s="358"/>
      <c r="S13" s="358"/>
    </row>
    <row r="14" spans="1:19" x14ac:dyDescent="0.35">
      <c r="A14" s="66" t="s">
        <v>367</v>
      </c>
      <c r="B14" s="63">
        <v>45</v>
      </c>
      <c r="C14" s="177">
        <v>0.115</v>
      </c>
      <c r="D14" s="64">
        <v>2</v>
      </c>
      <c r="E14" s="63">
        <v>15</v>
      </c>
      <c r="F14" s="177">
        <v>0.115</v>
      </c>
      <c r="G14" s="64">
        <v>1</v>
      </c>
      <c r="J14" s="359"/>
      <c r="K14" s="66" t="s">
        <v>367</v>
      </c>
      <c r="L14" s="64"/>
      <c r="M14" s="64"/>
      <c r="N14" s="64"/>
      <c r="O14" s="64"/>
      <c r="Q14" s="358"/>
      <c r="R14" s="358"/>
      <c r="S14" s="358"/>
    </row>
    <row r="15" spans="1:19" x14ac:dyDescent="0.35">
      <c r="A15" s="66" t="s">
        <v>368</v>
      </c>
      <c r="B15" s="63">
        <v>45</v>
      </c>
      <c r="C15" s="177">
        <v>0</v>
      </c>
      <c r="D15" s="64">
        <v>0</v>
      </c>
      <c r="E15" s="63">
        <v>15</v>
      </c>
      <c r="F15" s="177">
        <v>0</v>
      </c>
      <c r="G15" s="64">
        <v>0</v>
      </c>
      <c r="J15" s="359"/>
      <c r="K15" s="66" t="s">
        <v>368</v>
      </c>
      <c r="L15" s="64"/>
      <c r="M15" s="64"/>
      <c r="N15" s="64"/>
      <c r="O15" s="64"/>
      <c r="Q15" s="358"/>
      <c r="R15" s="358"/>
      <c r="S15" s="358"/>
    </row>
    <row r="16" spans="1:19" x14ac:dyDescent="0.35">
      <c r="A16" s="66" t="s">
        <v>369</v>
      </c>
      <c r="B16" s="63">
        <v>45</v>
      </c>
      <c r="C16" s="177">
        <v>0</v>
      </c>
      <c r="D16" s="64">
        <v>0</v>
      </c>
      <c r="E16" s="63">
        <v>15</v>
      </c>
      <c r="F16" s="177">
        <v>0</v>
      </c>
      <c r="G16" s="64">
        <v>0</v>
      </c>
      <c r="J16" s="359"/>
      <c r="K16" s="66" t="s">
        <v>369</v>
      </c>
      <c r="L16" s="64"/>
      <c r="M16" s="64"/>
      <c r="N16" s="64"/>
      <c r="O16" s="64"/>
      <c r="Q16" s="358"/>
      <c r="R16" s="358"/>
      <c r="S16" s="358"/>
    </row>
    <row r="17" spans="1:15" x14ac:dyDescent="0.35">
      <c r="A17" s="66" t="s">
        <v>370</v>
      </c>
      <c r="B17" s="63">
        <v>45</v>
      </c>
      <c r="C17" s="177">
        <v>0.83299999999999996</v>
      </c>
      <c r="D17" s="64">
        <v>11</v>
      </c>
      <c r="E17" s="63">
        <v>15</v>
      </c>
      <c r="F17" s="177">
        <v>0.83299999999999996</v>
      </c>
      <c r="G17" s="64">
        <v>5</v>
      </c>
      <c r="J17" s="359"/>
      <c r="K17" s="66" t="s">
        <v>370</v>
      </c>
      <c r="L17" s="64"/>
      <c r="M17" s="64"/>
      <c r="N17" s="64"/>
      <c r="O17" s="64"/>
    </row>
    <row r="18" spans="1:15" x14ac:dyDescent="0.35">
      <c r="A18" s="66" t="s">
        <v>371</v>
      </c>
      <c r="B18" s="63">
        <v>45</v>
      </c>
      <c r="C18" s="177">
        <v>4.71</v>
      </c>
      <c r="D18" s="64">
        <v>12</v>
      </c>
      <c r="E18" s="63">
        <v>15</v>
      </c>
      <c r="F18" s="177">
        <v>4.71</v>
      </c>
      <c r="G18" s="64">
        <v>6</v>
      </c>
      <c r="J18" s="359"/>
      <c r="K18" s="66" t="s">
        <v>371</v>
      </c>
      <c r="L18" s="64"/>
      <c r="M18" s="64"/>
      <c r="N18" s="64"/>
      <c r="O18" s="64"/>
    </row>
    <row r="19" spans="1:15" x14ac:dyDescent="0.35">
      <c r="J19" s="359"/>
      <c r="K19" s="62" t="s">
        <v>372</v>
      </c>
      <c r="L19" s="62" t="e">
        <f>AVERAGE(L7:L18)</f>
        <v>#DIV/0!</v>
      </c>
      <c r="M19" s="62">
        <f>MAX(M7:M18)</f>
        <v>0</v>
      </c>
      <c r="N19" s="62" t="e">
        <f>AVERAGE(N7:N18)</f>
        <v>#DIV/0!</v>
      </c>
      <c r="O19" s="62">
        <f>MAX(O7:O18)</f>
        <v>0</v>
      </c>
    </row>
    <row r="21" spans="1:15" ht="27.75" x14ac:dyDescent="0.35">
      <c r="J21" s="61">
        <f>+A6</f>
        <v>2022</v>
      </c>
      <c r="K21" s="61" t="s">
        <v>354</v>
      </c>
      <c r="L21" s="67" t="s">
        <v>349</v>
      </c>
      <c r="M21" s="67" t="s">
        <v>355</v>
      </c>
      <c r="N21" s="67" t="s">
        <v>352</v>
      </c>
      <c r="O21" s="67" t="s">
        <v>356</v>
      </c>
    </row>
    <row r="22" spans="1:15" x14ac:dyDescent="0.35">
      <c r="J22" s="359" t="s">
        <v>187</v>
      </c>
      <c r="K22" s="66" t="s">
        <v>357</v>
      </c>
      <c r="L22" s="64"/>
      <c r="M22" s="64"/>
      <c r="N22" s="64"/>
      <c r="O22" s="64"/>
    </row>
    <row r="23" spans="1:15" x14ac:dyDescent="0.35">
      <c r="J23" s="359"/>
      <c r="K23" s="66" t="s">
        <v>358</v>
      </c>
      <c r="L23" s="64"/>
      <c r="M23" s="64"/>
      <c r="N23" s="64"/>
      <c r="O23" s="64"/>
    </row>
    <row r="24" spans="1:15" x14ac:dyDescent="0.35">
      <c r="J24" s="359"/>
      <c r="K24" s="66" t="s">
        <v>359</v>
      </c>
      <c r="L24" s="64"/>
      <c r="M24" s="64"/>
      <c r="N24" s="64"/>
      <c r="O24" s="64"/>
    </row>
    <row r="25" spans="1:15" x14ac:dyDescent="0.35">
      <c r="J25" s="359"/>
      <c r="K25" s="66" t="s">
        <v>361</v>
      </c>
      <c r="L25" s="64"/>
      <c r="M25" s="64"/>
      <c r="N25" s="64"/>
      <c r="O25" s="64"/>
    </row>
    <row r="26" spans="1:15" x14ac:dyDescent="0.35">
      <c r="J26" s="359"/>
      <c r="K26" s="66" t="s">
        <v>363</v>
      </c>
      <c r="L26" s="64"/>
      <c r="M26" s="64"/>
      <c r="N26" s="64"/>
      <c r="O26" s="64"/>
    </row>
    <row r="27" spans="1:15" x14ac:dyDescent="0.35">
      <c r="J27" s="359"/>
      <c r="K27" s="66" t="s">
        <v>364</v>
      </c>
      <c r="L27" s="64"/>
      <c r="M27" s="64"/>
      <c r="N27" s="64"/>
      <c r="O27" s="64"/>
    </row>
    <row r="28" spans="1:15" x14ac:dyDescent="0.35">
      <c r="J28" s="359"/>
      <c r="K28" s="66" t="s">
        <v>365</v>
      </c>
      <c r="L28" s="64"/>
      <c r="M28" s="64"/>
      <c r="N28" s="64"/>
      <c r="O28" s="64"/>
    </row>
    <row r="29" spans="1:15" x14ac:dyDescent="0.35">
      <c r="J29" s="359"/>
      <c r="K29" s="66" t="s">
        <v>367</v>
      </c>
      <c r="L29" s="64"/>
      <c r="M29" s="64"/>
      <c r="N29" s="64"/>
      <c r="O29" s="64"/>
    </row>
    <row r="30" spans="1:15" x14ac:dyDescent="0.35">
      <c r="J30" s="359"/>
      <c r="K30" s="66" t="s">
        <v>368</v>
      </c>
      <c r="L30" s="64"/>
      <c r="M30" s="64"/>
      <c r="N30" s="64"/>
      <c r="O30" s="64"/>
    </row>
    <row r="31" spans="1:15" x14ac:dyDescent="0.35">
      <c r="J31" s="359"/>
      <c r="K31" s="66" t="s">
        <v>369</v>
      </c>
      <c r="L31" s="64"/>
      <c r="M31" s="64"/>
      <c r="N31" s="64"/>
      <c r="O31" s="64"/>
    </row>
    <row r="32" spans="1:15" x14ac:dyDescent="0.35">
      <c r="J32" s="359"/>
      <c r="K32" s="66" t="s">
        <v>370</v>
      </c>
      <c r="L32" s="64"/>
      <c r="M32" s="64"/>
      <c r="N32" s="64"/>
      <c r="O32" s="64"/>
    </row>
    <row r="33" spans="1:15" x14ac:dyDescent="0.35">
      <c r="J33" s="359"/>
      <c r="K33" s="66" t="s">
        <v>371</v>
      </c>
      <c r="L33" s="64"/>
      <c r="M33" s="64"/>
      <c r="N33" s="64"/>
      <c r="O33" s="64"/>
    </row>
    <row r="34" spans="1:15" x14ac:dyDescent="0.35">
      <c r="J34" s="359"/>
      <c r="K34" s="62" t="s">
        <v>372</v>
      </c>
      <c r="L34" s="62" t="e">
        <f>AVERAGE(L22:L33)</f>
        <v>#DIV/0!</v>
      </c>
      <c r="M34" s="62">
        <f>MAX(M22:M33)</f>
        <v>0</v>
      </c>
      <c r="N34" s="62" t="e">
        <f>AVERAGE(N22:N33)</f>
        <v>#DIV/0!</v>
      </c>
      <c r="O34" s="62">
        <f>MAX(O22:O33)</f>
        <v>0</v>
      </c>
    </row>
    <row r="36" spans="1:15" ht="27.75" x14ac:dyDescent="0.35">
      <c r="J36" s="61">
        <f>+A6</f>
        <v>2022</v>
      </c>
      <c r="K36" s="61" t="s">
        <v>354</v>
      </c>
      <c r="L36" s="67" t="s">
        <v>349</v>
      </c>
      <c r="M36" s="67" t="s">
        <v>355</v>
      </c>
      <c r="N36" s="67" t="s">
        <v>352</v>
      </c>
      <c r="O36" s="67" t="s">
        <v>356</v>
      </c>
    </row>
    <row r="37" spans="1:15" x14ac:dyDescent="0.35">
      <c r="J37" s="359" t="s">
        <v>188</v>
      </c>
      <c r="K37" s="66" t="s">
        <v>357</v>
      </c>
      <c r="L37" s="64"/>
      <c r="M37" s="64"/>
      <c r="N37" s="64"/>
      <c r="O37" s="64"/>
    </row>
    <row r="38" spans="1:15" x14ac:dyDescent="0.35">
      <c r="J38" s="359"/>
      <c r="K38" s="66" t="s">
        <v>358</v>
      </c>
      <c r="L38" s="64"/>
      <c r="M38" s="64"/>
      <c r="N38" s="64"/>
      <c r="O38" s="64"/>
    </row>
    <row r="39" spans="1:15" x14ac:dyDescent="0.35">
      <c r="J39" s="359"/>
      <c r="K39" s="66" t="s">
        <v>359</v>
      </c>
      <c r="L39" s="64"/>
      <c r="M39" s="64"/>
      <c r="N39" s="64"/>
      <c r="O39" s="64"/>
    </row>
    <row r="40" spans="1:15" x14ac:dyDescent="0.35">
      <c r="J40" s="359"/>
      <c r="K40" s="66" t="s">
        <v>361</v>
      </c>
      <c r="L40" s="64"/>
      <c r="M40" s="64"/>
      <c r="N40" s="64"/>
      <c r="O40" s="64"/>
    </row>
    <row r="41" spans="1:15" x14ac:dyDescent="0.35">
      <c r="J41" s="359"/>
      <c r="K41" s="66" t="s">
        <v>363</v>
      </c>
      <c r="L41" s="64"/>
      <c r="M41" s="64"/>
      <c r="N41" s="64"/>
      <c r="O41" s="64"/>
    </row>
    <row r="42" spans="1:15" x14ac:dyDescent="0.35">
      <c r="J42" s="359"/>
      <c r="K42" s="66" t="s">
        <v>364</v>
      </c>
      <c r="L42" s="64"/>
      <c r="M42" s="64"/>
      <c r="N42" s="64"/>
      <c r="O42" s="64"/>
    </row>
    <row r="43" spans="1:15" x14ac:dyDescent="0.35">
      <c r="J43" s="359"/>
      <c r="K43" s="66" t="s">
        <v>365</v>
      </c>
      <c r="L43" s="64"/>
      <c r="M43" s="64"/>
      <c r="N43" s="64"/>
      <c r="O43" s="64"/>
    </row>
    <row r="44" spans="1:15" x14ac:dyDescent="0.35">
      <c r="J44" s="359"/>
      <c r="K44" s="66" t="s">
        <v>367</v>
      </c>
      <c r="L44" s="64"/>
      <c r="M44" s="64"/>
      <c r="N44" s="64"/>
      <c r="O44" s="64"/>
    </row>
    <row r="45" spans="1:15" x14ac:dyDescent="0.35">
      <c r="J45" s="359"/>
      <c r="K45" s="66" t="s">
        <v>368</v>
      </c>
      <c r="L45" s="64"/>
      <c r="M45" s="64"/>
      <c r="N45" s="64"/>
      <c r="O45" s="64"/>
    </row>
    <row r="46" spans="1:15" x14ac:dyDescent="0.35">
      <c r="J46" s="359"/>
      <c r="K46" s="66" t="s">
        <v>369</v>
      </c>
      <c r="L46" s="64"/>
      <c r="M46" s="64"/>
      <c r="N46" s="64"/>
      <c r="O46" s="64"/>
    </row>
    <row r="47" spans="1:15" x14ac:dyDescent="0.35">
      <c r="J47" s="359"/>
      <c r="K47" s="66" t="s">
        <v>370</v>
      </c>
      <c r="L47" s="64"/>
      <c r="M47" s="64"/>
      <c r="N47" s="64"/>
      <c r="O47" s="64"/>
    </row>
    <row r="48" spans="1:15" ht="13.9" x14ac:dyDescent="0.35">
      <c r="A48" s="371" t="s">
        <v>267</v>
      </c>
      <c r="B48" s="372"/>
      <c r="C48" s="372"/>
      <c r="D48" s="372"/>
      <c r="E48" s="372"/>
      <c r="F48" s="372"/>
      <c r="G48" s="373"/>
      <c r="J48" s="359"/>
      <c r="K48" s="66" t="s">
        <v>371</v>
      </c>
      <c r="L48" s="64"/>
      <c r="M48" s="64"/>
      <c r="N48" s="64"/>
      <c r="O48" s="64"/>
    </row>
    <row r="49" spans="1:15" x14ac:dyDescent="0.35">
      <c r="A49" s="362"/>
      <c r="B49" s="363"/>
      <c r="C49" s="363"/>
      <c r="D49" s="363"/>
      <c r="E49" s="363"/>
      <c r="F49" s="363"/>
      <c r="G49" s="364"/>
      <c r="J49" s="359"/>
      <c r="K49" s="62" t="s">
        <v>372</v>
      </c>
      <c r="L49" s="62" t="e">
        <f>AVERAGE(L37:L48)</f>
        <v>#DIV/0!</v>
      </c>
      <c r="M49" s="62">
        <f>MAX(M37:M48)</f>
        <v>0</v>
      </c>
      <c r="N49" s="62" t="e">
        <f>AVERAGE(N37:N48)</f>
        <v>#DIV/0!</v>
      </c>
      <c r="O49" s="62">
        <f>MAX(O37:O48)</f>
        <v>0</v>
      </c>
    </row>
    <row r="50" spans="1:15" x14ac:dyDescent="0.35">
      <c r="A50" s="365"/>
      <c r="B50" s="366"/>
      <c r="C50" s="366"/>
      <c r="D50" s="366"/>
      <c r="E50" s="366"/>
      <c r="F50" s="366"/>
      <c r="G50" s="367"/>
    </row>
    <row r="51" spans="1:15" ht="27.75" x14ac:dyDescent="0.35">
      <c r="A51" s="365"/>
      <c r="B51" s="366"/>
      <c r="C51" s="366"/>
      <c r="D51" s="366"/>
      <c r="E51" s="366"/>
      <c r="F51" s="366"/>
      <c r="G51" s="367"/>
      <c r="J51" s="61">
        <f>+A6</f>
        <v>2022</v>
      </c>
      <c r="K51" s="61" t="s">
        <v>354</v>
      </c>
      <c r="L51" s="67" t="s">
        <v>349</v>
      </c>
      <c r="M51" s="67" t="s">
        <v>355</v>
      </c>
      <c r="N51" s="67" t="s">
        <v>352</v>
      </c>
      <c r="O51" s="67" t="s">
        <v>356</v>
      </c>
    </row>
    <row r="52" spans="1:15" x14ac:dyDescent="0.35">
      <c r="A52" s="368"/>
      <c r="B52" s="369"/>
      <c r="C52" s="369"/>
      <c r="D52" s="369"/>
      <c r="E52" s="369"/>
      <c r="F52" s="369"/>
      <c r="G52" s="370"/>
      <c r="J52" s="359" t="s">
        <v>189</v>
      </c>
      <c r="K52" s="66" t="s">
        <v>357</v>
      </c>
      <c r="L52" s="64"/>
      <c r="M52" s="64"/>
      <c r="N52" s="64"/>
      <c r="O52" s="64"/>
    </row>
    <row r="53" spans="1:15" x14ac:dyDescent="0.35">
      <c r="J53" s="359"/>
      <c r="K53" s="66" t="s">
        <v>358</v>
      </c>
      <c r="L53" s="64"/>
      <c r="M53" s="64"/>
      <c r="N53" s="64"/>
      <c r="O53" s="64"/>
    </row>
    <row r="54" spans="1:15" x14ac:dyDescent="0.35">
      <c r="J54" s="359"/>
      <c r="K54" s="66" t="s">
        <v>359</v>
      </c>
      <c r="L54" s="64"/>
      <c r="M54" s="64"/>
      <c r="N54" s="64"/>
      <c r="O54" s="64"/>
    </row>
    <row r="55" spans="1:15" x14ac:dyDescent="0.35">
      <c r="J55" s="359"/>
      <c r="K55" s="66" t="s">
        <v>361</v>
      </c>
      <c r="L55" s="64"/>
      <c r="M55" s="64"/>
      <c r="N55" s="64"/>
      <c r="O55" s="64"/>
    </row>
    <row r="56" spans="1:15" x14ac:dyDescent="0.35">
      <c r="J56" s="359"/>
      <c r="K56" s="66" t="s">
        <v>363</v>
      </c>
      <c r="L56" s="64"/>
      <c r="M56" s="64"/>
      <c r="N56" s="64"/>
      <c r="O56" s="64"/>
    </row>
    <row r="57" spans="1:15" x14ac:dyDescent="0.35">
      <c r="J57" s="359"/>
      <c r="K57" s="66" t="s">
        <v>364</v>
      </c>
      <c r="L57" s="64"/>
      <c r="M57" s="64"/>
      <c r="N57" s="64"/>
      <c r="O57" s="64"/>
    </row>
    <row r="58" spans="1:15" x14ac:dyDescent="0.35">
      <c r="J58" s="359"/>
      <c r="K58" s="66" t="s">
        <v>365</v>
      </c>
      <c r="L58" s="64"/>
      <c r="M58" s="64"/>
      <c r="N58" s="64"/>
      <c r="O58" s="64"/>
    </row>
    <row r="59" spans="1:15" x14ac:dyDescent="0.35">
      <c r="J59" s="359"/>
      <c r="K59" s="66" t="s">
        <v>367</v>
      </c>
      <c r="L59" s="64"/>
      <c r="M59" s="64"/>
      <c r="N59" s="64"/>
      <c r="O59" s="64"/>
    </row>
    <row r="60" spans="1:15" x14ac:dyDescent="0.35">
      <c r="J60" s="359"/>
      <c r="K60" s="66" t="s">
        <v>368</v>
      </c>
      <c r="L60" s="64"/>
      <c r="M60" s="64"/>
      <c r="N60" s="64"/>
      <c r="O60" s="64"/>
    </row>
    <row r="61" spans="1:15" x14ac:dyDescent="0.35">
      <c r="J61" s="359"/>
      <c r="K61" s="66" t="s">
        <v>369</v>
      </c>
      <c r="L61" s="64"/>
      <c r="M61" s="64"/>
      <c r="N61" s="64"/>
      <c r="O61" s="64"/>
    </row>
    <row r="62" spans="1:15" x14ac:dyDescent="0.35">
      <c r="J62" s="359"/>
      <c r="K62" s="66" t="s">
        <v>370</v>
      </c>
      <c r="L62" s="64"/>
      <c r="M62" s="64"/>
      <c r="N62" s="64"/>
      <c r="O62" s="64"/>
    </row>
    <row r="63" spans="1:15" x14ac:dyDescent="0.35">
      <c r="J63" s="359"/>
      <c r="K63" s="66" t="s">
        <v>371</v>
      </c>
      <c r="L63" s="64"/>
      <c r="M63" s="64"/>
      <c r="N63" s="64"/>
      <c r="O63" s="64"/>
    </row>
    <row r="64" spans="1:15" x14ac:dyDescent="0.35">
      <c r="J64" s="359"/>
      <c r="K64" s="62" t="s">
        <v>372</v>
      </c>
      <c r="L64" s="62" t="e">
        <f>AVERAGE(L52:L63)</f>
        <v>#DIV/0!</v>
      </c>
      <c r="M64" s="62">
        <f>MAX(M52:M63)</f>
        <v>0</v>
      </c>
      <c r="N64" s="62" t="e">
        <f>AVERAGE(N52:N63)</f>
        <v>#DIV/0!</v>
      </c>
      <c r="O64" s="62">
        <f>MAX(O52:O63)</f>
        <v>0</v>
      </c>
    </row>
    <row r="66" spans="10:15" ht="27.75" x14ac:dyDescent="0.35">
      <c r="J66" s="61">
        <f>+A6</f>
        <v>2022</v>
      </c>
      <c r="K66" s="61" t="s">
        <v>354</v>
      </c>
      <c r="L66" s="67" t="s">
        <v>349</v>
      </c>
      <c r="M66" s="67" t="s">
        <v>355</v>
      </c>
      <c r="N66" s="67" t="s">
        <v>352</v>
      </c>
      <c r="O66" s="67" t="s">
        <v>356</v>
      </c>
    </row>
    <row r="67" spans="10:15" x14ac:dyDescent="0.35">
      <c r="J67" s="359" t="s">
        <v>190</v>
      </c>
      <c r="K67" s="66" t="s">
        <v>357</v>
      </c>
      <c r="L67" s="64"/>
      <c r="M67" s="64"/>
      <c r="N67" s="64"/>
      <c r="O67" s="64"/>
    </row>
    <row r="68" spans="10:15" x14ac:dyDescent="0.35">
      <c r="J68" s="359"/>
      <c r="K68" s="66" t="s">
        <v>358</v>
      </c>
      <c r="L68" s="64"/>
      <c r="M68" s="64"/>
      <c r="N68" s="64"/>
      <c r="O68" s="64"/>
    </row>
    <row r="69" spans="10:15" x14ac:dyDescent="0.35">
      <c r="J69" s="359"/>
      <c r="K69" s="66" t="s">
        <v>359</v>
      </c>
      <c r="L69" s="64"/>
      <c r="M69" s="64"/>
      <c r="N69" s="64"/>
      <c r="O69" s="64"/>
    </row>
    <row r="70" spans="10:15" x14ac:dyDescent="0.35">
      <c r="J70" s="359"/>
      <c r="K70" s="66" t="s">
        <v>361</v>
      </c>
      <c r="L70" s="64"/>
      <c r="M70" s="64"/>
      <c r="N70" s="64"/>
      <c r="O70" s="64"/>
    </row>
    <row r="71" spans="10:15" x14ac:dyDescent="0.35">
      <c r="J71" s="359"/>
      <c r="K71" s="66" t="s">
        <v>363</v>
      </c>
      <c r="L71" s="64"/>
      <c r="M71" s="64"/>
      <c r="N71" s="64"/>
      <c r="O71" s="64"/>
    </row>
    <row r="72" spans="10:15" x14ac:dyDescent="0.35">
      <c r="J72" s="359"/>
      <c r="K72" s="66" t="s">
        <v>364</v>
      </c>
      <c r="L72" s="64"/>
      <c r="M72" s="64"/>
      <c r="N72" s="64"/>
      <c r="O72" s="64"/>
    </row>
    <row r="73" spans="10:15" x14ac:dyDescent="0.35">
      <c r="J73" s="359"/>
      <c r="K73" s="66" t="s">
        <v>365</v>
      </c>
      <c r="L73" s="64"/>
      <c r="M73" s="64"/>
      <c r="N73" s="64"/>
      <c r="O73" s="64"/>
    </row>
    <row r="74" spans="10:15" x14ac:dyDescent="0.35">
      <c r="J74" s="359"/>
      <c r="K74" s="66" t="s">
        <v>367</v>
      </c>
      <c r="L74" s="64"/>
      <c r="M74" s="64"/>
      <c r="N74" s="64"/>
      <c r="O74" s="64"/>
    </row>
    <row r="75" spans="10:15" x14ac:dyDescent="0.35">
      <c r="J75" s="359"/>
      <c r="K75" s="66" t="s">
        <v>368</v>
      </c>
      <c r="L75" s="64"/>
      <c r="M75" s="64"/>
      <c r="N75" s="64"/>
      <c r="O75" s="64"/>
    </row>
    <row r="76" spans="10:15" x14ac:dyDescent="0.35">
      <c r="J76" s="359"/>
      <c r="K76" s="66" t="s">
        <v>369</v>
      </c>
      <c r="L76" s="64"/>
      <c r="M76" s="64"/>
      <c r="N76" s="64"/>
      <c r="O76" s="64"/>
    </row>
    <row r="77" spans="10:15" x14ac:dyDescent="0.35">
      <c r="J77" s="359"/>
      <c r="K77" s="66" t="s">
        <v>370</v>
      </c>
      <c r="L77" s="64"/>
      <c r="M77" s="64"/>
      <c r="N77" s="64"/>
      <c r="O77" s="64"/>
    </row>
    <row r="78" spans="10:15" x14ac:dyDescent="0.35">
      <c r="J78" s="359"/>
      <c r="K78" s="66" t="s">
        <v>371</v>
      </c>
      <c r="L78" s="64"/>
      <c r="M78" s="64"/>
      <c r="N78" s="64"/>
      <c r="O78" s="64"/>
    </row>
    <row r="79" spans="10:15" x14ac:dyDescent="0.35">
      <c r="J79" s="359"/>
      <c r="K79" s="62" t="s">
        <v>372</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headerFooter scaleWithDoc="0">
    <oddFooter>&amp;C&amp;"Arial,Regular"Page &amp;P</oddFooter>
  </headerFooter>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92D050"/>
    <pageSetUpPr fitToPage="1"/>
  </sheetPr>
  <dimension ref="A1:S79"/>
  <sheetViews>
    <sheetView showGridLines="0" zoomScaleNormal="100" workbookViewId="0">
      <selection activeCell="I12" sqref="I12"/>
    </sheetView>
  </sheetViews>
  <sheetFormatPr defaultRowHeight="13.5" x14ac:dyDescent="0.35"/>
  <cols>
    <col min="1" max="1" width="14" style="3" customWidth="1"/>
    <col min="2" max="4" width="17" style="35" customWidth="1"/>
    <col min="5" max="5" width="14.73046875" style="35" customWidth="1"/>
    <col min="6" max="7" width="17" style="35" customWidth="1"/>
    <col min="8" max="11" width="9.265625" style="3"/>
    <col min="12" max="12" width="15.3984375" style="3" customWidth="1"/>
    <col min="13" max="13" width="17.3984375" style="3" bestFit="1" customWidth="1"/>
    <col min="14" max="14" width="13.73046875" style="3" customWidth="1"/>
    <col min="15" max="15" width="15" style="3" customWidth="1"/>
    <col min="16" max="18" width="9.265625" style="3"/>
    <col min="19" max="19" width="21.59765625" style="3" customWidth="1"/>
    <col min="20" max="256" width="9.265625" style="3"/>
    <col min="257" max="257" width="14" style="3" customWidth="1"/>
    <col min="258" max="263" width="10.265625" style="3" customWidth="1"/>
    <col min="264" max="512" width="9.265625" style="3"/>
    <col min="513" max="513" width="14" style="3" customWidth="1"/>
    <col min="514" max="519" width="10.265625" style="3" customWidth="1"/>
    <col min="520" max="768" width="9.265625" style="3"/>
    <col min="769" max="769" width="14" style="3" customWidth="1"/>
    <col min="770" max="775" width="10.265625" style="3" customWidth="1"/>
    <col min="776" max="1024" width="9.265625" style="3"/>
    <col min="1025" max="1025" width="14" style="3" customWidth="1"/>
    <col min="1026" max="1031" width="10.265625" style="3" customWidth="1"/>
    <col min="1032" max="1280" width="9.265625" style="3"/>
    <col min="1281" max="1281" width="14" style="3" customWidth="1"/>
    <col min="1282" max="1287" width="10.265625" style="3" customWidth="1"/>
    <col min="1288" max="1536" width="9.265625" style="3"/>
    <col min="1537" max="1537" width="14" style="3" customWidth="1"/>
    <col min="1538" max="1543" width="10.265625" style="3" customWidth="1"/>
    <col min="1544" max="1792" width="9.265625" style="3"/>
    <col min="1793" max="1793" width="14" style="3" customWidth="1"/>
    <col min="1794" max="1799" width="10.265625" style="3" customWidth="1"/>
    <col min="1800" max="2048" width="9.265625" style="3"/>
    <col min="2049" max="2049" width="14" style="3" customWidth="1"/>
    <col min="2050" max="2055" width="10.265625" style="3" customWidth="1"/>
    <col min="2056" max="2304" width="9.265625" style="3"/>
    <col min="2305" max="2305" width="14" style="3" customWidth="1"/>
    <col min="2306" max="2311" width="10.265625" style="3" customWidth="1"/>
    <col min="2312" max="2560" width="9.265625" style="3"/>
    <col min="2561" max="2561" width="14" style="3" customWidth="1"/>
    <col min="2562" max="2567" width="10.265625" style="3" customWidth="1"/>
    <col min="2568" max="2816" width="9.265625" style="3"/>
    <col min="2817" max="2817" width="14" style="3" customWidth="1"/>
    <col min="2818" max="2823" width="10.265625" style="3" customWidth="1"/>
    <col min="2824" max="3072" width="9.265625" style="3"/>
    <col min="3073" max="3073" width="14" style="3" customWidth="1"/>
    <col min="3074" max="3079" width="10.265625" style="3" customWidth="1"/>
    <col min="3080" max="3328" width="9.265625" style="3"/>
    <col min="3329" max="3329" width="14" style="3" customWidth="1"/>
    <col min="3330" max="3335" width="10.265625" style="3" customWidth="1"/>
    <col min="3336" max="3584" width="9.265625" style="3"/>
    <col min="3585" max="3585" width="14" style="3" customWidth="1"/>
    <col min="3586" max="3591" width="10.265625" style="3" customWidth="1"/>
    <col min="3592" max="3840" width="9.265625" style="3"/>
    <col min="3841" max="3841" width="14" style="3" customWidth="1"/>
    <col min="3842" max="3847" width="10.265625" style="3" customWidth="1"/>
    <col min="3848" max="4096" width="9.265625" style="3"/>
    <col min="4097" max="4097" width="14" style="3" customWidth="1"/>
    <col min="4098" max="4103" width="10.265625" style="3" customWidth="1"/>
    <col min="4104" max="4352" width="9.265625" style="3"/>
    <col min="4353" max="4353" width="14" style="3" customWidth="1"/>
    <col min="4354" max="4359" width="10.265625" style="3" customWidth="1"/>
    <col min="4360" max="4608" width="9.265625" style="3"/>
    <col min="4609" max="4609" width="14" style="3" customWidth="1"/>
    <col min="4610" max="4615" width="10.265625" style="3" customWidth="1"/>
    <col min="4616" max="4864" width="9.265625" style="3"/>
    <col min="4865" max="4865" width="14" style="3" customWidth="1"/>
    <col min="4866" max="4871" width="10.265625" style="3" customWidth="1"/>
    <col min="4872" max="5120" width="9.265625" style="3"/>
    <col min="5121" max="5121" width="14" style="3" customWidth="1"/>
    <col min="5122" max="5127" width="10.265625" style="3" customWidth="1"/>
    <col min="5128" max="5376" width="9.265625" style="3"/>
    <col min="5377" max="5377" width="14" style="3" customWidth="1"/>
    <col min="5378" max="5383" width="10.265625" style="3" customWidth="1"/>
    <col min="5384" max="5632" width="9.265625" style="3"/>
    <col min="5633" max="5633" width="14" style="3" customWidth="1"/>
    <col min="5634" max="5639" width="10.265625" style="3" customWidth="1"/>
    <col min="5640" max="5888" width="9.265625" style="3"/>
    <col min="5889" max="5889" width="14" style="3" customWidth="1"/>
    <col min="5890" max="5895" width="10.265625" style="3" customWidth="1"/>
    <col min="5896" max="6144" width="9.265625" style="3"/>
    <col min="6145" max="6145" width="14" style="3" customWidth="1"/>
    <col min="6146" max="6151" width="10.265625" style="3" customWidth="1"/>
    <col min="6152" max="6400" width="9.265625" style="3"/>
    <col min="6401" max="6401" width="14" style="3" customWidth="1"/>
    <col min="6402" max="6407" width="10.265625" style="3" customWidth="1"/>
    <col min="6408" max="6656" width="9.265625" style="3"/>
    <col min="6657" max="6657" width="14" style="3" customWidth="1"/>
    <col min="6658" max="6663" width="10.265625" style="3" customWidth="1"/>
    <col min="6664" max="6912" width="9.265625" style="3"/>
    <col min="6913" max="6913" width="14" style="3" customWidth="1"/>
    <col min="6914" max="6919" width="10.265625" style="3" customWidth="1"/>
    <col min="6920" max="7168" width="9.265625" style="3"/>
    <col min="7169" max="7169" width="14" style="3" customWidth="1"/>
    <col min="7170" max="7175" width="10.265625" style="3" customWidth="1"/>
    <col min="7176" max="7424" width="9.265625" style="3"/>
    <col min="7425" max="7425" width="14" style="3" customWidth="1"/>
    <col min="7426" max="7431" width="10.265625" style="3" customWidth="1"/>
    <col min="7432" max="7680" width="9.265625" style="3"/>
    <col min="7681" max="7681" width="14" style="3" customWidth="1"/>
    <col min="7682" max="7687" width="10.265625" style="3" customWidth="1"/>
    <col min="7688" max="7936" width="9.265625" style="3"/>
    <col min="7937" max="7937" width="14" style="3" customWidth="1"/>
    <col min="7938" max="7943" width="10.265625" style="3" customWidth="1"/>
    <col min="7944" max="8192" width="9.265625" style="3"/>
    <col min="8193" max="8193" width="14" style="3" customWidth="1"/>
    <col min="8194" max="8199" width="10.265625" style="3" customWidth="1"/>
    <col min="8200" max="8448" width="9.265625" style="3"/>
    <col min="8449" max="8449" width="14" style="3" customWidth="1"/>
    <col min="8450" max="8455" width="10.265625" style="3" customWidth="1"/>
    <col min="8456" max="8704" width="9.265625" style="3"/>
    <col min="8705" max="8705" width="14" style="3" customWidth="1"/>
    <col min="8706" max="8711" width="10.265625" style="3" customWidth="1"/>
    <col min="8712" max="8960" width="9.265625" style="3"/>
    <col min="8961" max="8961" width="14" style="3" customWidth="1"/>
    <col min="8962" max="8967" width="10.265625" style="3" customWidth="1"/>
    <col min="8968" max="9216" width="9.265625" style="3"/>
    <col min="9217" max="9217" width="14" style="3" customWidth="1"/>
    <col min="9218" max="9223" width="10.265625" style="3" customWidth="1"/>
    <col min="9224" max="9472" width="9.265625" style="3"/>
    <col min="9473" max="9473" width="14" style="3" customWidth="1"/>
    <col min="9474" max="9479" width="10.265625" style="3" customWidth="1"/>
    <col min="9480" max="9728" width="9.265625" style="3"/>
    <col min="9729" max="9729" width="14" style="3" customWidth="1"/>
    <col min="9730" max="9735" width="10.265625" style="3" customWidth="1"/>
    <col min="9736" max="9984" width="9.265625" style="3"/>
    <col min="9985" max="9985" width="14" style="3" customWidth="1"/>
    <col min="9986" max="9991" width="10.265625" style="3" customWidth="1"/>
    <col min="9992" max="10240" width="9.265625" style="3"/>
    <col min="10241" max="10241" width="14" style="3" customWidth="1"/>
    <col min="10242" max="10247" width="10.265625" style="3" customWidth="1"/>
    <col min="10248" max="10496" width="9.265625" style="3"/>
    <col min="10497" max="10497" width="14" style="3" customWidth="1"/>
    <col min="10498" max="10503" width="10.265625" style="3" customWidth="1"/>
    <col min="10504" max="10752" width="9.265625" style="3"/>
    <col min="10753" max="10753" width="14" style="3" customWidth="1"/>
    <col min="10754" max="10759" width="10.265625" style="3" customWidth="1"/>
    <col min="10760" max="11008" width="9.265625" style="3"/>
    <col min="11009" max="11009" width="14" style="3" customWidth="1"/>
    <col min="11010" max="11015" width="10.265625" style="3" customWidth="1"/>
    <col min="11016" max="11264" width="9.265625" style="3"/>
    <col min="11265" max="11265" width="14" style="3" customWidth="1"/>
    <col min="11266" max="11271" width="10.265625" style="3" customWidth="1"/>
    <col min="11272" max="11520" width="9.265625" style="3"/>
    <col min="11521" max="11521" width="14" style="3" customWidth="1"/>
    <col min="11522" max="11527" width="10.265625" style="3" customWidth="1"/>
    <col min="11528" max="11776" width="9.265625" style="3"/>
    <col min="11777" max="11777" width="14" style="3" customWidth="1"/>
    <col min="11778" max="11783" width="10.265625" style="3" customWidth="1"/>
    <col min="11784" max="12032" width="9.265625" style="3"/>
    <col min="12033" max="12033" width="14" style="3" customWidth="1"/>
    <col min="12034" max="12039" width="10.265625" style="3" customWidth="1"/>
    <col min="12040" max="12288" width="9.265625" style="3"/>
    <col min="12289" max="12289" width="14" style="3" customWidth="1"/>
    <col min="12290" max="12295" width="10.265625" style="3" customWidth="1"/>
    <col min="12296" max="12544" width="9.265625" style="3"/>
    <col min="12545" max="12545" width="14" style="3" customWidth="1"/>
    <col min="12546" max="12551" width="10.265625" style="3" customWidth="1"/>
    <col min="12552" max="12800" width="9.265625" style="3"/>
    <col min="12801" max="12801" width="14" style="3" customWidth="1"/>
    <col min="12802" max="12807" width="10.265625" style="3" customWidth="1"/>
    <col min="12808" max="13056" width="9.265625" style="3"/>
    <col min="13057" max="13057" width="14" style="3" customWidth="1"/>
    <col min="13058" max="13063" width="10.265625" style="3" customWidth="1"/>
    <col min="13064" max="13312" width="9.265625" style="3"/>
    <col min="13313" max="13313" width="14" style="3" customWidth="1"/>
    <col min="13314" max="13319" width="10.265625" style="3" customWidth="1"/>
    <col min="13320" max="13568" width="9.265625" style="3"/>
    <col min="13569" max="13569" width="14" style="3" customWidth="1"/>
    <col min="13570" max="13575" width="10.265625" style="3" customWidth="1"/>
    <col min="13576" max="13824" width="9.265625" style="3"/>
    <col min="13825" max="13825" width="14" style="3" customWidth="1"/>
    <col min="13826" max="13831" width="10.265625" style="3" customWidth="1"/>
    <col min="13832" max="14080" width="9.265625" style="3"/>
    <col min="14081" max="14081" width="14" style="3" customWidth="1"/>
    <col min="14082" max="14087" width="10.265625" style="3" customWidth="1"/>
    <col min="14088" max="14336" width="9.265625" style="3"/>
    <col min="14337" max="14337" width="14" style="3" customWidth="1"/>
    <col min="14338" max="14343" width="10.265625" style="3" customWidth="1"/>
    <col min="14344" max="14592" width="9.265625" style="3"/>
    <col min="14593" max="14593" width="14" style="3" customWidth="1"/>
    <col min="14594" max="14599" width="10.265625" style="3" customWidth="1"/>
    <col min="14600" max="14848" width="9.265625" style="3"/>
    <col min="14849" max="14849" width="14" style="3" customWidth="1"/>
    <col min="14850" max="14855" width="10.265625" style="3" customWidth="1"/>
    <col min="14856" max="15104" width="9.265625" style="3"/>
    <col min="15105" max="15105" width="14" style="3" customWidth="1"/>
    <col min="15106" max="15111" width="10.265625" style="3" customWidth="1"/>
    <col min="15112" max="15360" width="9.265625" style="3"/>
    <col min="15361" max="15361" width="14" style="3" customWidth="1"/>
    <col min="15362" max="15367" width="10.265625" style="3" customWidth="1"/>
    <col min="15368" max="15616" width="9.265625" style="3"/>
    <col min="15617" max="15617" width="14" style="3" customWidth="1"/>
    <col min="15618" max="15623" width="10.265625" style="3" customWidth="1"/>
    <col min="15624" max="15872" width="9.265625" style="3"/>
    <col min="15873" max="15873" width="14" style="3" customWidth="1"/>
    <col min="15874" max="15879" width="10.265625" style="3" customWidth="1"/>
    <col min="15880" max="16128" width="9.265625" style="3"/>
    <col min="16129" max="16129" width="14" style="3" customWidth="1"/>
    <col min="16130" max="16135" width="10.265625" style="3" customWidth="1"/>
    <col min="16136" max="16384" width="9.265625" style="3"/>
  </cols>
  <sheetData>
    <row r="1" spans="1:19" ht="15" x14ac:dyDescent="0.4">
      <c r="A1" s="93" t="str">
        <f>+'Cover Page'!$B$29</f>
        <v>Annual Performance Report 2022</v>
      </c>
      <c r="B1" s="93"/>
      <c r="C1" s="93"/>
      <c r="D1" s="93"/>
      <c r="E1" s="93" t="str">
        <f>+'Cover Page'!$B$33</f>
        <v>EQUANS FM Ltd</v>
      </c>
    </row>
    <row r="3" spans="1:19" ht="13.9" x14ac:dyDescent="0.4">
      <c r="A3" s="60" t="s">
        <v>385</v>
      </c>
      <c r="D3" s="76" t="s">
        <v>341</v>
      </c>
      <c r="G3" s="80" t="s">
        <v>342</v>
      </c>
      <c r="J3" s="9" t="str">
        <f>+A3</f>
        <v>Monitoring of Carbon Monoxide (half hourly)</v>
      </c>
      <c r="L3" s="9"/>
      <c r="N3" s="9" t="s">
        <v>343</v>
      </c>
      <c r="Q3" s="79" t="s">
        <v>3</v>
      </c>
      <c r="R3" s="74"/>
      <c r="S3" s="74"/>
    </row>
    <row r="4" spans="1:19" ht="14.1" customHeight="1" x14ac:dyDescent="0.35">
      <c r="Q4" s="350" t="s">
        <v>344</v>
      </c>
      <c r="R4" s="350"/>
      <c r="S4" s="350"/>
    </row>
    <row r="5" spans="1:19" ht="15.75" x14ac:dyDescent="0.4">
      <c r="A5" s="68" t="s">
        <v>345</v>
      </c>
      <c r="B5" s="361" t="s">
        <v>346</v>
      </c>
      <c r="C5" s="361"/>
      <c r="D5" s="361"/>
      <c r="E5" s="361" t="s">
        <v>347</v>
      </c>
      <c r="F5" s="361"/>
      <c r="G5" s="361"/>
      <c r="J5" s="360"/>
      <c r="K5" s="360"/>
      <c r="L5" s="360"/>
      <c r="M5" s="360"/>
      <c r="N5" s="360"/>
      <c r="O5" s="360"/>
      <c r="Q5" s="350"/>
      <c r="R5" s="350"/>
      <c r="S5" s="350"/>
    </row>
    <row r="6" spans="1:19" s="58" customFormat="1" ht="37.5" customHeight="1" x14ac:dyDescent="0.45">
      <c r="A6" s="65">
        <f>+'Cover Page'!C39</f>
        <v>2022</v>
      </c>
      <c r="B6" s="55" t="s">
        <v>386</v>
      </c>
      <c r="C6" s="55" t="s">
        <v>349</v>
      </c>
      <c r="D6" s="55" t="s">
        <v>350</v>
      </c>
      <c r="E6" s="55" t="s">
        <v>387</v>
      </c>
      <c r="F6" s="55" t="s">
        <v>352</v>
      </c>
      <c r="G6" s="55" t="s">
        <v>353</v>
      </c>
      <c r="H6" s="59"/>
      <c r="J6" s="61">
        <f>+A6</f>
        <v>2022</v>
      </c>
      <c r="K6" s="61" t="s">
        <v>354</v>
      </c>
      <c r="L6" s="67" t="s">
        <v>349</v>
      </c>
      <c r="M6" s="67" t="s">
        <v>355</v>
      </c>
      <c r="N6" s="67" t="s">
        <v>352</v>
      </c>
      <c r="O6" s="67" t="s">
        <v>356</v>
      </c>
      <c r="Q6" s="350"/>
      <c r="R6" s="350"/>
      <c r="S6" s="350"/>
    </row>
    <row r="7" spans="1:19" x14ac:dyDescent="0.35">
      <c r="A7" s="66" t="s">
        <v>357</v>
      </c>
      <c r="B7" s="69">
        <v>150</v>
      </c>
      <c r="C7" s="166">
        <v>5</v>
      </c>
      <c r="D7" s="64">
        <v>12</v>
      </c>
      <c r="E7" s="69">
        <v>75</v>
      </c>
      <c r="F7" s="166">
        <v>5</v>
      </c>
      <c r="G7" s="64">
        <v>6</v>
      </c>
      <c r="J7" s="359" t="s">
        <v>186</v>
      </c>
      <c r="K7" s="66" t="s">
        <v>357</v>
      </c>
      <c r="L7" s="64"/>
      <c r="M7" s="64"/>
      <c r="N7" s="64"/>
      <c r="O7" s="64"/>
      <c r="Q7" s="350"/>
      <c r="R7" s="350"/>
      <c r="S7" s="350"/>
    </row>
    <row r="8" spans="1:19" x14ac:dyDescent="0.35">
      <c r="A8" s="66" t="s">
        <v>358</v>
      </c>
      <c r="B8" s="63">
        <f>+B7</f>
        <v>150</v>
      </c>
      <c r="C8" s="166">
        <v>3.9279999999999999</v>
      </c>
      <c r="D8" s="64">
        <v>57</v>
      </c>
      <c r="E8" s="63">
        <f>+E7</f>
        <v>75</v>
      </c>
      <c r="F8" s="166">
        <v>3.9279999999999999</v>
      </c>
      <c r="G8" s="64">
        <v>7</v>
      </c>
      <c r="J8" s="359"/>
      <c r="K8" s="66" t="s">
        <v>358</v>
      </c>
      <c r="L8" s="64"/>
      <c r="M8" s="64"/>
      <c r="N8" s="64"/>
      <c r="O8" s="64"/>
      <c r="Q8" s="350"/>
      <c r="R8" s="350"/>
      <c r="S8" s="350"/>
    </row>
    <row r="9" spans="1:19" ht="13.9" x14ac:dyDescent="0.4">
      <c r="A9" s="66" t="s">
        <v>359</v>
      </c>
      <c r="B9" s="63">
        <f t="shared" ref="B9:B18" si="0">+B8</f>
        <v>150</v>
      </c>
      <c r="C9" s="166">
        <v>0.27600000000000002</v>
      </c>
      <c r="D9" s="64">
        <v>21</v>
      </c>
      <c r="E9" s="63">
        <f t="shared" ref="E9:E18" si="1">+E8</f>
        <v>75</v>
      </c>
      <c r="F9" s="166">
        <v>0.27600000000000002</v>
      </c>
      <c r="G9" s="64">
        <v>7</v>
      </c>
      <c r="J9" s="359"/>
      <c r="K9" s="66" t="s">
        <v>359</v>
      </c>
      <c r="L9" s="64"/>
      <c r="M9" s="64"/>
      <c r="N9" s="64"/>
      <c r="O9" s="64"/>
      <c r="Q9" s="78" t="s">
        <v>360</v>
      </c>
    </row>
    <row r="10" spans="1:19" ht="14.25" customHeight="1" x14ac:dyDescent="0.35">
      <c r="A10" s="66" t="s">
        <v>361</v>
      </c>
      <c r="B10" s="63">
        <f t="shared" si="0"/>
        <v>150</v>
      </c>
      <c r="C10" s="166">
        <v>6.7000000000000004E-2</v>
      </c>
      <c r="D10" s="64">
        <v>10</v>
      </c>
      <c r="E10" s="63">
        <f t="shared" si="1"/>
        <v>75</v>
      </c>
      <c r="F10" s="166">
        <v>6.7000000000000004E-2</v>
      </c>
      <c r="G10" s="64">
        <v>1</v>
      </c>
      <c r="J10" s="359"/>
      <c r="K10" s="66" t="s">
        <v>361</v>
      </c>
      <c r="L10" s="64"/>
      <c r="M10" s="64"/>
      <c r="N10" s="64"/>
      <c r="O10" s="64"/>
      <c r="Q10" s="358" t="s">
        <v>362</v>
      </c>
      <c r="R10" s="358"/>
      <c r="S10" s="358"/>
    </row>
    <row r="11" spans="1:19" x14ac:dyDescent="0.35">
      <c r="A11" s="66" t="s">
        <v>363</v>
      </c>
      <c r="B11" s="63">
        <f t="shared" si="0"/>
        <v>150</v>
      </c>
      <c r="C11" s="166">
        <v>0</v>
      </c>
      <c r="D11" s="64">
        <v>7</v>
      </c>
      <c r="E11" s="63">
        <f t="shared" si="1"/>
        <v>75</v>
      </c>
      <c r="F11" s="166">
        <v>0</v>
      </c>
      <c r="G11" s="64">
        <v>0</v>
      </c>
      <c r="J11" s="359"/>
      <c r="K11" s="66" t="s">
        <v>363</v>
      </c>
      <c r="L11" s="64"/>
      <c r="M11" s="64"/>
      <c r="N11" s="64"/>
      <c r="O11" s="64"/>
      <c r="Q11" s="358"/>
      <c r="R11" s="358"/>
      <c r="S11" s="358"/>
    </row>
    <row r="12" spans="1:19" x14ac:dyDescent="0.35">
      <c r="A12" s="66" t="s">
        <v>364</v>
      </c>
      <c r="B12" s="63">
        <f t="shared" si="0"/>
        <v>150</v>
      </c>
      <c r="C12" s="166">
        <v>7.0999999999999994E-2</v>
      </c>
      <c r="D12" s="64">
        <v>13</v>
      </c>
      <c r="E12" s="63">
        <f t="shared" si="1"/>
        <v>75</v>
      </c>
      <c r="F12" s="166">
        <v>7.0999999999999994E-2</v>
      </c>
      <c r="G12" s="64">
        <v>1</v>
      </c>
      <c r="J12" s="359"/>
      <c r="K12" s="66" t="s">
        <v>364</v>
      </c>
      <c r="L12" s="64"/>
      <c r="M12" s="64"/>
      <c r="N12" s="64"/>
      <c r="O12" s="64"/>
      <c r="Q12" s="358"/>
      <c r="R12" s="358"/>
      <c r="S12" s="358"/>
    </row>
    <row r="13" spans="1:19" ht="14.25" customHeight="1" x14ac:dyDescent="0.35">
      <c r="A13" s="66" t="s">
        <v>365</v>
      </c>
      <c r="B13" s="63">
        <f t="shared" si="0"/>
        <v>150</v>
      </c>
      <c r="C13" s="166">
        <v>0</v>
      </c>
      <c r="D13" s="64">
        <v>0</v>
      </c>
      <c r="E13" s="63">
        <f t="shared" si="1"/>
        <v>75</v>
      </c>
      <c r="F13" s="166">
        <v>0</v>
      </c>
      <c r="G13" s="64">
        <v>0</v>
      </c>
      <c r="J13" s="359"/>
      <c r="K13" s="66" t="s">
        <v>365</v>
      </c>
      <c r="L13" s="64"/>
      <c r="M13" s="64"/>
      <c r="N13" s="64"/>
      <c r="O13" s="64"/>
      <c r="Q13" s="358" t="s">
        <v>366</v>
      </c>
      <c r="R13" s="358"/>
      <c r="S13" s="358"/>
    </row>
    <row r="14" spans="1:19" x14ac:dyDescent="0.35">
      <c r="A14" s="66" t="s">
        <v>367</v>
      </c>
      <c r="B14" s="63">
        <f t="shared" si="0"/>
        <v>150</v>
      </c>
      <c r="C14" s="166">
        <v>0</v>
      </c>
      <c r="D14" s="64">
        <v>1</v>
      </c>
      <c r="E14" s="63">
        <f t="shared" si="1"/>
        <v>75</v>
      </c>
      <c r="F14" s="166">
        <v>0</v>
      </c>
      <c r="G14" s="64">
        <v>0</v>
      </c>
      <c r="J14" s="359"/>
      <c r="K14" s="66" t="s">
        <v>367</v>
      </c>
      <c r="L14" s="64"/>
      <c r="M14" s="64"/>
      <c r="N14" s="64"/>
      <c r="O14" s="64"/>
      <c r="Q14" s="358"/>
      <c r="R14" s="358"/>
      <c r="S14" s="358"/>
    </row>
    <row r="15" spans="1:19" x14ac:dyDescent="0.35">
      <c r="A15" s="66" t="s">
        <v>368</v>
      </c>
      <c r="B15" s="63">
        <f t="shared" si="0"/>
        <v>150</v>
      </c>
      <c r="C15" s="166">
        <v>0.13300000000000001</v>
      </c>
      <c r="D15" s="64">
        <v>103</v>
      </c>
      <c r="E15" s="63">
        <f t="shared" si="1"/>
        <v>75</v>
      </c>
      <c r="F15" s="166">
        <v>0.13300000000000001</v>
      </c>
      <c r="G15" s="64">
        <v>4</v>
      </c>
      <c r="J15" s="359"/>
      <c r="K15" s="66" t="s">
        <v>368</v>
      </c>
      <c r="L15" s="64"/>
      <c r="M15" s="64"/>
      <c r="N15" s="64"/>
      <c r="O15" s="64"/>
      <c r="Q15" s="358"/>
      <c r="R15" s="358"/>
      <c r="S15" s="358"/>
    </row>
    <row r="16" spans="1:19" x14ac:dyDescent="0.35">
      <c r="A16" s="66" t="s">
        <v>369</v>
      </c>
      <c r="B16" s="63">
        <f t="shared" si="0"/>
        <v>150</v>
      </c>
      <c r="C16" s="166">
        <v>0</v>
      </c>
      <c r="D16" s="64">
        <v>0</v>
      </c>
      <c r="E16" s="63">
        <f t="shared" si="1"/>
        <v>75</v>
      </c>
      <c r="F16" s="166">
        <v>0</v>
      </c>
      <c r="G16" s="64">
        <v>0</v>
      </c>
      <c r="J16" s="359"/>
      <c r="K16" s="66" t="s">
        <v>369</v>
      </c>
      <c r="L16" s="64"/>
      <c r="M16" s="64"/>
      <c r="N16" s="64"/>
      <c r="O16" s="64"/>
      <c r="Q16" s="358"/>
      <c r="R16" s="358"/>
      <c r="S16" s="358"/>
    </row>
    <row r="17" spans="1:15" x14ac:dyDescent="0.35">
      <c r="A17" s="66" t="s">
        <v>370</v>
      </c>
      <c r="B17" s="63">
        <f t="shared" si="0"/>
        <v>150</v>
      </c>
      <c r="C17" s="166">
        <v>0.4</v>
      </c>
      <c r="D17" s="64">
        <v>14</v>
      </c>
      <c r="E17" s="63">
        <f t="shared" si="1"/>
        <v>75</v>
      </c>
      <c r="F17" s="166">
        <v>0.4</v>
      </c>
      <c r="G17" s="64">
        <v>3</v>
      </c>
      <c r="J17" s="359"/>
      <c r="K17" s="66" t="s">
        <v>370</v>
      </c>
      <c r="L17" s="64"/>
      <c r="M17" s="64"/>
      <c r="N17" s="64"/>
      <c r="O17" s="64"/>
    </row>
    <row r="18" spans="1:15" x14ac:dyDescent="0.35">
      <c r="A18" s="66" t="s">
        <v>371</v>
      </c>
      <c r="B18" s="63">
        <f t="shared" si="0"/>
        <v>150</v>
      </c>
      <c r="C18" s="166">
        <v>2.516</v>
      </c>
      <c r="D18" s="64">
        <v>531</v>
      </c>
      <c r="E18" s="63">
        <f t="shared" si="1"/>
        <v>75</v>
      </c>
      <c r="F18" s="166">
        <v>2.516</v>
      </c>
      <c r="G18" s="64">
        <v>13</v>
      </c>
      <c r="J18" s="359"/>
      <c r="K18" s="66" t="s">
        <v>371</v>
      </c>
      <c r="L18" s="64"/>
      <c r="M18" s="64"/>
      <c r="N18" s="64"/>
      <c r="O18" s="64"/>
    </row>
    <row r="19" spans="1:15" x14ac:dyDescent="0.35">
      <c r="J19" s="359"/>
      <c r="K19" s="62" t="s">
        <v>372</v>
      </c>
      <c r="L19" s="62" t="e">
        <f>AVERAGE(L7:L18)</f>
        <v>#DIV/0!</v>
      </c>
      <c r="M19" s="62">
        <f>MAX(M7:M18)</f>
        <v>0</v>
      </c>
      <c r="N19" s="62" t="e">
        <f>AVERAGE(N7:N18)</f>
        <v>#DIV/0!</v>
      </c>
      <c r="O19" s="62">
        <f>MAX(O7:O18)</f>
        <v>0</v>
      </c>
    </row>
    <row r="21" spans="1:15" ht="27.75" x14ac:dyDescent="0.35">
      <c r="J21" s="61">
        <f>+A6</f>
        <v>2022</v>
      </c>
      <c r="K21" s="61" t="s">
        <v>354</v>
      </c>
      <c r="L21" s="67" t="s">
        <v>349</v>
      </c>
      <c r="M21" s="67" t="s">
        <v>355</v>
      </c>
      <c r="N21" s="67" t="s">
        <v>352</v>
      </c>
      <c r="O21" s="67" t="s">
        <v>356</v>
      </c>
    </row>
    <row r="22" spans="1:15" x14ac:dyDescent="0.35">
      <c r="J22" s="359" t="s">
        <v>187</v>
      </c>
      <c r="K22" s="66" t="s">
        <v>357</v>
      </c>
      <c r="L22" s="64"/>
      <c r="M22" s="64"/>
      <c r="N22" s="64"/>
      <c r="O22" s="64"/>
    </row>
    <row r="23" spans="1:15" x14ac:dyDescent="0.35">
      <c r="J23" s="359"/>
      <c r="K23" s="66" t="s">
        <v>358</v>
      </c>
      <c r="L23" s="64"/>
      <c r="M23" s="64"/>
      <c r="N23" s="64"/>
      <c r="O23" s="64"/>
    </row>
    <row r="24" spans="1:15" x14ac:dyDescent="0.35">
      <c r="J24" s="359"/>
      <c r="K24" s="66" t="s">
        <v>359</v>
      </c>
      <c r="L24" s="64"/>
      <c r="M24" s="64"/>
      <c r="N24" s="64"/>
      <c r="O24" s="64"/>
    </row>
    <row r="25" spans="1:15" x14ac:dyDescent="0.35">
      <c r="J25" s="359"/>
      <c r="K25" s="66" t="s">
        <v>361</v>
      </c>
      <c r="L25" s="64"/>
      <c r="M25" s="64"/>
      <c r="N25" s="64"/>
      <c r="O25" s="64"/>
    </row>
    <row r="26" spans="1:15" x14ac:dyDescent="0.35">
      <c r="J26" s="359"/>
      <c r="K26" s="66" t="s">
        <v>363</v>
      </c>
      <c r="L26" s="64"/>
      <c r="M26" s="64"/>
      <c r="N26" s="64"/>
      <c r="O26" s="64"/>
    </row>
    <row r="27" spans="1:15" x14ac:dyDescent="0.35">
      <c r="J27" s="359"/>
      <c r="K27" s="66" t="s">
        <v>364</v>
      </c>
      <c r="L27" s="64"/>
      <c r="M27" s="64"/>
      <c r="N27" s="64"/>
      <c r="O27" s="64"/>
    </row>
    <row r="28" spans="1:15" x14ac:dyDescent="0.35">
      <c r="J28" s="359"/>
      <c r="K28" s="66" t="s">
        <v>365</v>
      </c>
      <c r="L28" s="64"/>
      <c r="M28" s="64"/>
      <c r="N28" s="64"/>
      <c r="O28" s="64"/>
    </row>
    <row r="29" spans="1:15" x14ac:dyDescent="0.35">
      <c r="J29" s="359"/>
      <c r="K29" s="66" t="s">
        <v>367</v>
      </c>
      <c r="L29" s="64"/>
      <c r="M29" s="64"/>
      <c r="N29" s="64"/>
      <c r="O29" s="64"/>
    </row>
    <row r="30" spans="1:15" x14ac:dyDescent="0.35">
      <c r="J30" s="359"/>
      <c r="K30" s="66" t="s">
        <v>368</v>
      </c>
      <c r="L30" s="64"/>
      <c r="M30" s="64"/>
      <c r="N30" s="64"/>
      <c r="O30" s="64"/>
    </row>
    <row r="31" spans="1:15" x14ac:dyDescent="0.35">
      <c r="J31" s="359"/>
      <c r="K31" s="66" t="s">
        <v>369</v>
      </c>
      <c r="L31" s="64"/>
      <c r="M31" s="64"/>
      <c r="N31" s="64"/>
      <c r="O31" s="64"/>
    </row>
    <row r="32" spans="1:15" x14ac:dyDescent="0.35">
      <c r="J32" s="359"/>
      <c r="K32" s="66" t="s">
        <v>370</v>
      </c>
      <c r="L32" s="64"/>
      <c r="M32" s="64"/>
      <c r="N32" s="64"/>
      <c r="O32" s="64"/>
    </row>
    <row r="33" spans="1:15" x14ac:dyDescent="0.35">
      <c r="J33" s="359"/>
      <c r="K33" s="66" t="s">
        <v>371</v>
      </c>
      <c r="L33" s="64"/>
      <c r="M33" s="64"/>
      <c r="N33" s="64"/>
      <c r="O33" s="64"/>
    </row>
    <row r="34" spans="1:15" x14ac:dyDescent="0.35">
      <c r="J34" s="359"/>
      <c r="K34" s="62" t="s">
        <v>372</v>
      </c>
      <c r="L34" s="62" t="e">
        <f>AVERAGE(L22:L33)</f>
        <v>#DIV/0!</v>
      </c>
      <c r="M34" s="62">
        <f>MAX(M22:M33)</f>
        <v>0</v>
      </c>
      <c r="N34" s="62" t="e">
        <f>AVERAGE(N22:N33)</f>
        <v>#DIV/0!</v>
      </c>
      <c r="O34" s="62">
        <f>MAX(O22:O33)</f>
        <v>0</v>
      </c>
    </row>
    <row r="36" spans="1:15" ht="27.75" x14ac:dyDescent="0.35">
      <c r="J36" s="61">
        <f>+A6</f>
        <v>2022</v>
      </c>
      <c r="K36" s="61" t="s">
        <v>354</v>
      </c>
      <c r="L36" s="67" t="s">
        <v>349</v>
      </c>
      <c r="M36" s="67" t="s">
        <v>355</v>
      </c>
      <c r="N36" s="67" t="s">
        <v>352</v>
      </c>
      <c r="O36" s="67" t="s">
        <v>356</v>
      </c>
    </row>
    <row r="37" spans="1:15" x14ac:dyDescent="0.35">
      <c r="J37" s="359" t="s">
        <v>188</v>
      </c>
      <c r="K37" s="66" t="s">
        <v>357</v>
      </c>
      <c r="L37" s="64"/>
      <c r="M37" s="64"/>
      <c r="N37" s="64"/>
      <c r="O37" s="64"/>
    </row>
    <row r="38" spans="1:15" x14ac:dyDescent="0.35">
      <c r="J38" s="359"/>
      <c r="K38" s="66" t="s">
        <v>358</v>
      </c>
      <c r="L38" s="64"/>
      <c r="M38" s="64"/>
      <c r="N38" s="64"/>
      <c r="O38" s="64"/>
    </row>
    <row r="39" spans="1:15" x14ac:dyDescent="0.35">
      <c r="J39" s="359"/>
      <c r="K39" s="66" t="s">
        <v>359</v>
      </c>
      <c r="L39" s="64"/>
      <c r="M39" s="64"/>
      <c r="N39" s="64"/>
      <c r="O39" s="64"/>
    </row>
    <row r="40" spans="1:15" x14ac:dyDescent="0.35">
      <c r="J40" s="359"/>
      <c r="K40" s="66" t="s">
        <v>361</v>
      </c>
      <c r="L40" s="64"/>
      <c r="M40" s="64"/>
      <c r="N40" s="64"/>
      <c r="O40" s="64"/>
    </row>
    <row r="41" spans="1:15" x14ac:dyDescent="0.35">
      <c r="J41" s="359"/>
      <c r="K41" s="66" t="s">
        <v>363</v>
      </c>
      <c r="L41" s="64"/>
      <c r="M41" s="64"/>
      <c r="N41" s="64"/>
      <c r="O41" s="64"/>
    </row>
    <row r="42" spans="1:15" x14ac:dyDescent="0.35">
      <c r="J42" s="359"/>
      <c r="K42" s="66" t="s">
        <v>364</v>
      </c>
      <c r="L42" s="64"/>
      <c r="M42" s="64"/>
      <c r="N42" s="64"/>
      <c r="O42" s="64"/>
    </row>
    <row r="43" spans="1:15" x14ac:dyDescent="0.35">
      <c r="J43" s="359"/>
      <c r="K43" s="66" t="s">
        <v>365</v>
      </c>
      <c r="L43" s="64"/>
      <c r="M43" s="64"/>
      <c r="N43" s="64"/>
      <c r="O43" s="64"/>
    </row>
    <row r="44" spans="1:15" x14ac:dyDescent="0.35">
      <c r="J44" s="359"/>
      <c r="K44" s="66" t="s">
        <v>367</v>
      </c>
      <c r="L44" s="64"/>
      <c r="M44" s="64"/>
      <c r="N44" s="64"/>
      <c r="O44" s="64"/>
    </row>
    <row r="45" spans="1:15" x14ac:dyDescent="0.35">
      <c r="J45" s="359"/>
      <c r="K45" s="66" t="s">
        <v>368</v>
      </c>
      <c r="L45" s="64"/>
      <c r="M45" s="64"/>
      <c r="N45" s="64"/>
      <c r="O45" s="64"/>
    </row>
    <row r="46" spans="1:15" x14ac:dyDescent="0.35">
      <c r="J46" s="359"/>
      <c r="K46" s="66" t="s">
        <v>369</v>
      </c>
      <c r="L46" s="64"/>
      <c r="M46" s="64"/>
      <c r="N46" s="64"/>
      <c r="O46" s="64"/>
    </row>
    <row r="47" spans="1:15" x14ac:dyDescent="0.35">
      <c r="J47" s="359"/>
      <c r="K47" s="66" t="s">
        <v>370</v>
      </c>
      <c r="L47" s="64"/>
      <c r="M47" s="64"/>
      <c r="N47" s="64"/>
      <c r="O47" s="64"/>
    </row>
    <row r="48" spans="1:15" ht="13.9" x14ac:dyDescent="0.35">
      <c r="A48" s="371" t="s">
        <v>267</v>
      </c>
      <c r="B48" s="372"/>
      <c r="C48" s="372"/>
      <c r="D48" s="372"/>
      <c r="E48" s="372"/>
      <c r="F48" s="372"/>
      <c r="G48" s="373"/>
      <c r="J48" s="359"/>
      <c r="K48" s="66" t="s">
        <v>371</v>
      </c>
      <c r="L48" s="64"/>
      <c r="M48" s="64"/>
      <c r="N48" s="64"/>
      <c r="O48" s="64"/>
    </row>
    <row r="49" spans="1:15" x14ac:dyDescent="0.35">
      <c r="A49" s="362"/>
      <c r="B49" s="363"/>
      <c r="C49" s="363"/>
      <c r="D49" s="363"/>
      <c r="E49" s="363"/>
      <c r="F49" s="363"/>
      <c r="G49" s="364"/>
      <c r="J49" s="359"/>
      <c r="K49" s="62" t="s">
        <v>372</v>
      </c>
      <c r="L49" s="62" t="e">
        <f>AVERAGE(L37:L48)</f>
        <v>#DIV/0!</v>
      </c>
      <c r="M49" s="62">
        <f>MAX(M37:M48)</f>
        <v>0</v>
      </c>
      <c r="N49" s="62" t="e">
        <f>AVERAGE(N37:N48)</f>
        <v>#DIV/0!</v>
      </c>
      <c r="O49" s="62">
        <f>MAX(O37:O48)</f>
        <v>0</v>
      </c>
    </row>
    <row r="50" spans="1:15" x14ac:dyDescent="0.35">
      <c r="A50" s="365"/>
      <c r="B50" s="366"/>
      <c r="C50" s="366"/>
      <c r="D50" s="366"/>
      <c r="E50" s="366"/>
      <c r="F50" s="366"/>
      <c r="G50" s="367"/>
    </row>
    <row r="51" spans="1:15" ht="27.75" x14ac:dyDescent="0.35">
      <c r="A51" s="365"/>
      <c r="B51" s="366"/>
      <c r="C51" s="366"/>
      <c r="D51" s="366"/>
      <c r="E51" s="366"/>
      <c r="F51" s="366"/>
      <c r="G51" s="367"/>
      <c r="J51" s="61">
        <f>+A6</f>
        <v>2022</v>
      </c>
      <c r="K51" s="61" t="s">
        <v>354</v>
      </c>
      <c r="L51" s="67" t="s">
        <v>349</v>
      </c>
      <c r="M51" s="67" t="s">
        <v>355</v>
      </c>
      <c r="N51" s="67" t="s">
        <v>352</v>
      </c>
      <c r="O51" s="67" t="s">
        <v>356</v>
      </c>
    </row>
    <row r="52" spans="1:15" x14ac:dyDescent="0.35">
      <c r="A52" s="368"/>
      <c r="B52" s="369"/>
      <c r="C52" s="369"/>
      <c r="D52" s="369"/>
      <c r="E52" s="369"/>
      <c r="F52" s="369"/>
      <c r="G52" s="370"/>
      <c r="J52" s="359" t="s">
        <v>189</v>
      </c>
      <c r="K52" s="66" t="s">
        <v>357</v>
      </c>
      <c r="L52" s="64"/>
      <c r="M52" s="64"/>
      <c r="N52" s="64"/>
      <c r="O52" s="64"/>
    </row>
    <row r="53" spans="1:15" x14ac:dyDescent="0.35">
      <c r="J53" s="359"/>
      <c r="K53" s="66" t="s">
        <v>358</v>
      </c>
      <c r="L53" s="64"/>
      <c r="M53" s="64"/>
      <c r="N53" s="64"/>
      <c r="O53" s="64"/>
    </row>
    <row r="54" spans="1:15" x14ac:dyDescent="0.35">
      <c r="J54" s="359"/>
      <c r="K54" s="66" t="s">
        <v>359</v>
      </c>
      <c r="L54" s="64"/>
      <c r="M54" s="64"/>
      <c r="N54" s="64"/>
      <c r="O54" s="64"/>
    </row>
    <row r="55" spans="1:15" x14ac:dyDescent="0.35">
      <c r="J55" s="359"/>
      <c r="K55" s="66" t="s">
        <v>361</v>
      </c>
      <c r="L55" s="64"/>
      <c r="M55" s="64"/>
      <c r="N55" s="64"/>
      <c r="O55" s="64"/>
    </row>
    <row r="56" spans="1:15" x14ac:dyDescent="0.35">
      <c r="J56" s="359"/>
      <c r="K56" s="66" t="s">
        <v>363</v>
      </c>
      <c r="L56" s="64"/>
      <c r="M56" s="64"/>
      <c r="N56" s="64"/>
      <c r="O56" s="64"/>
    </row>
    <row r="57" spans="1:15" x14ac:dyDescent="0.35">
      <c r="J57" s="359"/>
      <c r="K57" s="66" t="s">
        <v>364</v>
      </c>
      <c r="L57" s="64"/>
      <c r="M57" s="64"/>
      <c r="N57" s="64"/>
      <c r="O57" s="64"/>
    </row>
    <row r="58" spans="1:15" x14ac:dyDescent="0.35">
      <c r="J58" s="359"/>
      <c r="K58" s="66" t="s">
        <v>365</v>
      </c>
      <c r="L58" s="64"/>
      <c r="M58" s="64"/>
      <c r="N58" s="64"/>
      <c r="O58" s="64"/>
    </row>
    <row r="59" spans="1:15" x14ac:dyDescent="0.35">
      <c r="J59" s="359"/>
      <c r="K59" s="66" t="s">
        <v>367</v>
      </c>
      <c r="L59" s="64"/>
      <c r="M59" s="64"/>
      <c r="N59" s="64"/>
      <c r="O59" s="64"/>
    </row>
    <row r="60" spans="1:15" x14ac:dyDescent="0.35">
      <c r="J60" s="359"/>
      <c r="K60" s="66" t="s">
        <v>368</v>
      </c>
      <c r="L60" s="64"/>
      <c r="M60" s="64"/>
      <c r="N60" s="64"/>
      <c r="O60" s="64"/>
    </row>
    <row r="61" spans="1:15" x14ac:dyDescent="0.35">
      <c r="J61" s="359"/>
      <c r="K61" s="66" t="s">
        <v>369</v>
      </c>
      <c r="L61" s="64"/>
      <c r="M61" s="64"/>
      <c r="N61" s="64"/>
      <c r="O61" s="64"/>
    </row>
    <row r="62" spans="1:15" x14ac:dyDescent="0.35">
      <c r="J62" s="359"/>
      <c r="K62" s="66" t="s">
        <v>370</v>
      </c>
      <c r="L62" s="64"/>
      <c r="M62" s="64"/>
      <c r="N62" s="64"/>
      <c r="O62" s="64"/>
    </row>
    <row r="63" spans="1:15" x14ac:dyDescent="0.35">
      <c r="J63" s="359"/>
      <c r="K63" s="66" t="s">
        <v>371</v>
      </c>
      <c r="L63" s="64"/>
      <c r="M63" s="64"/>
      <c r="N63" s="64"/>
      <c r="O63" s="64"/>
    </row>
    <row r="64" spans="1:15" x14ac:dyDescent="0.35">
      <c r="J64" s="359"/>
      <c r="K64" s="62" t="s">
        <v>372</v>
      </c>
      <c r="L64" s="62" t="e">
        <f>AVERAGE(L52:L63)</f>
        <v>#DIV/0!</v>
      </c>
      <c r="M64" s="62">
        <f>MAX(M52:M63)</f>
        <v>0</v>
      </c>
      <c r="N64" s="62" t="e">
        <f>AVERAGE(N52:N63)</f>
        <v>#DIV/0!</v>
      </c>
      <c r="O64" s="62">
        <f>MAX(O52:O63)</f>
        <v>0</v>
      </c>
    </row>
    <row r="66" spans="10:15" ht="27.75" x14ac:dyDescent="0.35">
      <c r="J66" s="61">
        <f>+A6</f>
        <v>2022</v>
      </c>
      <c r="K66" s="61" t="s">
        <v>354</v>
      </c>
      <c r="L66" s="67" t="s">
        <v>349</v>
      </c>
      <c r="M66" s="67" t="s">
        <v>355</v>
      </c>
      <c r="N66" s="67" t="s">
        <v>352</v>
      </c>
      <c r="O66" s="67" t="s">
        <v>356</v>
      </c>
    </row>
    <row r="67" spans="10:15" x14ac:dyDescent="0.35">
      <c r="J67" s="359" t="s">
        <v>190</v>
      </c>
      <c r="K67" s="66" t="s">
        <v>357</v>
      </c>
      <c r="L67" s="64"/>
      <c r="M67" s="64"/>
      <c r="N67" s="64"/>
      <c r="O67" s="64"/>
    </row>
    <row r="68" spans="10:15" x14ac:dyDescent="0.35">
      <c r="J68" s="359"/>
      <c r="K68" s="66" t="s">
        <v>358</v>
      </c>
      <c r="L68" s="64"/>
      <c r="M68" s="64"/>
      <c r="N68" s="64"/>
      <c r="O68" s="64"/>
    </row>
    <row r="69" spans="10:15" x14ac:dyDescent="0.35">
      <c r="J69" s="359"/>
      <c r="K69" s="66" t="s">
        <v>359</v>
      </c>
      <c r="L69" s="64"/>
      <c r="M69" s="64"/>
      <c r="N69" s="64"/>
      <c r="O69" s="64"/>
    </row>
    <row r="70" spans="10:15" x14ac:dyDescent="0.35">
      <c r="J70" s="359"/>
      <c r="K70" s="66" t="s">
        <v>361</v>
      </c>
      <c r="L70" s="64"/>
      <c r="M70" s="64"/>
      <c r="N70" s="64"/>
      <c r="O70" s="64"/>
    </row>
    <row r="71" spans="10:15" x14ac:dyDescent="0.35">
      <c r="J71" s="359"/>
      <c r="K71" s="66" t="s">
        <v>363</v>
      </c>
      <c r="L71" s="64"/>
      <c r="M71" s="64"/>
      <c r="N71" s="64"/>
      <c r="O71" s="64"/>
    </row>
    <row r="72" spans="10:15" x14ac:dyDescent="0.35">
      <c r="J72" s="359"/>
      <c r="K72" s="66" t="s">
        <v>364</v>
      </c>
      <c r="L72" s="64"/>
      <c r="M72" s="64"/>
      <c r="N72" s="64"/>
      <c r="O72" s="64"/>
    </row>
    <row r="73" spans="10:15" x14ac:dyDescent="0.35">
      <c r="J73" s="359"/>
      <c r="K73" s="66" t="s">
        <v>365</v>
      </c>
      <c r="L73" s="64"/>
      <c r="M73" s="64"/>
      <c r="N73" s="64"/>
      <c r="O73" s="64"/>
    </row>
    <row r="74" spans="10:15" x14ac:dyDescent="0.35">
      <c r="J74" s="359"/>
      <c r="K74" s="66" t="s">
        <v>367</v>
      </c>
      <c r="L74" s="64"/>
      <c r="M74" s="64"/>
      <c r="N74" s="64"/>
      <c r="O74" s="64"/>
    </row>
    <row r="75" spans="10:15" x14ac:dyDescent="0.35">
      <c r="J75" s="359"/>
      <c r="K75" s="66" t="s">
        <v>368</v>
      </c>
      <c r="L75" s="64"/>
      <c r="M75" s="64"/>
      <c r="N75" s="64"/>
      <c r="O75" s="64"/>
    </row>
    <row r="76" spans="10:15" x14ac:dyDescent="0.35">
      <c r="J76" s="359"/>
      <c r="K76" s="66" t="s">
        <v>369</v>
      </c>
      <c r="L76" s="64"/>
      <c r="M76" s="64"/>
      <c r="N76" s="64"/>
      <c r="O76" s="64"/>
    </row>
    <row r="77" spans="10:15" x14ac:dyDescent="0.35">
      <c r="J77" s="359"/>
      <c r="K77" s="66" t="s">
        <v>370</v>
      </c>
      <c r="L77" s="64"/>
      <c r="M77" s="64"/>
      <c r="N77" s="64"/>
      <c r="O77" s="64"/>
    </row>
    <row r="78" spans="10:15" x14ac:dyDescent="0.35">
      <c r="J78" s="359"/>
      <c r="K78" s="66" t="s">
        <v>371</v>
      </c>
      <c r="L78" s="64"/>
      <c r="M78" s="64"/>
      <c r="N78" s="64"/>
      <c r="O78" s="64"/>
    </row>
    <row r="79" spans="10:15" x14ac:dyDescent="0.35">
      <c r="J79" s="359"/>
      <c r="K79" s="62" t="s">
        <v>372</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headerFooter scaleWithDoc="0">
    <oddFooter>&amp;C&amp;"Arial,Regular"Page &amp;P</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showGridLines="0" zoomScaleNormal="100" workbookViewId="0">
      <selection activeCell="D7" sqref="D7"/>
    </sheetView>
  </sheetViews>
  <sheetFormatPr defaultRowHeight="13.5" x14ac:dyDescent="0.35"/>
  <cols>
    <col min="1" max="1" width="14" style="3" customWidth="1"/>
    <col min="2" max="2" width="12.73046875" style="35" customWidth="1"/>
    <col min="3" max="3" width="15.265625" style="35" customWidth="1"/>
    <col min="4" max="4" width="17.73046875" style="35" customWidth="1"/>
    <col min="5" max="5" width="14.73046875" style="35" customWidth="1"/>
    <col min="6" max="6" width="11.59765625" style="35" customWidth="1"/>
    <col min="7" max="7" width="15" style="35" customWidth="1"/>
    <col min="8" max="8" width="14.73046875" style="35" customWidth="1"/>
    <col min="9" max="12" width="9.265625" style="3"/>
    <col min="13" max="13" width="15.3984375" style="3" customWidth="1"/>
    <col min="14" max="14" width="17.73046875" style="3" customWidth="1"/>
    <col min="15" max="15" width="17.3984375" style="3" bestFit="1" customWidth="1"/>
    <col min="16" max="16" width="13.73046875" style="3" customWidth="1"/>
    <col min="17" max="17" width="15" style="3" customWidth="1"/>
    <col min="18" max="20" width="9.265625" style="3"/>
    <col min="21" max="21" width="22.3984375" style="3" customWidth="1"/>
    <col min="22" max="258" width="9.265625" style="3"/>
    <col min="259" max="259" width="14" style="3" customWidth="1"/>
    <col min="260" max="265" width="10.265625" style="3" customWidth="1"/>
    <col min="266" max="514" width="9.265625" style="3"/>
    <col min="515" max="515" width="14" style="3" customWidth="1"/>
    <col min="516" max="521" width="10.265625" style="3" customWidth="1"/>
    <col min="522" max="770" width="9.265625" style="3"/>
    <col min="771" max="771" width="14" style="3" customWidth="1"/>
    <col min="772" max="777" width="10.265625" style="3" customWidth="1"/>
    <col min="778" max="1026" width="9.265625" style="3"/>
    <col min="1027" max="1027" width="14" style="3" customWidth="1"/>
    <col min="1028" max="1033" width="10.265625" style="3" customWidth="1"/>
    <col min="1034" max="1282" width="9.265625" style="3"/>
    <col min="1283" max="1283" width="14" style="3" customWidth="1"/>
    <col min="1284" max="1289" width="10.265625" style="3" customWidth="1"/>
    <col min="1290" max="1538" width="9.265625" style="3"/>
    <col min="1539" max="1539" width="14" style="3" customWidth="1"/>
    <col min="1540" max="1545" width="10.265625" style="3" customWidth="1"/>
    <col min="1546" max="1794" width="9.265625" style="3"/>
    <col min="1795" max="1795" width="14" style="3" customWidth="1"/>
    <col min="1796" max="1801" width="10.265625" style="3" customWidth="1"/>
    <col min="1802" max="2050" width="9.265625" style="3"/>
    <col min="2051" max="2051" width="14" style="3" customWidth="1"/>
    <col min="2052" max="2057" width="10.265625" style="3" customWidth="1"/>
    <col min="2058" max="2306" width="9.265625" style="3"/>
    <col min="2307" max="2307" width="14" style="3" customWidth="1"/>
    <col min="2308" max="2313" width="10.265625" style="3" customWidth="1"/>
    <col min="2314" max="2562" width="9.265625" style="3"/>
    <col min="2563" max="2563" width="14" style="3" customWidth="1"/>
    <col min="2564" max="2569" width="10.265625" style="3" customWidth="1"/>
    <col min="2570" max="2818" width="9.265625" style="3"/>
    <col min="2819" max="2819" width="14" style="3" customWidth="1"/>
    <col min="2820" max="2825" width="10.265625" style="3" customWidth="1"/>
    <col min="2826" max="3074" width="9.265625" style="3"/>
    <col min="3075" max="3075" width="14" style="3" customWidth="1"/>
    <col min="3076" max="3081" width="10.265625" style="3" customWidth="1"/>
    <col min="3082" max="3330" width="9.265625" style="3"/>
    <col min="3331" max="3331" width="14" style="3" customWidth="1"/>
    <col min="3332" max="3337" width="10.265625" style="3" customWidth="1"/>
    <col min="3338" max="3586" width="9.265625" style="3"/>
    <col min="3587" max="3587" width="14" style="3" customWidth="1"/>
    <col min="3588" max="3593" width="10.265625" style="3" customWidth="1"/>
    <col min="3594" max="3842" width="9.265625" style="3"/>
    <col min="3843" max="3843" width="14" style="3" customWidth="1"/>
    <col min="3844" max="3849" width="10.265625" style="3" customWidth="1"/>
    <col min="3850" max="4098" width="9.265625" style="3"/>
    <col min="4099" max="4099" width="14" style="3" customWidth="1"/>
    <col min="4100" max="4105" width="10.265625" style="3" customWidth="1"/>
    <col min="4106" max="4354" width="9.265625" style="3"/>
    <col min="4355" max="4355" width="14" style="3" customWidth="1"/>
    <col min="4356" max="4361" width="10.265625" style="3" customWidth="1"/>
    <col min="4362" max="4610" width="9.265625" style="3"/>
    <col min="4611" max="4611" width="14" style="3" customWidth="1"/>
    <col min="4612" max="4617" width="10.265625" style="3" customWidth="1"/>
    <col min="4618" max="4866" width="9.265625" style="3"/>
    <col min="4867" max="4867" width="14" style="3" customWidth="1"/>
    <col min="4868" max="4873" width="10.265625" style="3" customWidth="1"/>
    <col min="4874" max="5122" width="9.265625" style="3"/>
    <col min="5123" max="5123" width="14" style="3" customWidth="1"/>
    <col min="5124" max="5129" width="10.265625" style="3" customWidth="1"/>
    <col min="5130" max="5378" width="9.265625" style="3"/>
    <col min="5379" max="5379" width="14" style="3" customWidth="1"/>
    <col min="5380" max="5385" width="10.265625" style="3" customWidth="1"/>
    <col min="5386" max="5634" width="9.265625" style="3"/>
    <col min="5635" max="5635" width="14" style="3" customWidth="1"/>
    <col min="5636" max="5641" width="10.265625" style="3" customWidth="1"/>
    <col min="5642" max="5890" width="9.265625" style="3"/>
    <col min="5891" max="5891" width="14" style="3" customWidth="1"/>
    <col min="5892" max="5897" width="10.265625" style="3" customWidth="1"/>
    <col min="5898" max="6146" width="9.265625" style="3"/>
    <col min="6147" max="6147" width="14" style="3" customWidth="1"/>
    <col min="6148" max="6153" width="10.265625" style="3" customWidth="1"/>
    <col min="6154" max="6402" width="9.265625" style="3"/>
    <col min="6403" max="6403" width="14" style="3" customWidth="1"/>
    <col min="6404" max="6409" width="10.265625" style="3" customWidth="1"/>
    <col min="6410" max="6658" width="9.265625" style="3"/>
    <col min="6659" max="6659" width="14" style="3" customWidth="1"/>
    <col min="6660" max="6665" width="10.265625" style="3" customWidth="1"/>
    <col min="6666" max="6914" width="9.265625" style="3"/>
    <col min="6915" max="6915" width="14" style="3" customWidth="1"/>
    <col min="6916" max="6921" width="10.265625" style="3" customWidth="1"/>
    <col min="6922" max="7170" width="9.265625" style="3"/>
    <col min="7171" max="7171" width="14" style="3" customWidth="1"/>
    <col min="7172" max="7177" width="10.265625" style="3" customWidth="1"/>
    <col min="7178" max="7426" width="9.265625" style="3"/>
    <col min="7427" max="7427" width="14" style="3" customWidth="1"/>
    <col min="7428" max="7433" width="10.265625" style="3" customWidth="1"/>
    <col min="7434" max="7682" width="9.265625" style="3"/>
    <col min="7683" max="7683" width="14" style="3" customWidth="1"/>
    <col min="7684" max="7689" width="10.265625" style="3" customWidth="1"/>
    <col min="7690" max="7938" width="9.265625" style="3"/>
    <col min="7939" max="7939" width="14" style="3" customWidth="1"/>
    <col min="7940" max="7945" width="10.265625" style="3" customWidth="1"/>
    <col min="7946" max="8194" width="9.265625" style="3"/>
    <col min="8195" max="8195" width="14" style="3" customWidth="1"/>
    <col min="8196" max="8201" width="10.265625" style="3" customWidth="1"/>
    <col min="8202" max="8450" width="9.265625" style="3"/>
    <col min="8451" max="8451" width="14" style="3" customWidth="1"/>
    <col min="8452" max="8457" width="10.265625" style="3" customWidth="1"/>
    <col min="8458" max="8706" width="9.265625" style="3"/>
    <col min="8707" max="8707" width="14" style="3" customWidth="1"/>
    <col min="8708" max="8713" width="10.265625" style="3" customWidth="1"/>
    <col min="8714" max="8962" width="9.265625" style="3"/>
    <col min="8963" max="8963" width="14" style="3" customWidth="1"/>
    <col min="8964" max="8969" width="10.265625" style="3" customWidth="1"/>
    <col min="8970" max="9218" width="9.265625" style="3"/>
    <col min="9219" max="9219" width="14" style="3" customWidth="1"/>
    <col min="9220" max="9225" width="10.265625" style="3" customWidth="1"/>
    <col min="9226" max="9474" width="9.265625" style="3"/>
    <col min="9475" max="9475" width="14" style="3" customWidth="1"/>
    <col min="9476" max="9481" width="10.265625" style="3" customWidth="1"/>
    <col min="9482" max="9730" width="9.265625" style="3"/>
    <col min="9731" max="9731" width="14" style="3" customWidth="1"/>
    <col min="9732" max="9737" width="10.265625" style="3" customWidth="1"/>
    <col min="9738" max="9986" width="9.265625" style="3"/>
    <col min="9987" max="9987" width="14" style="3" customWidth="1"/>
    <col min="9988" max="9993" width="10.265625" style="3" customWidth="1"/>
    <col min="9994" max="10242" width="9.265625" style="3"/>
    <col min="10243" max="10243" width="14" style="3" customWidth="1"/>
    <col min="10244" max="10249" width="10.265625" style="3" customWidth="1"/>
    <col min="10250" max="10498" width="9.265625" style="3"/>
    <col min="10499" max="10499" width="14" style="3" customWidth="1"/>
    <col min="10500" max="10505" width="10.265625" style="3" customWidth="1"/>
    <col min="10506" max="10754" width="9.265625" style="3"/>
    <col min="10755" max="10755" width="14" style="3" customWidth="1"/>
    <col min="10756" max="10761" width="10.265625" style="3" customWidth="1"/>
    <col min="10762" max="11010" width="9.265625" style="3"/>
    <col min="11011" max="11011" width="14" style="3" customWidth="1"/>
    <col min="11012" max="11017" width="10.265625" style="3" customWidth="1"/>
    <col min="11018" max="11266" width="9.265625" style="3"/>
    <col min="11267" max="11267" width="14" style="3" customWidth="1"/>
    <col min="11268" max="11273" width="10.265625" style="3" customWidth="1"/>
    <col min="11274" max="11522" width="9.265625" style="3"/>
    <col min="11523" max="11523" width="14" style="3" customWidth="1"/>
    <col min="11524" max="11529" width="10.265625" style="3" customWidth="1"/>
    <col min="11530" max="11778" width="9.265625" style="3"/>
    <col min="11779" max="11779" width="14" style="3" customWidth="1"/>
    <col min="11780" max="11785" width="10.265625" style="3" customWidth="1"/>
    <col min="11786" max="12034" width="9.265625" style="3"/>
    <col min="12035" max="12035" width="14" style="3" customWidth="1"/>
    <col min="12036" max="12041" width="10.265625" style="3" customWidth="1"/>
    <col min="12042" max="12290" width="9.265625" style="3"/>
    <col min="12291" max="12291" width="14" style="3" customWidth="1"/>
    <col min="12292" max="12297" width="10.265625" style="3" customWidth="1"/>
    <col min="12298" max="12546" width="9.265625" style="3"/>
    <col min="12547" max="12547" width="14" style="3" customWidth="1"/>
    <col min="12548" max="12553" width="10.265625" style="3" customWidth="1"/>
    <col min="12554" max="12802" width="9.265625" style="3"/>
    <col min="12803" max="12803" width="14" style="3" customWidth="1"/>
    <col min="12804" max="12809" width="10.265625" style="3" customWidth="1"/>
    <col min="12810" max="13058" width="9.265625" style="3"/>
    <col min="13059" max="13059" width="14" style="3" customWidth="1"/>
    <col min="13060" max="13065" width="10.265625" style="3" customWidth="1"/>
    <col min="13066" max="13314" width="9.265625" style="3"/>
    <col min="13315" max="13315" width="14" style="3" customWidth="1"/>
    <col min="13316" max="13321" width="10.265625" style="3" customWidth="1"/>
    <col min="13322" max="13570" width="9.265625" style="3"/>
    <col min="13571" max="13571" width="14" style="3" customWidth="1"/>
    <col min="13572" max="13577" width="10.265625" style="3" customWidth="1"/>
    <col min="13578" max="13826" width="9.265625" style="3"/>
    <col min="13827" max="13827" width="14" style="3" customWidth="1"/>
    <col min="13828" max="13833" width="10.265625" style="3" customWidth="1"/>
    <col min="13834" max="14082" width="9.265625" style="3"/>
    <col min="14083" max="14083" width="14" style="3" customWidth="1"/>
    <col min="14084" max="14089" width="10.265625" style="3" customWidth="1"/>
    <col min="14090" max="14338" width="9.265625" style="3"/>
    <col min="14339" max="14339" width="14" style="3" customWidth="1"/>
    <col min="14340" max="14345" width="10.265625" style="3" customWidth="1"/>
    <col min="14346" max="14594" width="9.265625" style="3"/>
    <col min="14595" max="14595" width="14" style="3" customWidth="1"/>
    <col min="14596" max="14601" width="10.265625" style="3" customWidth="1"/>
    <col min="14602" max="14850" width="9.265625" style="3"/>
    <col min="14851" max="14851" width="14" style="3" customWidth="1"/>
    <col min="14852" max="14857" width="10.265625" style="3" customWidth="1"/>
    <col min="14858" max="15106" width="9.265625" style="3"/>
    <col min="15107" max="15107" width="14" style="3" customWidth="1"/>
    <col min="15108" max="15113" width="10.265625" style="3" customWidth="1"/>
    <col min="15114" max="15362" width="9.265625" style="3"/>
    <col min="15363" max="15363" width="14" style="3" customWidth="1"/>
    <col min="15364" max="15369" width="10.265625" style="3" customWidth="1"/>
    <col min="15370" max="15618" width="9.265625" style="3"/>
    <col min="15619" max="15619" width="14" style="3" customWidth="1"/>
    <col min="15620" max="15625" width="10.265625" style="3" customWidth="1"/>
    <col min="15626" max="15874" width="9.265625" style="3"/>
    <col min="15875" max="15875" width="14" style="3" customWidth="1"/>
    <col min="15876" max="15881" width="10.265625" style="3" customWidth="1"/>
    <col min="15882" max="16130" width="9.265625" style="3"/>
    <col min="16131" max="16131" width="14" style="3" customWidth="1"/>
    <col min="16132" max="16137" width="10.265625" style="3" customWidth="1"/>
    <col min="16138" max="16384" width="9.265625" style="3"/>
  </cols>
  <sheetData>
    <row r="1" spans="1:21" ht="15" x14ac:dyDescent="0.4">
      <c r="A1" s="93" t="str">
        <f>+'Cover Page'!$B$29</f>
        <v>Annual Performance Report 2022</v>
      </c>
      <c r="B1" s="93"/>
      <c r="C1" s="93"/>
      <c r="D1" s="93"/>
      <c r="E1" s="93" t="str">
        <f>+'Cover Page'!$B$33</f>
        <v>EQUANS FM Ltd</v>
      </c>
    </row>
    <row r="3" spans="1:21" ht="13.9" x14ac:dyDescent="0.4">
      <c r="A3" s="60" t="s">
        <v>388</v>
      </c>
      <c r="E3" s="76" t="s">
        <v>341</v>
      </c>
      <c r="H3" s="80" t="s">
        <v>389</v>
      </c>
      <c r="J3" s="9" t="str">
        <f>+A3</f>
        <v>Monitoring of Carbon Monoxide (10-minute avg)</v>
      </c>
      <c r="L3" s="9"/>
      <c r="O3" s="9" t="s">
        <v>343</v>
      </c>
      <c r="Q3" s="77" t="s">
        <v>3</v>
      </c>
      <c r="S3" s="79" t="s">
        <v>3</v>
      </c>
      <c r="T3" s="74"/>
      <c r="U3" s="74"/>
    </row>
    <row r="4" spans="1:21" ht="14.1" customHeight="1" x14ac:dyDescent="0.35">
      <c r="S4" s="350" t="s">
        <v>390</v>
      </c>
      <c r="T4" s="350"/>
      <c r="U4" s="350"/>
    </row>
    <row r="5" spans="1:21" ht="15.75" x14ac:dyDescent="0.4">
      <c r="A5" s="68" t="s">
        <v>345</v>
      </c>
      <c r="B5" s="361" t="s">
        <v>391</v>
      </c>
      <c r="C5" s="361"/>
      <c r="D5" s="361"/>
      <c r="E5" s="361"/>
      <c r="F5" s="361" t="s">
        <v>347</v>
      </c>
      <c r="G5" s="361"/>
      <c r="H5" s="361"/>
      <c r="K5" s="360"/>
      <c r="L5" s="360"/>
      <c r="M5" s="360"/>
      <c r="N5" s="360"/>
      <c r="O5" s="360"/>
      <c r="P5" s="360"/>
      <c r="Q5" s="360"/>
      <c r="S5" s="350"/>
      <c r="T5" s="350"/>
      <c r="U5" s="350"/>
    </row>
    <row r="6" spans="1:21" s="58" customFormat="1" ht="37.5" customHeight="1" x14ac:dyDescent="0.45">
      <c r="A6" s="65">
        <f>+'Cover Page'!C39</f>
        <v>2022</v>
      </c>
      <c r="B6" s="55" t="s">
        <v>392</v>
      </c>
      <c r="C6" s="55" t="s">
        <v>393</v>
      </c>
      <c r="D6" s="55" t="s">
        <v>394</v>
      </c>
      <c r="E6" s="55" t="s">
        <v>395</v>
      </c>
      <c r="F6" s="55" t="s">
        <v>387</v>
      </c>
      <c r="G6" s="55" t="s">
        <v>352</v>
      </c>
      <c r="H6" s="55" t="s">
        <v>353</v>
      </c>
      <c r="I6" s="59"/>
      <c r="K6" s="61">
        <f>+A6</f>
        <v>2022</v>
      </c>
      <c r="L6" s="61" t="s">
        <v>354</v>
      </c>
      <c r="M6" s="55" t="s">
        <v>393</v>
      </c>
      <c r="N6" s="55" t="s">
        <v>394</v>
      </c>
      <c r="O6" s="55" t="s">
        <v>395</v>
      </c>
      <c r="P6" s="67" t="s">
        <v>352</v>
      </c>
      <c r="Q6" s="67" t="s">
        <v>356</v>
      </c>
      <c r="S6" s="350"/>
      <c r="T6" s="350"/>
      <c r="U6" s="350"/>
    </row>
    <row r="7" spans="1:21" x14ac:dyDescent="0.35">
      <c r="A7" s="66" t="s">
        <v>357</v>
      </c>
      <c r="B7" s="69" t="s">
        <v>396</v>
      </c>
      <c r="C7" s="64"/>
      <c r="D7" s="64"/>
      <c r="E7" s="64"/>
      <c r="F7" s="69" t="s">
        <v>396</v>
      </c>
      <c r="G7" s="64"/>
      <c r="H7" s="64"/>
      <c r="K7" s="359" t="s">
        <v>186</v>
      </c>
      <c r="L7" s="66" t="s">
        <v>357</v>
      </c>
      <c r="M7" s="64"/>
      <c r="N7" s="64"/>
      <c r="O7" s="64"/>
      <c r="P7" s="64"/>
      <c r="Q7" s="64"/>
      <c r="S7" s="350"/>
      <c r="T7" s="350"/>
      <c r="U7" s="350"/>
    </row>
    <row r="8" spans="1:21" x14ac:dyDescent="0.35">
      <c r="A8" s="66" t="s">
        <v>358</v>
      </c>
      <c r="B8" s="63" t="str">
        <f>+B7</f>
        <v>N/A</v>
      </c>
      <c r="C8" s="64"/>
      <c r="D8" s="64"/>
      <c r="E8" s="64"/>
      <c r="F8" s="69" t="s">
        <v>396</v>
      </c>
      <c r="G8" s="64"/>
      <c r="H8" s="64"/>
      <c r="K8" s="359"/>
      <c r="L8" s="66" t="s">
        <v>358</v>
      </c>
      <c r="M8" s="64"/>
      <c r="N8" s="64"/>
      <c r="O8" s="64"/>
      <c r="P8" s="64"/>
      <c r="Q8" s="64"/>
      <c r="S8" s="350"/>
      <c r="T8" s="350"/>
      <c r="U8" s="350"/>
    </row>
    <row r="9" spans="1:21" ht="13.9" x14ac:dyDescent="0.4">
      <c r="A9" s="66" t="s">
        <v>359</v>
      </c>
      <c r="B9" s="63" t="str">
        <f t="shared" ref="B9:B18" si="0">+B8</f>
        <v>N/A</v>
      </c>
      <c r="C9" s="64"/>
      <c r="D9" s="64"/>
      <c r="E9" s="64"/>
      <c r="F9" s="69" t="s">
        <v>396</v>
      </c>
      <c r="G9" s="64"/>
      <c r="H9" s="64"/>
      <c r="K9" s="359"/>
      <c r="L9" s="66" t="s">
        <v>359</v>
      </c>
      <c r="M9" s="64"/>
      <c r="N9" s="64"/>
      <c r="O9" s="64"/>
      <c r="P9" s="64"/>
      <c r="Q9" s="64"/>
      <c r="S9" s="78" t="s">
        <v>397</v>
      </c>
    </row>
    <row r="10" spans="1:21" x14ac:dyDescent="0.35">
      <c r="A10" s="66" t="s">
        <v>361</v>
      </c>
      <c r="B10" s="63" t="str">
        <f t="shared" si="0"/>
        <v>N/A</v>
      </c>
      <c r="C10" s="64"/>
      <c r="D10" s="64"/>
      <c r="E10" s="64"/>
      <c r="F10" s="69" t="s">
        <v>396</v>
      </c>
      <c r="G10" s="64"/>
      <c r="H10" s="64"/>
      <c r="K10" s="359"/>
      <c r="L10" s="66" t="s">
        <v>361</v>
      </c>
      <c r="M10" s="64"/>
      <c r="N10" s="64"/>
      <c r="O10" s="64"/>
      <c r="P10" s="64"/>
      <c r="Q10" s="64"/>
      <c r="S10" s="358" t="s">
        <v>398</v>
      </c>
      <c r="T10" s="358"/>
      <c r="U10" s="358"/>
    </row>
    <row r="11" spans="1:21" x14ac:dyDescent="0.35">
      <c r="A11" s="66" t="s">
        <v>363</v>
      </c>
      <c r="B11" s="63" t="str">
        <f t="shared" si="0"/>
        <v>N/A</v>
      </c>
      <c r="C11" s="64"/>
      <c r="D11" s="64"/>
      <c r="E11" s="64"/>
      <c r="F11" s="69" t="s">
        <v>396</v>
      </c>
      <c r="G11" s="64"/>
      <c r="H11" s="64"/>
      <c r="K11" s="359"/>
      <c r="L11" s="66" t="s">
        <v>363</v>
      </c>
      <c r="M11" s="64"/>
      <c r="N11" s="64"/>
      <c r="O11" s="64"/>
      <c r="P11" s="64"/>
      <c r="Q11" s="64"/>
      <c r="S11" s="358"/>
      <c r="T11" s="358"/>
      <c r="U11" s="358"/>
    </row>
    <row r="12" spans="1:21" x14ac:dyDescent="0.35">
      <c r="A12" s="66" t="s">
        <v>364</v>
      </c>
      <c r="B12" s="63" t="str">
        <f t="shared" si="0"/>
        <v>N/A</v>
      </c>
      <c r="C12" s="64"/>
      <c r="D12" s="64"/>
      <c r="E12" s="64"/>
      <c r="F12" s="69" t="s">
        <v>396</v>
      </c>
      <c r="G12" s="64"/>
      <c r="H12" s="64"/>
      <c r="K12" s="359"/>
      <c r="L12" s="66" t="s">
        <v>364</v>
      </c>
      <c r="M12" s="64"/>
      <c r="N12" s="64"/>
      <c r="O12" s="64"/>
      <c r="P12" s="64"/>
      <c r="Q12" s="64"/>
      <c r="S12" s="358"/>
      <c r="T12" s="358"/>
      <c r="U12" s="358"/>
    </row>
    <row r="13" spans="1:21" x14ac:dyDescent="0.35">
      <c r="A13" s="66" t="s">
        <v>365</v>
      </c>
      <c r="B13" s="63" t="str">
        <f t="shared" si="0"/>
        <v>N/A</v>
      </c>
      <c r="C13" s="64"/>
      <c r="D13" s="64"/>
      <c r="E13" s="64"/>
      <c r="F13" s="69" t="s">
        <v>396</v>
      </c>
      <c r="G13" s="64"/>
      <c r="H13" s="64"/>
      <c r="K13" s="359"/>
      <c r="L13" s="66" t="s">
        <v>365</v>
      </c>
      <c r="M13" s="64"/>
      <c r="N13" s="64"/>
      <c r="O13" s="64"/>
      <c r="P13" s="64"/>
      <c r="Q13" s="64"/>
      <c r="S13" s="358" t="s">
        <v>399</v>
      </c>
      <c r="T13" s="358"/>
      <c r="U13" s="358"/>
    </row>
    <row r="14" spans="1:21" x14ac:dyDescent="0.35">
      <c r="A14" s="66" t="s">
        <v>367</v>
      </c>
      <c r="B14" s="63" t="str">
        <f t="shared" si="0"/>
        <v>N/A</v>
      </c>
      <c r="C14" s="64"/>
      <c r="D14" s="64"/>
      <c r="E14" s="64"/>
      <c r="F14" s="69" t="s">
        <v>396</v>
      </c>
      <c r="G14" s="64"/>
      <c r="H14" s="64"/>
      <c r="K14" s="359"/>
      <c r="L14" s="66" t="s">
        <v>367</v>
      </c>
      <c r="M14" s="64"/>
      <c r="N14" s="64"/>
      <c r="O14" s="64"/>
      <c r="P14" s="64"/>
      <c r="Q14" s="64"/>
      <c r="S14" s="358"/>
      <c r="T14" s="358"/>
      <c r="U14" s="358"/>
    </row>
    <row r="15" spans="1:21" x14ac:dyDescent="0.35">
      <c r="A15" s="66" t="s">
        <v>368</v>
      </c>
      <c r="B15" s="63" t="str">
        <f t="shared" si="0"/>
        <v>N/A</v>
      </c>
      <c r="C15" s="64"/>
      <c r="D15" s="64"/>
      <c r="E15" s="64"/>
      <c r="F15" s="69" t="s">
        <v>396</v>
      </c>
      <c r="G15" s="64"/>
      <c r="H15" s="64"/>
      <c r="K15" s="359"/>
      <c r="L15" s="66" t="s">
        <v>368</v>
      </c>
      <c r="M15" s="64"/>
      <c r="N15" s="64"/>
      <c r="O15" s="64"/>
      <c r="P15" s="64"/>
      <c r="Q15" s="64"/>
      <c r="S15" s="358"/>
      <c r="T15" s="358"/>
      <c r="U15" s="358"/>
    </row>
    <row r="16" spans="1:21" x14ac:dyDescent="0.35">
      <c r="A16" s="66" t="s">
        <v>369</v>
      </c>
      <c r="B16" s="63" t="str">
        <f t="shared" si="0"/>
        <v>N/A</v>
      </c>
      <c r="C16" s="64"/>
      <c r="D16" s="64"/>
      <c r="E16" s="64"/>
      <c r="F16" s="69" t="s">
        <v>396</v>
      </c>
      <c r="G16" s="64"/>
      <c r="H16" s="64"/>
      <c r="K16" s="359"/>
      <c r="L16" s="66" t="s">
        <v>369</v>
      </c>
      <c r="M16" s="64"/>
      <c r="N16" s="64"/>
      <c r="O16" s="64"/>
      <c r="P16" s="64"/>
      <c r="Q16" s="64"/>
      <c r="S16" s="358"/>
      <c r="T16" s="358"/>
      <c r="U16" s="358"/>
    </row>
    <row r="17" spans="1:17" x14ac:dyDescent="0.35">
      <c r="A17" s="66" t="s">
        <v>370</v>
      </c>
      <c r="B17" s="63" t="str">
        <f t="shared" si="0"/>
        <v>N/A</v>
      </c>
      <c r="C17" s="64"/>
      <c r="D17" s="64"/>
      <c r="E17" s="64"/>
      <c r="F17" s="69" t="s">
        <v>396</v>
      </c>
      <c r="G17" s="64"/>
      <c r="H17" s="64"/>
      <c r="K17" s="359"/>
      <c r="L17" s="66" t="s">
        <v>370</v>
      </c>
      <c r="M17" s="64"/>
      <c r="N17" s="64"/>
      <c r="O17" s="64"/>
      <c r="P17" s="64"/>
      <c r="Q17" s="64"/>
    </row>
    <row r="18" spans="1:17" x14ac:dyDescent="0.35">
      <c r="A18" s="66" t="s">
        <v>371</v>
      </c>
      <c r="B18" s="63" t="str">
        <f t="shared" si="0"/>
        <v>N/A</v>
      </c>
      <c r="C18" s="64"/>
      <c r="D18" s="64"/>
      <c r="E18" s="64"/>
      <c r="F18" s="69" t="s">
        <v>396</v>
      </c>
      <c r="G18" s="64"/>
      <c r="H18" s="64"/>
      <c r="K18" s="359"/>
      <c r="L18" s="66" t="s">
        <v>371</v>
      </c>
      <c r="M18" s="64"/>
      <c r="N18" s="64"/>
      <c r="O18" s="64"/>
      <c r="P18" s="64"/>
      <c r="Q18" s="64"/>
    </row>
    <row r="19" spans="1:17" x14ac:dyDescent="0.35">
      <c r="K19" s="359"/>
      <c r="L19" s="62" t="s">
        <v>372</v>
      </c>
      <c r="M19" s="62" t="e">
        <f>AVERAGE(M7:M18)</f>
        <v>#DIV/0!</v>
      </c>
      <c r="N19" s="62"/>
      <c r="O19" s="62">
        <f>MAX(O7:O18)</f>
        <v>0</v>
      </c>
      <c r="P19" s="62" t="e">
        <f>AVERAGE(P7:P18)</f>
        <v>#DIV/0!</v>
      </c>
      <c r="Q19" s="62">
        <f>MAX(Q7:Q18)</f>
        <v>0</v>
      </c>
    </row>
    <row r="21" spans="1:17" ht="27.75" x14ac:dyDescent="0.35">
      <c r="K21" s="61">
        <f>+A6</f>
        <v>2022</v>
      </c>
      <c r="L21" s="61" t="s">
        <v>354</v>
      </c>
      <c r="M21" s="55" t="s">
        <v>393</v>
      </c>
      <c r="N21" s="55" t="s">
        <v>394</v>
      </c>
      <c r="O21" s="55" t="s">
        <v>395</v>
      </c>
      <c r="P21" s="67" t="s">
        <v>352</v>
      </c>
      <c r="Q21" s="67" t="s">
        <v>356</v>
      </c>
    </row>
    <row r="22" spans="1:17" x14ac:dyDescent="0.35">
      <c r="K22" s="359" t="s">
        <v>187</v>
      </c>
      <c r="L22" s="66" t="s">
        <v>357</v>
      </c>
      <c r="M22" s="64"/>
      <c r="N22" s="64"/>
      <c r="O22" s="64"/>
      <c r="P22" s="64"/>
      <c r="Q22" s="64"/>
    </row>
    <row r="23" spans="1:17" x14ac:dyDescent="0.35">
      <c r="K23" s="359"/>
      <c r="L23" s="66" t="s">
        <v>358</v>
      </c>
      <c r="M23" s="64"/>
      <c r="N23" s="64"/>
      <c r="O23" s="64"/>
      <c r="P23" s="64"/>
      <c r="Q23" s="64"/>
    </row>
    <row r="24" spans="1:17" x14ac:dyDescent="0.35">
      <c r="K24" s="359"/>
      <c r="L24" s="66" t="s">
        <v>359</v>
      </c>
      <c r="M24" s="64"/>
      <c r="N24" s="64"/>
      <c r="O24" s="64"/>
      <c r="P24" s="64"/>
      <c r="Q24" s="64"/>
    </row>
    <row r="25" spans="1:17" x14ac:dyDescent="0.35">
      <c r="K25" s="359"/>
      <c r="L25" s="66" t="s">
        <v>361</v>
      </c>
      <c r="M25" s="64"/>
      <c r="N25" s="64"/>
      <c r="O25" s="64"/>
      <c r="P25" s="64"/>
      <c r="Q25" s="64"/>
    </row>
    <row r="26" spans="1:17" x14ac:dyDescent="0.35">
      <c r="K26" s="359"/>
      <c r="L26" s="66" t="s">
        <v>363</v>
      </c>
      <c r="M26" s="64"/>
      <c r="N26" s="64"/>
      <c r="O26" s="64"/>
      <c r="P26" s="64"/>
      <c r="Q26" s="64"/>
    </row>
    <row r="27" spans="1:17" x14ac:dyDescent="0.35">
      <c r="K27" s="359"/>
      <c r="L27" s="66" t="s">
        <v>364</v>
      </c>
      <c r="M27" s="64"/>
      <c r="N27" s="64"/>
      <c r="O27" s="64"/>
      <c r="P27" s="64"/>
      <c r="Q27" s="64"/>
    </row>
    <row r="28" spans="1:17" x14ac:dyDescent="0.35">
      <c r="K28" s="359"/>
      <c r="L28" s="66" t="s">
        <v>365</v>
      </c>
      <c r="M28" s="64"/>
      <c r="N28" s="64"/>
      <c r="O28" s="64"/>
      <c r="P28" s="64"/>
      <c r="Q28" s="64"/>
    </row>
    <row r="29" spans="1:17" x14ac:dyDescent="0.35">
      <c r="K29" s="359"/>
      <c r="L29" s="66" t="s">
        <v>367</v>
      </c>
      <c r="M29" s="64"/>
      <c r="N29" s="64"/>
      <c r="O29" s="64"/>
      <c r="P29" s="64"/>
      <c r="Q29" s="64"/>
    </row>
    <row r="30" spans="1:17" x14ac:dyDescent="0.35">
      <c r="K30" s="359"/>
      <c r="L30" s="66" t="s">
        <v>368</v>
      </c>
      <c r="M30" s="64"/>
      <c r="N30" s="64"/>
      <c r="O30" s="64"/>
      <c r="P30" s="64"/>
      <c r="Q30" s="64"/>
    </row>
    <row r="31" spans="1:17" x14ac:dyDescent="0.35">
      <c r="K31" s="359"/>
      <c r="L31" s="66" t="s">
        <v>369</v>
      </c>
      <c r="M31" s="64"/>
      <c r="N31" s="64"/>
      <c r="O31" s="64"/>
      <c r="P31" s="64"/>
      <c r="Q31" s="64"/>
    </row>
    <row r="32" spans="1:17" x14ac:dyDescent="0.35">
      <c r="K32" s="359"/>
      <c r="L32" s="66" t="s">
        <v>370</v>
      </c>
      <c r="M32" s="64"/>
      <c r="N32" s="64"/>
      <c r="O32" s="64"/>
      <c r="P32" s="64"/>
      <c r="Q32" s="64"/>
    </row>
    <row r="33" spans="1:17" x14ac:dyDescent="0.35">
      <c r="K33" s="359"/>
      <c r="L33" s="66" t="s">
        <v>371</v>
      </c>
      <c r="M33" s="64"/>
      <c r="N33" s="64"/>
      <c r="O33" s="64"/>
      <c r="P33" s="64"/>
      <c r="Q33" s="64"/>
    </row>
    <row r="34" spans="1:17" x14ac:dyDescent="0.35">
      <c r="K34" s="359"/>
      <c r="L34" s="62" t="s">
        <v>372</v>
      </c>
      <c r="M34" s="62" t="e">
        <f>AVERAGE(M22:M33)</f>
        <v>#DIV/0!</v>
      </c>
      <c r="N34" s="62"/>
      <c r="O34" s="62">
        <f>MAX(O22:O33)</f>
        <v>0</v>
      </c>
      <c r="P34" s="62" t="e">
        <f>AVERAGE(P22:P33)</f>
        <v>#DIV/0!</v>
      </c>
      <c r="Q34" s="62">
        <f>MAX(Q22:Q33)</f>
        <v>0</v>
      </c>
    </row>
    <row r="36" spans="1:17" ht="27.75" x14ac:dyDescent="0.35">
      <c r="K36" s="61">
        <f>+A6</f>
        <v>2022</v>
      </c>
      <c r="L36" s="61" t="s">
        <v>354</v>
      </c>
      <c r="M36" s="55" t="s">
        <v>393</v>
      </c>
      <c r="N36" s="55" t="s">
        <v>394</v>
      </c>
      <c r="O36" s="55" t="s">
        <v>395</v>
      </c>
      <c r="P36" s="67" t="s">
        <v>352</v>
      </c>
      <c r="Q36" s="67" t="s">
        <v>356</v>
      </c>
    </row>
    <row r="37" spans="1:17" x14ac:dyDescent="0.35">
      <c r="K37" s="359" t="s">
        <v>188</v>
      </c>
      <c r="L37" s="66" t="s">
        <v>357</v>
      </c>
      <c r="M37" s="64"/>
      <c r="N37" s="64"/>
      <c r="O37" s="64"/>
      <c r="P37" s="64"/>
      <c r="Q37" s="64"/>
    </row>
    <row r="38" spans="1:17" x14ac:dyDescent="0.35">
      <c r="K38" s="359"/>
      <c r="L38" s="66" t="s">
        <v>358</v>
      </c>
      <c r="M38" s="64"/>
      <c r="N38" s="64"/>
      <c r="O38" s="64"/>
      <c r="P38" s="64"/>
      <c r="Q38" s="64"/>
    </row>
    <row r="39" spans="1:17" x14ac:dyDescent="0.35">
      <c r="K39" s="359"/>
      <c r="L39" s="66" t="s">
        <v>359</v>
      </c>
      <c r="M39" s="64"/>
      <c r="N39" s="64"/>
      <c r="O39" s="64"/>
      <c r="P39" s="64"/>
      <c r="Q39" s="64"/>
    </row>
    <row r="40" spans="1:17" x14ac:dyDescent="0.35">
      <c r="K40" s="359"/>
      <c r="L40" s="66" t="s">
        <v>361</v>
      </c>
      <c r="M40" s="64"/>
      <c r="N40" s="64"/>
      <c r="O40" s="64"/>
      <c r="P40" s="64"/>
      <c r="Q40" s="64"/>
    </row>
    <row r="41" spans="1:17" x14ac:dyDescent="0.35">
      <c r="K41" s="359"/>
      <c r="L41" s="66" t="s">
        <v>363</v>
      </c>
      <c r="M41" s="64"/>
      <c r="N41" s="64"/>
      <c r="O41" s="64"/>
      <c r="P41" s="64"/>
      <c r="Q41" s="64"/>
    </row>
    <row r="42" spans="1:17" x14ac:dyDescent="0.35">
      <c r="K42" s="359"/>
      <c r="L42" s="66" t="s">
        <v>364</v>
      </c>
      <c r="M42" s="64"/>
      <c r="N42" s="64"/>
      <c r="O42" s="64"/>
      <c r="P42" s="64"/>
      <c r="Q42" s="64"/>
    </row>
    <row r="43" spans="1:17" x14ac:dyDescent="0.35">
      <c r="K43" s="359"/>
      <c r="L43" s="66" t="s">
        <v>365</v>
      </c>
      <c r="M43" s="64"/>
      <c r="N43" s="64"/>
      <c r="O43" s="64"/>
      <c r="P43" s="64"/>
      <c r="Q43" s="64"/>
    </row>
    <row r="44" spans="1:17" x14ac:dyDescent="0.35">
      <c r="K44" s="359"/>
      <c r="L44" s="66" t="s">
        <v>367</v>
      </c>
      <c r="M44" s="64"/>
      <c r="N44" s="64"/>
      <c r="O44" s="64"/>
      <c r="P44" s="64"/>
      <c r="Q44" s="64"/>
    </row>
    <row r="45" spans="1:17" x14ac:dyDescent="0.35">
      <c r="K45" s="359"/>
      <c r="L45" s="66" t="s">
        <v>368</v>
      </c>
      <c r="M45" s="64"/>
      <c r="N45" s="64"/>
      <c r="O45" s="64"/>
      <c r="P45" s="64"/>
      <c r="Q45" s="64"/>
    </row>
    <row r="46" spans="1:17" x14ac:dyDescent="0.35">
      <c r="K46" s="359"/>
      <c r="L46" s="66" t="s">
        <v>369</v>
      </c>
      <c r="M46" s="64"/>
      <c r="N46" s="64"/>
      <c r="O46" s="64"/>
      <c r="P46" s="64"/>
      <c r="Q46" s="64"/>
    </row>
    <row r="47" spans="1:17" x14ac:dyDescent="0.35">
      <c r="K47" s="359"/>
      <c r="L47" s="66" t="s">
        <v>370</v>
      </c>
      <c r="M47" s="64"/>
      <c r="N47" s="64"/>
      <c r="O47" s="64"/>
      <c r="P47" s="64"/>
      <c r="Q47" s="64"/>
    </row>
    <row r="48" spans="1:17" ht="13.9" x14ac:dyDescent="0.35">
      <c r="A48" s="371" t="s">
        <v>267</v>
      </c>
      <c r="B48" s="372"/>
      <c r="C48" s="372"/>
      <c r="D48" s="372"/>
      <c r="E48" s="372"/>
      <c r="F48" s="372"/>
      <c r="G48" s="372"/>
      <c r="H48" s="373"/>
      <c r="K48" s="359"/>
      <c r="L48" s="66" t="s">
        <v>371</v>
      </c>
      <c r="M48" s="64"/>
      <c r="N48" s="64"/>
      <c r="O48" s="64"/>
      <c r="P48" s="64"/>
      <c r="Q48" s="64"/>
    </row>
    <row r="49" spans="1:17" x14ac:dyDescent="0.35">
      <c r="A49" s="374" t="s">
        <v>400</v>
      </c>
      <c r="B49" s="375"/>
      <c r="C49" s="375"/>
      <c r="D49" s="375"/>
      <c r="E49" s="375"/>
      <c r="F49" s="375"/>
      <c r="G49" s="375"/>
      <c r="H49" s="376"/>
      <c r="K49" s="359"/>
      <c r="L49" s="62" t="s">
        <v>372</v>
      </c>
      <c r="M49" s="62" t="e">
        <f>AVERAGE(M37:M48)</f>
        <v>#DIV/0!</v>
      </c>
      <c r="N49" s="62"/>
      <c r="O49" s="62">
        <f>MAX(O37:O48)</f>
        <v>0</v>
      </c>
      <c r="P49" s="62" t="e">
        <f>AVERAGE(P37:P48)</f>
        <v>#DIV/0!</v>
      </c>
      <c r="Q49" s="62">
        <f>MAX(Q37:Q48)</f>
        <v>0</v>
      </c>
    </row>
    <row r="50" spans="1:17" x14ac:dyDescent="0.35">
      <c r="A50" s="377"/>
      <c r="B50" s="378"/>
      <c r="C50" s="378"/>
      <c r="D50" s="378"/>
      <c r="E50" s="378"/>
      <c r="F50" s="378"/>
      <c r="G50" s="378"/>
      <c r="H50" s="379"/>
    </row>
    <row r="51" spans="1:17" ht="27.75" x14ac:dyDescent="0.35">
      <c r="A51" s="377"/>
      <c r="B51" s="378"/>
      <c r="C51" s="378"/>
      <c r="D51" s="378"/>
      <c r="E51" s="378"/>
      <c r="F51" s="378"/>
      <c r="G51" s="378"/>
      <c r="H51" s="379"/>
      <c r="K51" s="61">
        <f>+A6</f>
        <v>2022</v>
      </c>
      <c r="L51" s="61" t="s">
        <v>354</v>
      </c>
      <c r="M51" s="55" t="s">
        <v>393</v>
      </c>
      <c r="N51" s="55" t="s">
        <v>394</v>
      </c>
      <c r="O51" s="55" t="s">
        <v>395</v>
      </c>
      <c r="P51" s="67" t="s">
        <v>352</v>
      </c>
      <c r="Q51" s="67" t="s">
        <v>356</v>
      </c>
    </row>
    <row r="52" spans="1:17" x14ac:dyDescent="0.35">
      <c r="A52" s="380"/>
      <c r="B52" s="381"/>
      <c r="C52" s="381"/>
      <c r="D52" s="381"/>
      <c r="E52" s="381"/>
      <c r="F52" s="381"/>
      <c r="G52" s="381"/>
      <c r="H52" s="382"/>
      <c r="K52" s="359" t="s">
        <v>189</v>
      </c>
      <c r="L52" s="66" t="s">
        <v>357</v>
      </c>
      <c r="M52" s="64"/>
      <c r="N52" s="64"/>
      <c r="O52" s="64"/>
      <c r="P52" s="64"/>
      <c r="Q52" s="64"/>
    </row>
    <row r="53" spans="1:17" x14ac:dyDescent="0.35">
      <c r="K53" s="359"/>
      <c r="L53" s="66" t="s">
        <v>358</v>
      </c>
      <c r="M53" s="64"/>
      <c r="N53" s="64"/>
      <c r="O53" s="64"/>
      <c r="P53" s="64"/>
      <c r="Q53" s="64"/>
    </row>
    <row r="54" spans="1:17" x14ac:dyDescent="0.35">
      <c r="K54" s="359"/>
      <c r="L54" s="66" t="s">
        <v>359</v>
      </c>
      <c r="M54" s="64"/>
      <c r="N54" s="64"/>
      <c r="O54" s="64"/>
      <c r="P54" s="64"/>
      <c r="Q54" s="64"/>
    </row>
    <row r="55" spans="1:17" x14ac:dyDescent="0.35">
      <c r="K55" s="359"/>
      <c r="L55" s="66" t="s">
        <v>361</v>
      </c>
      <c r="M55" s="64"/>
      <c r="N55" s="64"/>
      <c r="O55" s="64"/>
      <c r="P55" s="64"/>
      <c r="Q55" s="64"/>
    </row>
    <row r="56" spans="1:17" x14ac:dyDescent="0.35">
      <c r="K56" s="359"/>
      <c r="L56" s="66" t="s">
        <v>363</v>
      </c>
      <c r="M56" s="64"/>
      <c r="N56" s="64"/>
      <c r="O56" s="64"/>
      <c r="P56" s="64"/>
      <c r="Q56" s="64"/>
    </row>
    <row r="57" spans="1:17" x14ac:dyDescent="0.35">
      <c r="K57" s="359"/>
      <c r="L57" s="66" t="s">
        <v>364</v>
      </c>
      <c r="M57" s="64"/>
      <c r="N57" s="64"/>
      <c r="O57" s="64"/>
      <c r="P57" s="64"/>
      <c r="Q57" s="64"/>
    </row>
    <row r="58" spans="1:17" x14ac:dyDescent="0.35">
      <c r="K58" s="359"/>
      <c r="L58" s="66" t="s">
        <v>365</v>
      </c>
      <c r="M58" s="64"/>
      <c r="N58" s="64"/>
      <c r="O58" s="64"/>
      <c r="P58" s="64"/>
      <c r="Q58" s="64"/>
    </row>
    <row r="59" spans="1:17" x14ac:dyDescent="0.35">
      <c r="K59" s="359"/>
      <c r="L59" s="66" t="s">
        <v>367</v>
      </c>
      <c r="M59" s="64"/>
      <c r="N59" s="64"/>
      <c r="O59" s="64"/>
      <c r="P59" s="64"/>
      <c r="Q59" s="64"/>
    </row>
    <row r="60" spans="1:17" x14ac:dyDescent="0.35">
      <c r="K60" s="359"/>
      <c r="L60" s="66" t="s">
        <v>368</v>
      </c>
      <c r="M60" s="64"/>
      <c r="N60" s="64"/>
      <c r="O60" s="64"/>
      <c r="P60" s="64"/>
      <c r="Q60" s="64"/>
    </row>
    <row r="61" spans="1:17" x14ac:dyDescent="0.35">
      <c r="K61" s="359"/>
      <c r="L61" s="66" t="s">
        <v>369</v>
      </c>
      <c r="M61" s="64"/>
      <c r="N61" s="64"/>
      <c r="O61" s="64"/>
      <c r="P61" s="64"/>
      <c r="Q61" s="64"/>
    </row>
    <row r="62" spans="1:17" x14ac:dyDescent="0.35">
      <c r="K62" s="359"/>
      <c r="L62" s="66" t="s">
        <v>370</v>
      </c>
      <c r="M62" s="64"/>
      <c r="N62" s="64"/>
      <c r="O62" s="64"/>
      <c r="P62" s="64"/>
      <c r="Q62" s="64"/>
    </row>
    <row r="63" spans="1:17" x14ac:dyDescent="0.35">
      <c r="K63" s="359"/>
      <c r="L63" s="66" t="s">
        <v>371</v>
      </c>
      <c r="M63" s="64"/>
      <c r="N63" s="64"/>
      <c r="O63" s="64"/>
      <c r="P63" s="64"/>
      <c r="Q63" s="64"/>
    </row>
    <row r="64" spans="1:17" x14ac:dyDescent="0.35">
      <c r="K64" s="359"/>
      <c r="L64" s="62" t="s">
        <v>372</v>
      </c>
      <c r="M64" s="62" t="e">
        <f>AVERAGE(M52:M63)</f>
        <v>#DIV/0!</v>
      </c>
      <c r="N64" s="62"/>
      <c r="O64" s="62">
        <f>MAX(O52:O63)</f>
        <v>0</v>
      </c>
      <c r="P64" s="62" t="e">
        <f>AVERAGE(P52:P63)</f>
        <v>#DIV/0!</v>
      </c>
      <c r="Q64" s="62">
        <f>MAX(Q52:Q63)</f>
        <v>0</v>
      </c>
    </row>
    <row r="66" spans="11:17" ht="27.75" x14ac:dyDescent="0.35">
      <c r="K66" s="61">
        <f>+A6</f>
        <v>2022</v>
      </c>
      <c r="L66" s="61" t="s">
        <v>354</v>
      </c>
      <c r="M66" s="55" t="s">
        <v>393</v>
      </c>
      <c r="N66" s="55" t="s">
        <v>394</v>
      </c>
      <c r="O66" s="55" t="s">
        <v>395</v>
      </c>
      <c r="P66" s="67" t="s">
        <v>352</v>
      </c>
      <c r="Q66" s="67" t="s">
        <v>356</v>
      </c>
    </row>
    <row r="67" spans="11:17" x14ac:dyDescent="0.35">
      <c r="K67" s="359" t="s">
        <v>190</v>
      </c>
      <c r="L67" s="66" t="s">
        <v>357</v>
      </c>
      <c r="M67" s="64"/>
      <c r="N67" s="64"/>
      <c r="O67" s="64"/>
      <c r="P67" s="64"/>
      <c r="Q67" s="64"/>
    </row>
    <row r="68" spans="11:17" x14ac:dyDescent="0.35">
      <c r="K68" s="359"/>
      <c r="L68" s="66" t="s">
        <v>358</v>
      </c>
      <c r="M68" s="64"/>
      <c r="N68" s="64"/>
      <c r="O68" s="64"/>
      <c r="P68" s="64"/>
      <c r="Q68" s="64"/>
    </row>
    <row r="69" spans="11:17" x14ac:dyDescent="0.35">
      <c r="K69" s="359"/>
      <c r="L69" s="66" t="s">
        <v>359</v>
      </c>
      <c r="M69" s="64"/>
      <c r="N69" s="64"/>
      <c r="O69" s="64"/>
      <c r="P69" s="64"/>
      <c r="Q69" s="64"/>
    </row>
    <row r="70" spans="11:17" x14ac:dyDescent="0.35">
      <c r="K70" s="359"/>
      <c r="L70" s="66" t="s">
        <v>361</v>
      </c>
      <c r="M70" s="64"/>
      <c r="N70" s="64"/>
      <c r="O70" s="64"/>
      <c r="P70" s="64"/>
      <c r="Q70" s="64"/>
    </row>
    <row r="71" spans="11:17" x14ac:dyDescent="0.35">
      <c r="K71" s="359"/>
      <c r="L71" s="66" t="s">
        <v>363</v>
      </c>
      <c r="M71" s="64"/>
      <c r="N71" s="64"/>
      <c r="O71" s="64"/>
      <c r="P71" s="64"/>
      <c r="Q71" s="64"/>
    </row>
    <row r="72" spans="11:17" x14ac:dyDescent="0.35">
      <c r="K72" s="359"/>
      <c r="L72" s="66" t="s">
        <v>364</v>
      </c>
      <c r="M72" s="64"/>
      <c r="N72" s="64"/>
      <c r="O72" s="64"/>
      <c r="P72" s="64"/>
      <c r="Q72" s="64"/>
    </row>
    <row r="73" spans="11:17" x14ac:dyDescent="0.35">
      <c r="K73" s="359"/>
      <c r="L73" s="66" t="s">
        <v>365</v>
      </c>
      <c r="M73" s="64"/>
      <c r="N73" s="64"/>
      <c r="O73" s="64"/>
      <c r="P73" s="64"/>
      <c r="Q73" s="64"/>
    </row>
    <row r="74" spans="11:17" x14ac:dyDescent="0.35">
      <c r="K74" s="359"/>
      <c r="L74" s="66" t="s">
        <v>367</v>
      </c>
      <c r="M74" s="64"/>
      <c r="N74" s="64"/>
      <c r="O74" s="64"/>
      <c r="P74" s="64"/>
      <c r="Q74" s="64"/>
    </row>
    <row r="75" spans="11:17" x14ac:dyDescent="0.35">
      <c r="K75" s="359"/>
      <c r="L75" s="66" t="s">
        <v>368</v>
      </c>
      <c r="M75" s="64"/>
      <c r="N75" s="64"/>
      <c r="O75" s="64"/>
      <c r="P75" s="64"/>
      <c r="Q75" s="64"/>
    </row>
    <row r="76" spans="11:17" x14ac:dyDescent="0.35">
      <c r="K76" s="359"/>
      <c r="L76" s="66" t="s">
        <v>369</v>
      </c>
      <c r="M76" s="64"/>
      <c r="N76" s="64"/>
      <c r="O76" s="64"/>
      <c r="P76" s="64"/>
      <c r="Q76" s="64"/>
    </row>
    <row r="77" spans="11:17" x14ac:dyDescent="0.35">
      <c r="K77" s="359"/>
      <c r="L77" s="66" t="s">
        <v>370</v>
      </c>
      <c r="M77" s="64"/>
      <c r="N77" s="64"/>
      <c r="O77" s="64"/>
      <c r="P77" s="64"/>
      <c r="Q77" s="64"/>
    </row>
    <row r="78" spans="11:17" x14ac:dyDescent="0.35">
      <c r="K78" s="359"/>
      <c r="L78" s="66" t="s">
        <v>371</v>
      </c>
      <c r="M78" s="64"/>
      <c r="N78" s="64"/>
      <c r="O78" s="64"/>
      <c r="P78" s="64"/>
      <c r="Q78" s="64"/>
    </row>
    <row r="79" spans="11:17" x14ac:dyDescent="0.35">
      <c r="K79" s="359"/>
      <c r="L79" s="62" t="s">
        <v>372</v>
      </c>
      <c r="M79" s="62" t="e">
        <f>AVERAGE(M67:M78)</f>
        <v>#DIV/0!</v>
      </c>
      <c r="N79" s="62"/>
      <c r="O79" s="62">
        <f>MAX(O67:O78)</f>
        <v>0</v>
      </c>
      <c r="P79" s="62" t="e">
        <f>AVERAGE(P67:P78)</f>
        <v>#DIV/0!</v>
      </c>
      <c r="Q79" s="62">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headerFooter scaleWithDoc="0">
    <oddFooter>&amp;C&amp;"Arial,Regular"Page &amp;P</oddFooter>
  </headerFooter>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showGridLines="0" topLeftCell="A25" zoomScaleNormal="100" workbookViewId="0">
      <selection activeCell="E1" sqref="E1"/>
    </sheetView>
  </sheetViews>
  <sheetFormatPr defaultRowHeight="13.5" x14ac:dyDescent="0.35"/>
  <cols>
    <col min="1" max="1" width="14" style="3" customWidth="1"/>
    <col min="2" max="4" width="17" style="35" customWidth="1"/>
    <col min="5" max="5" width="14.73046875" style="35" customWidth="1"/>
    <col min="6" max="7" width="17" style="35" customWidth="1"/>
    <col min="8" max="11" width="9.265625" style="3"/>
    <col min="12" max="12" width="15.3984375" style="3" customWidth="1"/>
    <col min="13" max="13" width="17.3984375" style="3" bestFit="1" customWidth="1"/>
    <col min="14" max="14" width="13.73046875" style="3" customWidth="1"/>
    <col min="15" max="15" width="15" style="3" customWidth="1"/>
    <col min="16" max="18" width="9.265625" style="3"/>
    <col min="19" max="19" width="22" style="3" customWidth="1"/>
    <col min="20" max="256" width="9.265625" style="3"/>
    <col min="257" max="257" width="14" style="3" customWidth="1"/>
    <col min="258" max="263" width="10.265625" style="3" customWidth="1"/>
    <col min="264" max="512" width="9.265625" style="3"/>
    <col min="513" max="513" width="14" style="3" customWidth="1"/>
    <col min="514" max="519" width="10.265625" style="3" customWidth="1"/>
    <col min="520" max="768" width="9.265625" style="3"/>
    <col min="769" max="769" width="14" style="3" customWidth="1"/>
    <col min="770" max="775" width="10.265625" style="3" customWidth="1"/>
    <col min="776" max="1024" width="9.265625" style="3"/>
    <col min="1025" max="1025" width="14" style="3" customWidth="1"/>
    <col min="1026" max="1031" width="10.265625" style="3" customWidth="1"/>
    <col min="1032" max="1280" width="9.265625" style="3"/>
    <col min="1281" max="1281" width="14" style="3" customWidth="1"/>
    <col min="1282" max="1287" width="10.265625" style="3" customWidth="1"/>
    <col min="1288" max="1536" width="9.265625" style="3"/>
    <col min="1537" max="1537" width="14" style="3" customWidth="1"/>
    <col min="1538" max="1543" width="10.265625" style="3" customWidth="1"/>
    <col min="1544" max="1792" width="9.265625" style="3"/>
    <col min="1793" max="1793" width="14" style="3" customWidth="1"/>
    <col min="1794" max="1799" width="10.265625" style="3" customWidth="1"/>
    <col min="1800" max="2048" width="9.265625" style="3"/>
    <col min="2049" max="2049" width="14" style="3" customWidth="1"/>
    <col min="2050" max="2055" width="10.265625" style="3" customWidth="1"/>
    <col min="2056" max="2304" width="9.265625" style="3"/>
    <col min="2305" max="2305" width="14" style="3" customWidth="1"/>
    <col min="2306" max="2311" width="10.265625" style="3" customWidth="1"/>
    <col min="2312" max="2560" width="9.265625" style="3"/>
    <col min="2561" max="2561" width="14" style="3" customWidth="1"/>
    <col min="2562" max="2567" width="10.265625" style="3" customWidth="1"/>
    <col min="2568" max="2816" width="9.265625" style="3"/>
    <col min="2817" max="2817" width="14" style="3" customWidth="1"/>
    <col min="2818" max="2823" width="10.265625" style="3" customWidth="1"/>
    <col min="2824" max="3072" width="9.265625" style="3"/>
    <col min="3073" max="3073" width="14" style="3" customWidth="1"/>
    <col min="3074" max="3079" width="10.265625" style="3" customWidth="1"/>
    <col min="3080" max="3328" width="9.265625" style="3"/>
    <col min="3329" max="3329" width="14" style="3" customWidth="1"/>
    <col min="3330" max="3335" width="10.265625" style="3" customWidth="1"/>
    <col min="3336" max="3584" width="9.265625" style="3"/>
    <col min="3585" max="3585" width="14" style="3" customWidth="1"/>
    <col min="3586" max="3591" width="10.265625" style="3" customWidth="1"/>
    <col min="3592" max="3840" width="9.265625" style="3"/>
    <col min="3841" max="3841" width="14" style="3" customWidth="1"/>
    <col min="3842" max="3847" width="10.265625" style="3" customWidth="1"/>
    <col min="3848" max="4096" width="9.265625" style="3"/>
    <col min="4097" max="4097" width="14" style="3" customWidth="1"/>
    <col min="4098" max="4103" width="10.265625" style="3" customWidth="1"/>
    <col min="4104" max="4352" width="9.265625" style="3"/>
    <col min="4353" max="4353" width="14" style="3" customWidth="1"/>
    <col min="4354" max="4359" width="10.265625" style="3" customWidth="1"/>
    <col min="4360" max="4608" width="9.265625" style="3"/>
    <col min="4609" max="4609" width="14" style="3" customWidth="1"/>
    <col min="4610" max="4615" width="10.265625" style="3" customWidth="1"/>
    <col min="4616" max="4864" width="9.265625" style="3"/>
    <col min="4865" max="4865" width="14" style="3" customWidth="1"/>
    <col min="4866" max="4871" width="10.265625" style="3" customWidth="1"/>
    <col min="4872" max="5120" width="9.265625" style="3"/>
    <col min="5121" max="5121" width="14" style="3" customWidth="1"/>
    <col min="5122" max="5127" width="10.265625" style="3" customWidth="1"/>
    <col min="5128" max="5376" width="9.265625" style="3"/>
    <col min="5377" max="5377" width="14" style="3" customWidth="1"/>
    <col min="5378" max="5383" width="10.265625" style="3" customWidth="1"/>
    <col min="5384" max="5632" width="9.265625" style="3"/>
    <col min="5633" max="5633" width="14" style="3" customWidth="1"/>
    <col min="5634" max="5639" width="10.265625" style="3" customWidth="1"/>
    <col min="5640" max="5888" width="9.265625" style="3"/>
    <col min="5889" max="5889" width="14" style="3" customWidth="1"/>
    <col min="5890" max="5895" width="10.265625" style="3" customWidth="1"/>
    <col min="5896" max="6144" width="9.265625" style="3"/>
    <col min="6145" max="6145" width="14" style="3" customWidth="1"/>
    <col min="6146" max="6151" width="10.265625" style="3" customWidth="1"/>
    <col min="6152" max="6400" width="9.265625" style="3"/>
    <col min="6401" max="6401" width="14" style="3" customWidth="1"/>
    <col min="6402" max="6407" width="10.265625" style="3" customWidth="1"/>
    <col min="6408" max="6656" width="9.265625" style="3"/>
    <col min="6657" max="6657" width="14" style="3" customWidth="1"/>
    <col min="6658" max="6663" width="10.265625" style="3" customWidth="1"/>
    <col min="6664" max="6912" width="9.265625" style="3"/>
    <col min="6913" max="6913" width="14" style="3" customWidth="1"/>
    <col min="6914" max="6919" width="10.265625" style="3" customWidth="1"/>
    <col min="6920" max="7168" width="9.265625" style="3"/>
    <col min="7169" max="7169" width="14" style="3" customWidth="1"/>
    <col min="7170" max="7175" width="10.265625" style="3" customWidth="1"/>
    <col min="7176" max="7424" width="9.265625" style="3"/>
    <col min="7425" max="7425" width="14" style="3" customWidth="1"/>
    <col min="7426" max="7431" width="10.265625" style="3" customWidth="1"/>
    <col min="7432" max="7680" width="9.265625" style="3"/>
    <col min="7681" max="7681" width="14" style="3" customWidth="1"/>
    <col min="7682" max="7687" width="10.265625" style="3" customWidth="1"/>
    <col min="7688" max="7936" width="9.265625" style="3"/>
    <col min="7937" max="7937" width="14" style="3" customWidth="1"/>
    <col min="7938" max="7943" width="10.265625" style="3" customWidth="1"/>
    <col min="7944" max="8192" width="9.265625" style="3"/>
    <col min="8193" max="8193" width="14" style="3" customWidth="1"/>
    <col min="8194" max="8199" width="10.265625" style="3" customWidth="1"/>
    <col min="8200" max="8448" width="9.265625" style="3"/>
    <col min="8449" max="8449" width="14" style="3" customWidth="1"/>
    <col min="8450" max="8455" width="10.265625" style="3" customWidth="1"/>
    <col min="8456" max="8704" width="9.265625" style="3"/>
    <col min="8705" max="8705" width="14" style="3" customWidth="1"/>
    <col min="8706" max="8711" width="10.265625" style="3" customWidth="1"/>
    <col min="8712" max="8960" width="9.265625" style="3"/>
    <col min="8961" max="8961" width="14" style="3" customWidth="1"/>
    <col min="8962" max="8967" width="10.265625" style="3" customWidth="1"/>
    <col min="8968" max="9216" width="9.265625" style="3"/>
    <col min="9217" max="9217" width="14" style="3" customWidth="1"/>
    <col min="9218" max="9223" width="10.265625" style="3" customWidth="1"/>
    <col min="9224" max="9472" width="9.265625" style="3"/>
    <col min="9473" max="9473" width="14" style="3" customWidth="1"/>
    <col min="9474" max="9479" width="10.265625" style="3" customWidth="1"/>
    <col min="9480" max="9728" width="9.265625" style="3"/>
    <col min="9729" max="9729" width="14" style="3" customWidth="1"/>
    <col min="9730" max="9735" width="10.265625" style="3" customWidth="1"/>
    <col min="9736" max="9984" width="9.265625" style="3"/>
    <col min="9985" max="9985" width="14" style="3" customWidth="1"/>
    <col min="9986" max="9991" width="10.265625" style="3" customWidth="1"/>
    <col min="9992" max="10240" width="9.265625" style="3"/>
    <col min="10241" max="10241" width="14" style="3" customWidth="1"/>
    <col min="10242" max="10247" width="10.265625" style="3" customWidth="1"/>
    <col min="10248" max="10496" width="9.265625" style="3"/>
    <col min="10497" max="10497" width="14" style="3" customWidth="1"/>
    <col min="10498" max="10503" width="10.265625" style="3" customWidth="1"/>
    <col min="10504" max="10752" width="9.265625" style="3"/>
    <col min="10753" max="10753" width="14" style="3" customWidth="1"/>
    <col min="10754" max="10759" width="10.265625" style="3" customWidth="1"/>
    <col min="10760" max="11008" width="9.265625" style="3"/>
    <col min="11009" max="11009" width="14" style="3" customWidth="1"/>
    <col min="11010" max="11015" width="10.265625" style="3" customWidth="1"/>
    <col min="11016" max="11264" width="9.265625" style="3"/>
    <col min="11265" max="11265" width="14" style="3" customWidth="1"/>
    <col min="11266" max="11271" width="10.265625" style="3" customWidth="1"/>
    <col min="11272" max="11520" width="9.265625" style="3"/>
    <col min="11521" max="11521" width="14" style="3" customWidth="1"/>
    <col min="11522" max="11527" width="10.265625" style="3" customWidth="1"/>
    <col min="11528" max="11776" width="9.265625" style="3"/>
    <col min="11777" max="11777" width="14" style="3" customWidth="1"/>
    <col min="11778" max="11783" width="10.265625" style="3" customWidth="1"/>
    <col min="11784" max="12032" width="9.265625" style="3"/>
    <col min="12033" max="12033" width="14" style="3" customWidth="1"/>
    <col min="12034" max="12039" width="10.265625" style="3" customWidth="1"/>
    <col min="12040" max="12288" width="9.265625" style="3"/>
    <col min="12289" max="12289" width="14" style="3" customWidth="1"/>
    <col min="12290" max="12295" width="10.265625" style="3" customWidth="1"/>
    <col min="12296" max="12544" width="9.265625" style="3"/>
    <col min="12545" max="12545" width="14" style="3" customWidth="1"/>
    <col min="12546" max="12551" width="10.265625" style="3" customWidth="1"/>
    <col min="12552" max="12800" width="9.265625" style="3"/>
    <col min="12801" max="12801" width="14" style="3" customWidth="1"/>
    <col min="12802" max="12807" width="10.265625" style="3" customWidth="1"/>
    <col min="12808" max="13056" width="9.265625" style="3"/>
    <col min="13057" max="13057" width="14" style="3" customWidth="1"/>
    <col min="13058" max="13063" width="10.265625" style="3" customWidth="1"/>
    <col min="13064" max="13312" width="9.265625" style="3"/>
    <col min="13313" max="13313" width="14" style="3" customWidth="1"/>
    <col min="13314" max="13319" width="10.265625" style="3" customWidth="1"/>
    <col min="13320" max="13568" width="9.265625" style="3"/>
    <col min="13569" max="13569" width="14" style="3" customWidth="1"/>
    <col min="13570" max="13575" width="10.265625" style="3" customWidth="1"/>
    <col min="13576" max="13824" width="9.265625" style="3"/>
    <col min="13825" max="13825" width="14" style="3" customWidth="1"/>
    <col min="13826" max="13831" width="10.265625" style="3" customWidth="1"/>
    <col min="13832" max="14080" width="9.265625" style="3"/>
    <col min="14081" max="14081" width="14" style="3" customWidth="1"/>
    <col min="14082" max="14087" width="10.265625" style="3" customWidth="1"/>
    <col min="14088" max="14336" width="9.265625" style="3"/>
    <col min="14337" max="14337" width="14" style="3" customWidth="1"/>
    <col min="14338" max="14343" width="10.265625" style="3" customWidth="1"/>
    <col min="14344" max="14592" width="9.265625" style="3"/>
    <col min="14593" max="14593" width="14" style="3" customWidth="1"/>
    <col min="14594" max="14599" width="10.265625" style="3" customWidth="1"/>
    <col min="14600" max="14848" width="9.265625" style="3"/>
    <col min="14849" max="14849" width="14" style="3" customWidth="1"/>
    <col min="14850" max="14855" width="10.265625" style="3" customWidth="1"/>
    <col min="14856" max="15104" width="9.265625" style="3"/>
    <col min="15105" max="15105" width="14" style="3" customWidth="1"/>
    <col min="15106" max="15111" width="10.265625" style="3" customWidth="1"/>
    <col min="15112" max="15360" width="9.265625" style="3"/>
    <col min="15361" max="15361" width="14" style="3" customWidth="1"/>
    <col min="15362" max="15367" width="10.265625" style="3" customWidth="1"/>
    <col min="15368" max="15616" width="9.265625" style="3"/>
    <col min="15617" max="15617" width="14" style="3" customWidth="1"/>
    <col min="15618" max="15623" width="10.265625" style="3" customWidth="1"/>
    <col min="15624" max="15872" width="9.265625" style="3"/>
    <col min="15873" max="15873" width="14" style="3" customWidth="1"/>
    <col min="15874" max="15879" width="10.265625" style="3" customWidth="1"/>
    <col min="15880" max="16128" width="9.265625" style="3"/>
    <col min="16129" max="16129" width="14" style="3" customWidth="1"/>
    <col min="16130" max="16135" width="10.265625" style="3" customWidth="1"/>
    <col min="16136" max="16384" width="9.265625" style="3"/>
  </cols>
  <sheetData>
    <row r="1" spans="1:19" ht="15" x14ac:dyDescent="0.4">
      <c r="A1" s="93" t="str">
        <f>+'Cover Page'!$B$29</f>
        <v>Annual Performance Report 2022</v>
      </c>
      <c r="B1" s="93"/>
      <c r="C1" s="93"/>
      <c r="D1" s="93"/>
      <c r="E1" s="93" t="str">
        <f>+'Cover Page'!$B$33</f>
        <v>EQUANS FM Ltd</v>
      </c>
    </row>
    <row r="3" spans="1:19" ht="13.9" x14ac:dyDescent="0.4">
      <c r="A3" s="60" t="s">
        <v>401</v>
      </c>
      <c r="D3" s="76" t="s">
        <v>341</v>
      </c>
      <c r="G3" s="80" t="s">
        <v>342</v>
      </c>
      <c r="J3" s="9" t="str">
        <f>+A3</f>
        <v xml:space="preserve">Monitoring of Ammnonia emissions </v>
      </c>
      <c r="L3" s="9"/>
      <c r="N3" s="9" t="s">
        <v>343</v>
      </c>
      <c r="Q3" s="79" t="s">
        <v>3</v>
      </c>
      <c r="R3" s="74"/>
      <c r="S3" s="74"/>
    </row>
    <row r="4" spans="1:19" ht="14.1" customHeight="1" x14ac:dyDescent="0.35">
      <c r="Q4" s="350" t="s">
        <v>344</v>
      </c>
      <c r="R4" s="350"/>
      <c r="S4" s="350"/>
    </row>
    <row r="5" spans="1:19" ht="15.75" x14ac:dyDescent="0.4">
      <c r="A5" s="68" t="s">
        <v>345</v>
      </c>
      <c r="B5" s="361" t="s">
        <v>346</v>
      </c>
      <c r="C5" s="361"/>
      <c r="D5" s="361"/>
      <c r="E5" s="361" t="s">
        <v>347</v>
      </c>
      <c r="F5" s="361"/>
      <c r="G5" s="361"/>
      <c r="J5" s="360"/>
      <c r="K5" s="360"/>
      <c r="L5" s="360"/>
      <c r="M5" s="360"/>
      <c r="N5" s="360"/>
      <c r="O5" s="360"/>
      <c r="Q5" s="350"/>
      <c r="R5" s="350"/>
      <c r="S5" s="350"/>
    </row>
    <row r="6" spans="1:19" s="58" customFormat="1" ht="37.5" customHeight="1" x14ac:dyDescent="0.45">
      <c r="A6" s="65">
        <f>+'Cover Page'!C39</f>
        <v>2022</v>
      </c>
      <c r="B6" s="55" t="s">
        <v>402</v>
      </c>
      <c r="C6" s="55" t="s">
        <v>349</v>
      </c>
      <c r="D6" s="55" t="s">
        <v>350</v>
      </c>
      <c r="E6" s="55" t="s">
        <v>403</v>
      </c>
      <c r="F6" s="55" t="s">
        <v>352</v>
      </c>
      <c r="G6" s="55" t="s">
        <v>353</v>
      </c>
      <c r="H6" s="59"/>
      <c r="J6" s="61">
        <f>+A6</f>
        <v>2022</v>
      </c>
      <c r="K6" s="61" t="s">
        <v>354</v>
      </c>
      <c r="L6" s="67" t="s">
        <v>349</v>
      </c>
      <c r="M6" s="67" t="s">
        <v>355</v>
      </c>
      <c r="N6" s="67" t="s">
        <v>352</v>
      </c>
      <c r="O6" s="67" t="s">
        <v>356</v>
      </c>
      <c r="Q6" s="350"/>
      <c r="R6" s="350"/>
      <c r="S6" s="350"/>
    </row>
    <row r="7" spans="1:19" x14ac:dyDescent="0.35">
      <c r="A7" s="66" t="s">
        <v>357</v>
      </c>
      <c r="B7" s="69">
        <v>0</v>
      </c>
      <c r="C7" s="177">
        <v>5.1669999999999998</v>
      </c>
      <c r="D7" s="64">
        <v>33</v>
      </c>
      <c r="E7" s="69">
        <v>0</v>
      </c>
      <c r="F7" s="177">
        <v>5.1669999999999998</v>
      </c>
      <c r="G7" s="64">
        <v>16</v>
      </c>
      <c r="J7" s="359" t="s">
        <v>186</v>
      </c>
      <c r="K7" s="66" t="s">
        <v>357</v>
      </c>
      <c r="L7" s="177">
        <v>5.1669999999999998</v>
      </c>
      <c r="M7" s="64">
        <v>33</v>
      </c>
      <c r="N7" s="177">
        <v>5.1669999999999998</v>
      </c>
      <c r="O7" s="64">
        <v>16</v>
      </c>
      <c r="Q7" s="350"/>
      <c r="R7" s="350"/>
      <c r="S7" s="350"/>
    </row>
    <row r="8" spans="1:19" x14ac:dyDescent="0.35">
      <c r="A8" s="66" t="s">
        <v>358</v>
      </c>
      <c r="B8" s="63">
        <f>+B7</f>
        <v>0</v>
      </c>
      <c r="C8" s="177">
        <v>2.6</v>
      </c>
      <c r="D8" s="64">
        <v>65</v>
      </c>
      <c r="E8" s="63">
        <f>+E7</f>
        <v>0</v>
      </c>
      <c r="F8" s="177">
        <v>2.6</v>
      </c>
      <c r="G8" s="64">
        <v>5</v>
      </c>
      <c r="J8" s="359"/>
      <c r="K8" s="66" t="s">
        <v>358</v>
      </c>
      <c r="L8" s="177">
        <v>2.6</v>
      </c>
      <c r="M8" s="64">
        <v>65</v>
      </c>
      <c r="N8" s="177">
        <v>2.6</v>
      </c>
      <c r="O8" s="64">
        <v>5</v>
      </c>
      <c r="Q8" s="350"/>
      <c r="R8" s="350"/>
      <c r="S8" s="350"/>
    </row>
    <row r="9" spans="1:19" ht="13.9" x14ac:dyDescent="0.4">
      <c r="A9" s="66" t="s">
        <v>359</v>
      </c>
      <c r="B9" s="63">
        <f t="shared" ref="B9:B18" si="0">+B8</f>
        <v>0</v>
      </c>
      <c r="C9" s="177">
        <v>15.8</v>
      </c>
      <c r="D9" s="64">
        <v>116</v>
      </c>
      <c r="E9" s="63">
        <f t="shared" ref="E9:E18" si="1">+E8</f>
        <v>0</v>
      </c>
      <c r="F9" s="177">
        <v>15.8</v>
      </c>
      <c r="G9" s="64">
        <v>68</v>
      </c>
      <c r="J9" s="359"/>
      <c r="K9" s="66" t="s">
        <v>359</v>
      </c>
      <c r="L9" s="177">
        <v>15.8</v>
      </c>
      <c r="M9" s="64">
        <v>116</v>
      </c>
      <c r="N9" s="177">
        <v>15.8</v>
      </c>
      <c r="O9" s="64">
        <v>68</v>
      </c>
      <c r="Q9" s="78" t="s">
        <v>360</v>
      </c>
    </row>
    <row r="10" spans="1:19" ht="14.25" customHeight="1" x14ac:dyDescent="0.35">
      <c r="A10" s="66" t="s">
        <v>361</v>
      </c>
      <c r="B10" s="63">
        <f t="shared" si="0"/>
        <v>0</v>
      </c>
      <c r="C10" s="177">
        <v>1</v>
      </c>
      <c r="D10" s="64">
        <v>4</v>
      </c>
      <c r="E10" s="63">
        <f t="shared" si="1"/>
        <v>0</v>
      </c>
      <c r="F10" s="177">
        <v>1</v>
      </c>
      <c r="G10" s="64">
        <v>1</v>
      </c>
      <c r="J10" s="359"/>
      <c r="K10" s="66" t="s">
        <v>361</v>
      </c>
      <c r="L10" s="177">
        <v>1</v>
      </c>
      <c r="M10" s="64">
        <v>4</v>
      </c>
      <c r="N10" s="177">
        <v>1</v>
      </c>
      <c r="O10" s="64">
        <v>1</v>
      </c>
      <c r="Q10" s="358" t="s">
        <v>362</v>
      </c>
      <c r="R10" s="358"/>
      <c r="S10" s="358"/>
    </row>
    <row r="11" spans="1:19" x14ac:dyDescent="0.35">
      <c r="A11" s="66" t="s">
        <v>363</v>
      </c>
      <c r="B11" s="63">
        <f t="shared" si="0"/>
        <v>0</v>
      </c>
      <c r="C11" s="177">
        <v>0</v>
      </c>
      <c r="D11" s="64">
        <v>0</v>
      </c>
      <c r="E11" s="63">
        <f t="shared" si="1"/>
        <v>0</v>
      </c>
      <c r="F11" s="177">
        <v>0</v>
      </c>
      <c r="G11" s="64">
        <v>2</v>
      </c>
      <c r="J11" s="359"/>
      <c r="K11" s="66" t="s">
        <v>363</v>
      </c>
      <c r="L11" s="177">
        <v>0</v>
      </c>
      <c r="M11" s="64">
        <v>0</v>
      </c>
      <c r="N11" s="177">
        <v>0</v>
      </c>
      <c r="O11" s="64">
        <v>2</v>
      </c>
      <c r="Q11" s="358"/>
      <c r="R11" s="358"/>
      <c r="S11" s="358"/>
    </row>
    <row r="12" spans="1:19" x14ac:dyDescent="0.35">
      <c r="A12" s="66" t="s">
        <v>364</v>
      </c>
      <c r="B12" s="63">
        <f t="shared" si="0"/>
        <v>0</v>
      </c>
      <c r="C12" s="177">
        <v>4.625</v>
      </c>
      <c r="D12" s="64">
        <v>58</v>
      </c>
      <c r="E12" s="63">
        <f t="shared" si="1"/>
        <v>0</v>
      </c>
      <c r="F12" s="177">
        <v>4.625</v>
      </c>
      <c r="G12" s="64">
        <v>17</v>
      </c>
      <c r="J12" s="359"/>
      <c r="K12" s="66" t="s">
        <v>364</v>
      </c>
      <c r="L12" s="177">
        <v>4.625</v>
      </c>
      <c r="M12" s="64">
        <v>58</v>
      </c>
      <c r="N12" s="177">
        <v>4.625</v>
      </c>
      <c r="O12" s="64">
        <v>17</v>
      </c>
      <c r="Q12" s="358"/>
      <c r="R12" s="358"/>
      <c r="S12" s="358"/>
    </row>
    <row r="13" spans="1:19" ht="14.25" customHeight="1" x14ac:dyDescent="0.35">
      <c r="A13" s="66" t="s">
        <v>365</v>
      </c>
      <c r="B13" s="63">
        <f t="shared" si="0"/>
        <v>0</v>
      </c>
      <c r="C13" s="177">
        <v>0</v>
      </c>
      <c r="D13" s="64">
        <v>0</v>
      </c>
      <c r="E13" s="63">
        <f t="shared" si="1"/>
        <v>0</v>
      </c>
      <c r="F13" s="177">
        <v>0</v>
      </c>
      <c r="G13" s="64">
        <v>0</v>
      </c>
      <c r="J13" s="359"/>
      <c r="K13" s="66" t="s">
        <v>365</v>
      </c>
      <c r="L13" s="177">
        <v>0</v>
      </c>
      <c r="M13" s="64">
        <v>0</v>
      </c>
      <c r="N13" s="177">
        <v>0</v>
      </c>
      <c r="O13" s="64">
        <v>0</v>
      </c>
      <c r="Q13" s="358" t="s">
        <v>366</v>
      </c>
      <c r="R13" s="358"/>
      <c r="S13" s="358"/>
    </row>
    <row r="14" spans="1:19" x14ac:dyDescent="0.35">
      <c r="A14" s="66" t="s">
        <v>367</v>
      </c>
      <c r="B14" s="63">
        <f t="shared" si="0"/>
        <v>0</v>
      </c>
      <c r="C14" s="177">
        <v>3.8</v>
      </c>
      <c r="D14" s="64">
        <v>20</v>
      </c>
      <c r="E14" s="63">
        <f t="shared" si="1"/>
        <v>0</v>
      </c>
      <c r="F14" s="177">
        <v>3.8</v>
      </c>
      <c r="G14" s="64">
        <v>6</v>
      </c>
      <c r="J14" s="359"/>
      <c r="K14" s="66" t="s">
        <v>367</v>
      </c>
      <c r="L14" s="177">
        <v>3.8</v>
      </c>
      <c r="M14" s="64">
        <v>20</v>
      </c>
      <c r="N14" s="177">
        <v>3.8</v>
      </c>
      <c r="O14" s="64">
        <v>6</v>
      </c>
      <c r="Q14" s="358"/>
      <c r="R14" s="358"/>
      <c r="S14" s="358"/>
    </row>
    <row r="15" spans="1:19" x14ac:dyDescent="0.35">
      <c r="A15" s="66" t="s">
        <v>368</v>
      </c>
      <c r="B15" s="63">
        <f t="shared" si="0"/>
        <v>0</v>
      </c>
      <c r="C15" s="177">
        <v>14.25</v>
      </c>
      <c r="D15" s="64">
        <v>49</v>
      </c>
      <c r="E15" s="63">
        <f t="shared" si="1"/>
        <v>0</v>
      </c>
      <c r="F15" s="177">
        <v>14.25</v>
      </c>
      <c r="G15" s="64">
        <v>37</v>
      </c>
      <c r="J15" s="359"/>
      <c r="K15" s="66" t="s">
        <v>368</v>
      </c>
      <c r="L15" s="177">
        <v>14.25</v>
      </c>
      <c r="M15" s="64">
        <v>49</v>
      </c>
      <c r="N15" s="177">
        <v>14.25</v>
      </c>
      <c r="O15" s="64">
        <v>37</v>
      </c>
      <c r="Q15" s="358"/>
      <c r="R15" s="358"/>
      <c r="S15" s="358"/>
    </row>
    <row r="16" spans="1:19" x14ac:dyDescent="0.35">
      <c r="A16" s="66" t="s">
        <v>369</v>
      </c>
      <c r="B16" s="63">
        <f t="shared" si="0"/>
        <v>0</v>
      </c>
      <c r="C16" s="177">
        <v>1</v>
      </c>
      <c r="D16" s="64">
        <v>9</v>
      </c>
      <c r="E16" s="63">
        <f t="shared" si="1"/>
        <v>0</v>
      </c>
      <c r="F16" s="177">
        <v>1</v>
      </c>
      <c r="G16" s="64">
        <v>1</v>
      </c>
      <c r="J16" s="359"/>
      <c r="K16" s="66" t="s">
        <v>369</v>
      </c>
      <c r="L16" s="177">
        <v>1</v>
      </c>
      <c r="M16" s="64">
        <v>9</v>
      </c>
      <c r="N16" s="177">
        <v>1</v>
      </c>
      <c r="O16" s="64">
        <v>1</v>
      </c>
      <c r="Q16" s="358"/>
      <c r="R16" s="358"/>
      <c r="S16" s="358"/>
    </row>
    <row r="17" spans="1:15" x14ac:dyDescent="0.35">
      <c r="A17" s="66" t="s">
        <v>370</v>
      </c>
      <c r="B17" s="63">
        <f t="shared" si="0"/>
        <v>0</v>
      </c>
      <c r="C17" s="177">
        <v>14.2</v>
      </c>
      <c r="D17" s="64">
        <v>145</v>
      </c>
      <c r="E17" s="63">
        <f t="shared" si="1"/>
        <v>0</v>
      </c>
      <c r="F17" s="177">
        <v>14.2</v>
      </c>
      <c r="G17" s="64">
        <v>49</v>
      </c>
      <c r="J17" s="359"/>
      <c r="K17" s="66" t="s">
        <v>370</v>
      </c>
      <c r="L17" s="177">
        <v>14.2</v>
      </c>
      <c r="M17" s="64">
        <v>145</v>
      </c>
      <c r="N17" s="177">
        <v>14.2</v>
      </c>
      <c r="O17" s="64">
        <v>49</v>
      </c>
    </row>
    <row r="18" spans="1:15" x14ac:dyDescent="0.35">
      <c r="A18" s="66" t="s">
        <v>371</v>
      </c>
      <c r="B18" s="63">
        <f t="shared" si="0"/>
        <v>0</v>
      </c>
      <c r="C18" s="177">
        <v>1.5</v>
      </c>
      <c r="D18" s="64">
        <v>32</v>
      </c>
      <c r="E18" s="63">
        <f t="shared" si="1"/>
        <v>0</v>
      </c>
      <c r="F18" s="177">
        <v>1.5</v>
      </c>
      <c r="G18" s="64">
        <v>2</v>
      </c>
      <c r="J18" s="359"/>
      <c r="K18" s="66" t="s">
        <v>371</v>
      </c>
      <c r="L18" s="177">
        <v>1.5</v>
      </c>
      <c r="M18" s="64">
        <v>32</v>
      </c>
      <c r="N18" s="177">
        <v>1.5</v>
      </c>
      <c r="O18" s="64">
        <v>2</v>
      </c>
    </row>
    <row r="19" spans="1:15" x14ac:dyDescent="0.35">
      <c r="J19" s="359"/>
      <c r="K19" s="62" t="s">
        <v>372</v>
      </c>
      <c r="L19" s="178">
        <f>AVERAGE(L7:L18)</f>
        <v>5.3284999999999991</v>
      </c>
      <c r="M19" s="62">
        <f>MAX(M7:M18)</f>
        <v>145</v>
      </c>
      <c r="N19" s="178">
        <f>AVERAGE(N7:N18)</f>
        <v>5.3284999999999991</v>
      </c>
      <c r="O19" s="62">
        <f>MAX(O7:O18)</f>
        <v>68</v>
      </c>
    </row>
    <row r="21" spans="1:15" ht="27.75" x14ac:dyDescent="0.35">
      <c r="J21" s="61">
        <f>+A6</f>
        <v>2022</v>
      </c>
      <c r="K21" s="61" t="s">
        <v>354</v>
      </c>
      <c r="L21" s="67" t="s">
        <v>349</v>
      </c>
      <c r="M21" s="67" t="s">
        <v>355</v>
      </c>
      <c r="N21" s="67" t="s">
        <v>352</v>
      </c>
      <c r="O21" s="67" t="s">
        <v>356</v>
      </c>
    </row>
    <row r="22" spans="1:15" x14ac:dyDescent="0.35">
      <c r="J22" s="359" t="s">
        <v>187</v>
      </c>
      <c r="K22" s="66" t="s">
        <v>357</v>
      </c>
      <c r="L22" s="64"/>
      <c r="M22" s="64"/>
      <c r="N22" s="64"/>
      <c r="O22" s="64"/>
    </row>
    <row r="23" spans="1:15" x14ac:dyDescent="0.35">
      <c r="J23" s="359"/>
      <c r="K23" s="66" t="s">
        <v>358</v>
      </c>
      <c r="L23" s="64"/>
      <c r="M23" s="64"/>
      <c r="N23" s="64"/>
      <c r="O23" s="64"/>
    </row>
    <row r="24" spans="1:15" x14ac:dyDescent="0.35">
      <c r="J24" s="359"/>
      <c r="K24" s="66" t="s">
        <v>359</v>
      </c>
      <c r="L24" s="64"/>
      <c r="M24" s="64"/>
      <c r="N24" s="64"/>
      <c r="O24" s="64"/>
    </row>
    <row r="25" spans="1:15" x14ac:dyDescent="0.35">
      <c r="J25" s="359"/>
      <c r="K25" s="66" t="s">
        <v>361</v>
      </c>
      <c r="L25" s="64"/>
      <c r="M25" s="64"/>
      <c r="N25" s="64"/>
      <c r="O25" s="64"/>
    </row>
    <row r="26" spans="1:15" x14ac:dyDescent="0.35">
      <c r="J26" s="359"/>
      <c r="K26" s="66" t="s">
        <v>363</v>
      </c>
      <c r="L26" s="64"/>
      <c r="M26" s="64"/>
      <c r="N26" s="64"/>
      <c r="O26" s="64"/>
    </row>
    <row r="27" spans="1:15" x14ac:dyDescent="0.35">
      <c r="J27" s="359"/>
      <c r="K27" s="66" t="s">
        <v>364</v>
      </c>
      <c r="L27" s="64"/>
      <c r="M27" s="64"/>
      <c r="N27" s="64"/>
      <c r="O27" s="64"/>
    </row>
    <row r="28" spans="1:15" x14ac:dyDescent="0.35">
      <c r="J28" s="359"/>
      <c r="K28" s="66" t="s">
        <v>365</v>
      </c>
      <c r="L28" s="64"/>
      <c r="M28" s="64"/>
      <c r="N28" s="64"/>
      <c r="O28" s="64"/>
    </row>
    <row r="29" spans="1:15" x14ac:dyDescent="0.35">
      <c r="J29" s="359"/>
      <c r="K29" s="66" t="s">
        <v>367</v>
      </c>
      <c r="L29" s="64"/>
      <c r="M29" s="64"/>
      <c r="N29" s="64"/>
      <c r="O29" s="64"/>
    </row>
    <row r="30" spans="1:15" x14ac:dyDescent="0.35">
      <c r="J30" s="359"/>
      <c r="K30" s="66" t="s">
        <v>368</v>
      </c>
      <c r="L30" s="64"/>
      <c r="M30" s="64"/>
      <c r="N30" s="64"/>
      <c r="O30" s="64"/>
    </row>
    <row r="31" spans="1:15" x14ac:dyDescent="0.35">
      <c r="J31" s="359"/>
      <c r="K31" s="66" t="s">
        <v>369</v>
      </c>
      <c r="L31" s="64"/>
      <c r="M31" s="64"/>
      <c r="N31" s="64"/>
      <c r="O31" s="64"/>
    </row>
    <row r="32" spans="1:15" x14ac:dyDescent="0.35">
      <c r="J32" s="359"/>
      <c r="K32" s="66" t="s">
        <v>370</v>
      </c>
      <c r="L32" s="64"/>
      <c r="M32" s="64"/>
      <c r="N32" s="64"/>
      <c r="O32" s="64"/>
    </row>
    <row r="33" spans="1:15" x14ac:dyDescent="0.35">
      <c r="J33" s="359"/>
      <c r="K33" s="66" t="s">
        <v>371</v>
      </c>
      <c r="L33" s="64"/>
      <c r="M33" s="64"/>
      <c r="N33" s="64"/>
      <c r="O33" s="64"/>
    </row>
    <row r="34" spans="1:15" x14ac:dyDescent="0.35">
      <c r="J34" s="359"/>
      <c r="K34" s="62" t="s">
        <v>372</v>
      </c>
      <c r="L34" s="62" t="e">
        <f>AVERAGE(L22:L33)</f>
        <v>#DIV/0!</v>
      </c>
      <c r="M34" s="62">
        <f>MAX(M22:M33)</f>
        <v>0</v>
      </c>
      <c r="N34" s="62" t="e">
        <f>AVERAGE(N22:N33)</f>
        <v>#DIV/0!</v>
      </c>
      <c r="O34" s="62">
        <f>MAX(O22:O33)</f>
        <v>0</v>
      </c>
    </row>
    <row r="36" spans="1:15" ht="27.75" x14ac:dyDescent="0.35">
      <c r="J36" s="61">
        <f>+A6</f>
        <v>2022</v>
      </c>
      <c r="K36" s="61" t="s">
        <v>354</v>
      </c>
      <c r="L36" s="67" t="s">
        <v>349</v>
      </c>
      <c r="M36" s="67" t="s">
        <v>355</v>
      </c>
      <c r="N36" s="67" t="s">
        <v>352</v>
      </c>
      <c r="O36" s="67" t="s">
        <v>356</v>
      </c>
    </row>
    <row r="37" spans="1:15" x14ac:dyDescent="0.35">
      <c r="J37" s="359" t="s">
        <v>188</v>
      </c>
      <c r="K37" s="66" t="s">
        <v>357</v>
      </c>
      <c r="L37" s="64"/>
      <c r="M37" s="64"/>
      <c r="N37" s="64"/>
      <c r="O37" s="64"/>
    </row>
    <row r="38" spans="1:15" x14ac:dyDescent="0.35">
      <c r="J38" s="359"/>
      <c r="K38" s="66" t="s">
        <v>358</v>
      </c>
      <c r="L38" s="64"/>
      <c r="M38" s="64"/>
      <c r="N38" s="64"/>
      <c r="O38" s="64"/>
    </row>
    <row r="39" spans="1:15" x14ac:dyDescent="0.35">
      <c r="J39" s="359"/>
      <c r="K39" s="66" t="s">
        <v>359</v>
      </c>
      <c r="L39" s="64"/>
      <c r="M39" s="64"/>
      <c r="N39" s="64"/>
      <c r="O39" s="64"/>
    </row>
    <row r="40" spans="1:15" x14ac:dyDescent="0.35">
      <c r="J40" s="359"/>
      <c r="K40" s="66" t="s">
        <v>361</v>
      </c>
      <c r="L40" s="64"/>
      <c r="M40" s="64"/>
      <c r="N40" s="64"/>
      <c r="O40" s="64"/>
    </row>
    <row r="41" spans="1:15" x14ac:dyDescent="0.35">
      <c r="J41" s="359"/>
      <c r="K41" s="66" t="s">
        <v>363</v>
      </c>
      <c r="L41" s="64"/>
      <c r="M41" s="64"/>
      <c r="N41" s="64"/>
      <c r="O41" s="64"/>
    </row>
    <row r="42" spans="1:15" x14ac:dyDescent="0.35">
      <c r="J42" s="359"/>
      <c r="K42" s="66" t="s">
        <v>364</v>
      </c>
      <c r="L42" s="64"/>
      <c r="M42" s="64"/>
      <c r="N42" s="64"/>
      <c r="O42" s="64"/>
    </row>
    <row r="43" spans="1:15" x14ac:dyDescent="0.35">
      <c r="J43" s="359"/>
      <c r="K43" s="66" t="s">
        <v>365</v>
      </c>
      <c r="L43" s="64"/>
      <c r="M43" s="64"/>
      <c r="N43" s="64"/>
      <c r="O43" s="64"/>
    </row>
    <row r="44" spans="1:15" x14ac:dyDescent="0.35">
      <c r="J44" s="359"/>
      <c r="K44" s="66" t="s">
        <v>367</v>
      </c>
      <c r="L44" s="64"/>
      <c r="M44" s="64"/>
      <c r="N44" s="64"/>
      <c r="O44" s="64"/>
    </row>
    <row r="45" spans="1:15" x14ac:dyDescent="0.35">
      <c r="J45" s="359"/>
      <c r="K45" s="66" t="s">
        <v>368</v>
      </c>
      <c r="L45" s="64"/>
      <c r="M45" s="64"/>
      <c r="N45" s="64"/>
      <c r="O45" s="64"/>
    </row>
    <row r="46" spans="1:15" x14ac:dyDescent="0.35">
      <c r="J46" s="359"/>
      <c r="K46" s="66" t="s">
        <v>369</v>
      </c>
      <c r="L46" s="64"/>
      <c r="M46" s="64"/>
      <c r="N46" s="64"/>
      <c r="O46" s="64"/>
    </row>
    <row r="47" spans="1:15" x14ac:dyDescent="0.35">
      <c r="J47" s="359"/>
      <c r="K47" s="66" t="s">
        <v>370</v>
      </c>
      <c r="L47" s="64"/>
      <c r="M47" s="64"/>
      <c r="N47" s="64"/>
      <c r="O47" s="64"/>
    </row>
    <row r="48" spans="1:15" ht="13.9" x14ac:dyDescent="0.35">
      <c r="A48" s="371" t="s">
        <v>267</v>
      </c>
      <c r="B48" s="372"/>
      <c r="C48" s="372"/>
      <c r="D48" s="372"/>
      <c r="E48" s="372"/>
      <c r="F48" s="372"/>
      <c r="G48" s="373"/>
      <c r="J48" s="359"/>
      <c r="K48" s="66" t="s">
        <v>371</v>
      </c>
      <c r="L48" s="64"/>
      <c r="M48" s="64"/>
      <c r="N48" s="64"/>
      <c r="O48" s="64"/>
    </row>
    <row r="49" spans="1:15" x14ac:dyDescent="0.35">
      <c r="A49" s="362" t="s">
        <v>404</v>
      </c>
      <c r="B49" s="363"/>
      <c r="C49" s="363"/>
      <c r="D49" s="363"/>
      <c r="E49" s="363"/>
      <c r="F49" s="363"/>
      <c r="G49" s="364"/>
      <c r="J49" s="359"/>
      <c r="K49" s="62" t="s">
        <v>372</v>
      </c>
      <c r="L49" s="62" t="e">
        <f>AVERAGE(L37:L48)</f>
        <v>#DIV/0!</v>
      </c>
      <c r="M49" s="62">
        <f>MAX(M37:M48)</f>
        <v>0</v>
      </c>
      <c r="N49" s="62" t="e">
        <f>AVERAGE(N37:N48)</f>
        <v>#DIV/0!</v>
      </c>
      <c r="O49" s="62">
        <f>MAX(O37:O48)</f>
        <v>0</v>
      </c>
    </row>
    <row r="50" spans="1:15" x14ac:dyDescent="0.35">
      <c r="A50" s="365"/>
      <c r="B50" s="366"/>
      <c r="C50" s="366"/>
      <c r="D50" s="366"/>
      <c r="E50" s="366"/>
      <c r="F50" s="366"/>
      <c r="G50" s="367"/>
    </row>
    <row r="51" spans="1:15" ht="27.75" x14ac:dyDescent="0.35">
      <c r="A51" s="365"/>
      <c r="B51" s="366"/>
      <c r="C51" s="366"/>
      <c r="D51" s="366"/>
      <c r="E51" s="366"/>
      <c r="F51" s="366"/>
      <c r="G51" s="367"/>
      <c r="J51" s="61">
        <f>+A6</f>
        <v>2022</v>
      </c>
      <c r="K51" s="61" t="s">
        <v>354</v>
      </c>
      <c r="L51" s="67" t="s">
        <v>349</v>
      </c>
      <c r="M51" s="67" t="s">
        <v>355</v>
      </c>
      <c r="N51" s="67" t="s">
        <v>352</v>
      </c>
      <c r="O51" s="67" t="s">
        <v>356</v>
      </c>
    </row>
    <row r="52" spans="1:15" x14ac:dyDescent="0.35">
      <c r="A52" s="368"/>
      <c r="B52" s="369"/>
      <c r="C52" s="369"/>
      <c r="D52" s="369"/>
      <c r="E52" s="369"/>
      <c r="F52" s="369"/>
      <c r="G52" s="370"/>
      <c r="J52" s="359" t="s">
        <v>189</v>
      </c>
      <c r="K52" s="66" t="s">
        <v>357</v>
      </c>
      <c r="L52" s="64"/>
      <c r="M52" s="64"/>
      <c r="N52" s="64"/>
      <c r="O52" s="64"/>
    </row>
    <row r="53" spans="1:15" x14ac:dyDescent="0.35">
      <c r="J53" s="359"/>
      <c r="K53" s="66" t="s">
        <v>358</v>
      </c>
      <c r="L53" s="64"/>
      <c r="M53" s="64"/>
      <c r="N53" s="64"/>
      <c r="O53" s="64"/>
    </row>
    <row r="54" spans="1:15" x14ac:dyDescent="0.35">
      <c r="J54" s="359"/>
      <c r="K54" s="66" t="s">
        <v>359</v>
      </c>
      <c r="L54" s="64"/>
      <c r="M54" s="64"/>
      <c r="N54" s="64"/>
      <c r="O54" s="64"/>
    </row>
    <row r="55" spans="1:15" x14ac:dyDescent="0.35">
      <c r="J55" s="359"/>
      <c r="K55" s="66" t="s">
        <v>361</v>
      </c>
      <c r="L55" s="64"/>
      <c r="M55" s="64"/>
      <c r="N55" s="64"/>
      <c r="O55" s="64"/>
    </row>
    <row r="56" spans="1:15" x14ac:dyDescent="0.35">
      <c r="J56" s="359"/>
      <c r="K56" s="66" t="s">
        <v>363</v>
      </c>
      <c r="L56" s="64"/>
      <c r="M56" s="64"/>
      <c r="N56" s="64"/>
      <c r="O56" s="64"/>
    </row>
    <row r="57" spans="1:15" x14ac:dyDescent="0.35">
      <c r="J57" s="359"/>
      <c r="K57" s="66" t="s">
        <v>364</v>
      </c>
      <c r="L57" s="64"/>
      <c r="M57" s="64"/>
      <c r="N57" s="64"/>
      <c r="O57" s="64"/>
    </row>
    <row r="58" spans="1:15" x14ac:dyDescent="0.35">
      <c r="J58" s="359"/>
      <c r="K58" s="66" t="s">
        <v>365</v>
      </c>
      <c r="L58" s="64"/>
      <c r="M58" s="64"/>
      <c r="N58" s="64"/>
      <c r="O58" s="64"/>
    </row>
    <row r="59" spans="1:15" x14ac:dyDescent="0.35">
      <c r="J59" s="359"/>
      <c r="K59" s="66" t="s">
        <v>367</v>
      </c>
      <c r="L59" s="64"/>
      <c r="M59" s="64"/>
      <c r="N59" s="64"/>
      <c r="O59" s="64"/>
    </row>
    <row r="60" spans="1:15" x14ac:dyDescent="0.35">
      <c r="J60" s="359"/>
      <c r="K60" s="66" t="s">
        <v>368</v>
      </c>
      <c r="L60" s="64"/>
      <c r="M60" s="64"/>
      <c r="N60" s="64"/>
      <c r="O60" s="64"/>
    </row>
    <row r="61" spans="1:15" x14ac:dyDescent="0.35">
      <c r="J61" s="359"/>
      <c r="K61" s="66" t="s">
        <v>369</v>
      </c>
      <c r="L61" s="64"/>
      <c r="M61" s="64"/>
      <c r="N61" s="64"/>
      <c r="O61" s="64"/>
    </row>
    <row r="62" spans="1:15" x14ac:dyDescent="0.35">
      <c r="J62" s="359"/>
      <c r="K62" s="66" t="s">
        <v>370</v>
      </c>
      <c r="L62" s="64"/>
      <c r="M62" s="64"/>
      <c r="N62" s="64"/>
      <c r="O62" s="64"/>
    </row>
    <row r="63" spans="1:15" x14ac:dyDescent="0.35">
      <c r="J63" s="359"/>
      <c r="K63" s="66" t="s">
        <v>371</v>
      </c>
      <c r="L63" s="64"/>
      <c r="M63" s="64"/>
      <c r="N63" s="64"/>
      <c r="O63" s="64"/>
    </row>
    <row r="64" spans="1:15" x14ac:dyDescent="0.35">
      <c r="J64" s="359"/>
      <c r="K64" s="62" t="s">
        <v>372</v>
      </c>
      <c r="L64" s="62" t="e">
        <f>AVERAGE(L52:L63)</f>
        <v>#DIV/0!</v>
      </c>
      <c r="M64" s="62">
        <f>MAX(M52:M63)</f>
        <v>0</v>
      </c>
      <c r="N64" s="62" t="e">
        <f>AVERAGE(N52:N63)</f>
        <v>#DIV/0!</v>
      </c>
      <c r="O64" s="62">
        <f>MAX(O52:O63)</f>
        <v>0</v>
      </c>
    </row>
    <row r="66" spans="10:15" ht="27.75" x14ac:dyDescent="0.35">
      <c r="J66" s="61">
        <f>+A6</f>
        <v>2022</v>
      </c>
      <c r="K66" s="61" t="s">
        <v>354</v>
      </c>
      <c r="L66" s="67" t="s">
        <v>349</v>
      </c>
      <c r="M66" s="67" t="s">
        <v>355</v>
      </c>
      <c r="N66" s="67" t="s">
        <v>352</v>
      </c>
      <c r="O66" s="67" t="s">
        <v>356</v>
      </c>
    </row>
    <row r="67" spans="10:15" x14ac:dyDescent="0.35">
      <c r="J67" s="359" t="s">
        <v>190</v>
      </c>
      <c r="K67" s="66" t="s">
        <v>357</v>
      </c>
      <c r="L67" s="64"/>
      <c r="M67" s="64"/>
      <c r="N67" s="64"/>
      <c r="O67" s="64"/>
    </row>
    <row r="68" spans="10:15" x14ac:dyDescent="0.35">
      <c r="J68" s="359"/>
      <c r="K68" s="66" t="s">
        <v>358</v>
      </c>
      <c r="L68" s="64"/>
      <c r="M68" s="64"/>
      <c r="N68" s="64"/>
      <c r="O68" s="64"/>
    </row>
    <row r="69" spans="10:15" x14ac:dyDescent="0.35">
      <c r="J69" s="359"/>
      <c r="K69" s="66" t="s">
        <v>359</v>
      </c>
      <c r="L69" s="64"/>
      <c r="M69" s="64"/>
      <c r="N69" s="64"/>
      <c r="O69" s="64"/>
    </row>
    <row r="70" spans="10:15" x14ac:dyDescent="0.35">
      <c r="J70" s="359"/>
      <c r="K70" s="66" t="s">
        <v>361</v>
      </c>
      <c r="L70" s="64"/>
      <c r="M70" s="64"/>
      <c r="N70" s="64"/>
      <c r="O70" s="64"/>
    </row>
    <row r="71" spans="10:15" x14ac:dyDescent="0.35">
      <c r="J71" s="359"/>
      <c r="K71" s="66" t="s">
        <v>363</v>
      </c>
      <c r="L71" s="64"/>
      <c r="M71" s="64"/>
      <c r="N71" s="64"/>
      <c r="O71" s="64"/>
    </row>
    <row r="72" spans="10:15" x14ac:dyDescent="0.35">
      <c r="J72" s="359"/>
      <c r="K72" s="66" t="s">
        <v>364</v>
      </c>
      <c r="L72" s="64"/>
      <c r="M72" s="64"/>
      <c r="N72" s="64"/>
      <c r="O72" s="64"/>
    </row>
    <row r="73" spans="10:15" x14ac:dyDescent="0.35">
      <c r="J73" s="359"/>
      <c r="K73" s="66" t="s">
        <v>365</v>
      </c>
      <c r="L73" s="64"/>
      <c r="M73" s="64"/>
      <c r="N73" s="64"/>
      <c r="O73" s="64"/>
    </row>
    <row r="74" spans="10:15" x14ac:dyDescent="0.35">
      <c r="J74" s="359"/>
      <c r="K74" s="66" t="s">
        <v>367</v>
      </c>
      <c r="L74" s="64"/>
      <c r="M74" s="64"/>
      <c r="N74" s="64"/>
      <c r="O74" s="64"/>
    </row>
    <row r="75" spans="10:15" x14ac:dyDescent="0.35">
      <c r="J75" s="359"/>
      <c r="K75" s="66" t="s">
        <v>368</v>
      </c>
      <c r="L75" s="64"/>
      <c r="M75" s="64"/>
      <c r="N75" s="64"/>
      <c r="O75" s="64"/>
    </row>
    <row r="76" spans="10:15" x14ac:dyDescent="0.35">
      <c r="J76" s="359"/>
      <c r="K76" s="66" t="s">
        <v>369</v>
      </c>
      <c r="L76" s="64"/>
      <c r="M76" s="64"/>
      <c r="N76" s="64"/>
      <c r="O76" s="64"/>
    </row>
    <row r="77" spans="10:15" x14ac:dyDescent="0.35">
      <c r="J77" s="359"/>
      <c r="K77" s="66" t="s">
        <v>370</v>
      </c>
      <c r="L77" s="64"/>
      <c r="M77" s="64"/>
      <c r="N77" s="64"/>
      <c r="O77" s="64"/>
    </row>
    <row r="78" spans="10:15" x14ac:dyDescent="0.35">
      <c r="J78" s="359"/>
      <c r="K78" s="66" t="s">
        <v>371</v>
      </c>
      <c r="L78" s="64"/>
      <c r="M78" s="64"/>
      <c r="N78" s="64"/>
      <c r="O78" s="64"/>
    </row>
    <row r="79" spans="10:15" x14ac:dyDescent="0.35">
      <c r="J79" s="359"/>
      <c r="K79" s="62" t="s">
        <v>372</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headerFooter scaleWithDoc="0">
    <oddFooter>&amp;C&amp;"Arial,Regular"Page &amp;P</oddFooter>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10</Value>
      <Value>9</Value>
      <Value>8</Value>
      <Value>7</Value>
      <Value>6</Value>
    </TaxCatchAll>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SharedWithUsers xmlns="e76eb3f9-f7d4-4afe-8d75-1839375753c6">
      <UserInfo>
        <DisplayName/>
        <AccountId xsi:nil="true"/>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haredContentType xmlns="Microsoft.SharePoint.Taxonomy.ContentTypeSync" SourceId="d1117845-93f6-4da3-abaa-fcb4fa669c78" ContentTypeId="0x010100A5BF1C78D9F64B679A5EBDE1C6598EBC01" PreviousValue="false"/>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3A65312-EDD8-4ED5-85CD-21EC9D2BFEF5}">
  <ds:schemaRefs>
    <ds:schemaRef ds:uri="http://schemas.microsoft.com/office/2006/metadata/properties"/>
    <ds:schemaRef ds:uri="http://schemas.microsoft.com/office/infopath/2007/PartnerControls"/>
    <ds:schemaRef ds:uri="82a8a448-95a2-48e9-ac5c-29ea20842e6c"/>
    <ds:schemaRef ds:uri="fae8f796-e4f0-4586-852c-772bb949dd42"/>
    <ds:schemaRef ds:uri="7e0e4d3b-b57b-4422-a2d6-84694d8b91df"/>
  </ds:schemaRefs>
</ds:datastoreItem>
</file>

<file path=customXml/itemProps2.xml><?xml version="1.0" encoding="utf-8"?>
<ds:datastoreItem xmlns:ds="http://schemas.openxmlformats.org/officeDocument/2006/customXml" ds:itemID="{C9B8915C-DA7E-4FEE-8C41-E1301BEE34EB}"/>
</file>

<file path=customXml/itemProps3.xml><?xml version="1.0" encoding="utf-8"?>
<ds:datastoreItem xmlns:ds="http://schemas.openxmlformats.org/officeDocument/2006/customXml" ds:itemID="{AC6A8B17-5567-4101-935B-7CC5BB2F4BAF}"/>
</file>

<file path=customXml/itemProps4.xml><?xml version="1.0" encoding="utf-8"?>
<ds:datastoreItem xmlns:ds="http://schemas.openxmlformats.org/officeDocument/2006/customXml" ds:itemID="{130E79B3-286C-4594-AC93-4243D3FE78E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22</vt:i4>
      </vt:variant>
    </vt:vector>
  </HeadingPairs>
  <TitlesOfParts>
    <vt:vector size="44" baseType="lpstr">
      <vt:lpstr>Cover Page</vt:lpstr>
      <vt:lpstr>Contents</vt:lpstr>
      <vt:lpstr>Facility Info</vt:lpstr>
      <vt:lpstr>Operational Data</vt:lpstr>
      <vt:lpstr>Operational Summary</vt:lpstr>
      <vt:lpstr>Perf. Form 1</vt:lpstr>
      <vt:lpstr>Energy Form 1</vt:lpstr>
      <vt:lpstr>Permit Compliance</vt:lpstr>
      <vt:lpstr>Improvements</vt:lpstr>
      <vt:lpstr>Public Liasion</vt:lpstr>
      <vt:lpstr>Residue Quality </vt:lpstr>
      <vt:lpstr>Water</vt:lpstr>
      <vt:lpstr>Air (periodic)</vt:lpstr>
      <vt:lpstr>Air (CEMS)</vt:lpstr>
      <vt:lpstr>HCl</vt:lpstr>
      <vt:lpstr>SO2</vt:lpstr>
      <vt:lpstr>NOx</vt:lpstr>
      <vt:lpstr>TOC</vt:lpstr>
      <vt:lpstr>Particulates</vt:lpstr>
      <vt:lpstr>CO 0.5hourly</vt:lpstr>
      <vt:lpstr>CO 95% 10 min</vt:lpstr>
      <vt:lpstr>NH3</vt:lpstr>
      <vt:lpstr>'Air (CEMS)'!Print_Area</vt:lpstr>
      <vt:lpstr>'Air (periodic)'!Print_Area</vt:lpstr>
      <vt:lpstr>'CO 0.5hourly'!Print_Area</vt:lpstr>
      <vt:lpstr>'CO 95% 10 min'!Print_Area</vt:lpstr>
      <vt:lpstr>Contents!Print_Area</vt:lpstr>
      <vt:lpstr>'Cover Page'!Print_Area</vt:lpstr>
      <vt:lpstr>'Energy Form 1'!Print_Area</vt:lpstr>
      <vt:lpstr>'Facility Info'!Print_Area</vt:lpstr>
      <vt:lpstr>HCl!Print_Area</vt:lpstr>
      <vt:lpstr>Improvements!Print_Area</vt:lpstr>
      <vt:lpstr>'NH3'!Print_Area</vt:lpstr>
      <vt:lpstr>NOx!Print_Area</vt:lpstr>
      <vt:lpstr>'Operational Data'!Print_Area</vt:lpstr>
      <vt:lpstr>'Operational Summary'!Print_Area</vt:lpstr>
      <vt:lpstr>Particulates!Print_Area</vt:lpstr>
      <vt:lpstr>'Perf. Form 1'!Print_Area</vt:lpstr>
      <vt:lpstr>'Permit Compliance'!Print_Area</vt:lpstr>
      <vt:lpstr>'Public Liasion'!Print_Area</vt:lpstr>
      <vt:lpstr>'Residue Quality '!Print_Area</vt:lpstr>
      <vt:lpstr>'SO2'!Print_Area</vt:lpstr>
      <vt:lpstr>TOC!Print_Area</vt:lpstr>
      <vt:lpstr>Water!Print_Area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EA Annual Report 2021</dc:title>
  <dc:subject/>
  <dc:creator>Chris Jonas</dc:creator>
  <cp:keywords/>
  <dc:description/>
  <cp:lastModifiedBy>Philpin, Jon</cp:lastModifiedBy>
  <cp:revision/>
  <dcterms:created xsi:type="dcterms:W3CDTF">2019-04-02T06:44:55Z</dcterms:created>
  <dcterms:modified xsi:type="dcterms:W3CDTF">2023-02-20T16:12:44Z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Locations">
    <vt:lpwstr>40;#Birmingham Bio Power Limited|b98f0898-9e3d-4ec3-8302-3bfa20937f41</vt:lpwstr>
  </property>
  <property fmtid="{D5CDD505-2E9C-101B-9397-08002B2CF9AE}" pid="4" name="ContentTypes">
    <vt:lpwstr/>
  </property>
  <property fmtid="{D5CDD505-2E9C-101B-9397-08002B2CF9AE}" pid="5" name="ResponsibleDept">
    <vt:lpwstr>53;#Environmental|f0f1151d-26db-437d-9c8c-d303126f33f4</vt:lpwstr>
  </property>
  <property fmtid="{D5CDD505-2E9C-101B-9397-08002B2CF9AE}" pid="6" name="Classification">
    <vt:lpwstr>19;#Internal|c21d275f-c41d-4c0e-bbb4-70b76f8e9612</vt:lpwstr>
  </property>
  <property fmtid="{D5CDD505-2E9C-101B-9397-08002B2CF9AE}" pid="7" name="EngieStatus">
    <vt:lpwstr/>
  </property>
  <property fmtid="{D5CDD505-2E9C-101B-9397-08002B2CF9AE}" pid="8" name="_dlc_DocIdItemGuid">
    <vt:lpwstr>fd62fdb1-8d03-43ff-9a0e-8dfa85753509</vt:lpwstr>
  </property>
  <property fmtid="{D5CDD505-2E9C-101B-9397-08002B2CF9AE}" pid="9" name="a19dfddd8b6846df8910f5f7eacbec2c">
    <vt:lpwstr/>
  </property>
  <property fmtid="{D5CDD505-2E9C-101B-9397-08002B2CF9AE}" pid="10" name="b1b820adfd3e4a078472514c1a5cb5ff">
    <vt:lpwstr/>
  </property>
  <property fmtid="{D5CDD505-2E9C-101B-9397-08002B2CF9AE}" pid="11" name="EngieSource">
    <vt:lpwstr/>
  </property>
  <property fmtid="{D5CDD505-2E9C-101B-9397-08002B2CF9AE}" pid="12" name="Security_x0020_Classification">
    <vt:lpwstr/>
  </property>
  <property fmtid="{D5CDD505-2E9C-101B-9397-08002B2CF9AE}" pid="13" name="Security Classification">
    <vt:lpwstr/>
  </property>
  <property fmtid="{D5CDD505-2E9C-101B-9397-08002B2CF9AE}" pid="14" name="xd_ProgID">
    <vt:lpwstr/>
  </property>
  <property fmtid="{D5CDD505-2E9C-101B-9397-08002B2CF9AE}" pid="15" name="ComplianceAssetId">
    <vt:lpwstr/>
  </property>
  <property fmtid="{D5CDD505-2E9C-101B-9397-08002B2CF9AE}" pid="16" name="TemplateUrl">
    <vt:lpwstr/>
  </property>
  <property fmtid="{D5CDD505-2E9C-101B-9397-08002B2CF9AE}" pid="17" name="DocumentType">
    <vt:lpwstr/>
  </property>
  <property fmtid="{D5CDD505-2E9C-101B-9397-08002B2CF9AE}" pid="18" name="_ExtendedDescription">
    <vt:lpwstr/>
  </property>
  <property fmtid="{D5CDD505-2E9C-101B-9397-08002B2CF9AE}" pid="19" name="TriggerFlowInfo">
    <vt:lpwstr/>
  </property>
  <property fmtid="{D5CDD505-2E9C-101B-9397-08002B2CF9AE}" pid="20" name="xd_Signature">
    <vt:bool>false</vt:bool>
  </property>
  <property fmtid="{D5CDD505-2E9C-101B-9397-08002B2CF9AE}" pid="21" name="GUID">
    <vt:lpwstr>01ab6940-8cd1-4725-a139-1aa48d99f2cc</vt:lpwstr>
  </property>
  <property fmtid="{D5CDD505-2E9C-101B-9397-08002B2CF9AE}" pid="22" name="SharedWithUsers">
    <vt:lpwstr/>
  </property>
  <property fmtid="{D5CDD505-2E9C-101B-9397-08002B2CF9AE}" pid="23" name="MediaServiceImageTags">
    <vt:lpwstr/>
  </property>
  <property fmtid="{D5CDD505-2E9C-101B-9397-08002B2CF9AE}" pid="24" name="MSIP_Label_64a238cc-6af3-4341-9d32-201b7e04331f_Enabled">
    <vt:lpwstr>true</vt:lpwstr>
  </property>
  <property fmtid="{D5CDD505-2E9C-101B-9397-08002B2CF9AE}" pid="25" name="MSIP_Label_64a238cc-6af3-4341-9d32-201b7e04331f_SetDate">
    <vt:lpwstr>2023-01-24T08:30:51Z</vt:lpwstr>
  </property>
  <property fmtid="{D5CDD505-2E9C-101B-9397-08002B2CF9AE}" pid="26" name="MSIP_Label_64a238cc-6af3-4341-9d32-201b7e04331f_Method">
    <vt:lpwstr>Standard</vt:lpwstr>
  </property>
  <property fmtid="{D5CDD505-2E9C-101B-9397-08002B2CF9AE}" pid="27" name="MSIP_Label_64a238cc-6af3-4341-9d32-201b7e04331f_Name">
    <vt:lpwstr>Internal</vt:lpwstr>
  </property>
  <property fmtid="{D5CDD505-2E9C-101B-9397-08002B2CF9AE}" pid="28" name="MSIP_Label_64a238cc-6af3-4341-9d32-201b7e04331f_SiteId">
    <vt:lpwstr>09ebfde1-6505-4c31-942f-18875ff0189d</vt:lpwstr>
  </property>
  <property fmtid="{D5CDD505-2E9C-101B-9397-08002B2CF9AE}" pid="29" name="MSIP_Label_64a238cc-6af3-4341-9d32-201b7e04331f_ActionId">
    <vt:lpwstr>78beaa89-a46c-4b40-8a32-8274c11ee6bc</vt:lpwstr>
  </property>
  <property fmtid="{D5CDD505-2E9C-101B-9397-08002B2CF9AE}" pid="30" name="MSIP_Label_64a238cc-6af3-4341-9d32-201b7e04331f_ContentBits">
    <vt:lpwstr>0</vt:lpwstr>
  </property>
  <property fmtid="{D5CDD505-2E9C-101B-9397-08002B2CF9AE}" pid="31" name="Distribution">
    <vt:i4>9</vt:i4>
  </property>
  <property fmtid="{D5CDD505-2E9C-101B-9397-08002B2CF9AE}" pid="32" name="HOCopyrightLevel">
    <vt:i4>7</vt:i4>
  </property>
  <property fmtid="{D5CDD505-2E9C-101B-9397-08002B2CF9AE}" pid="33" name="HOGovernmentSecurityClassification">
    <vt:i4>6</vt:i4>
  </property>
  <property fmtid="{D5CDD505-2E9C-101B-9397-08002B2CF9AE}" pid="34" name="OrganisationalUnit">
    <vt:i4>8</vt:i4>
  </property>
  <property fmtid="{D5CDD505-2E9C-101B-9397-08002B2CF9AE}" pid="35" name="HOSiteType">
    <vt:i4>10</vt:i4>
  </property>
</Properties>
</file>