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Wessex/"/>
    </mc:Choice>
  </mc:AlternateContent>
  <xr:revisionPtr revIDLastSave="0" documentId="8_{A96A1F94-D133-4083-80D4-F902247A766C}" xr6:coauthVersionLast="47" xr6:coauthVersionMax="47" xr10:uidLastSave="{00000000-0000-0000-0000-000000000000}"/>
  <bookViews>
    <workbookView xWindow="-108" yWindow="-108" windowWidth="23256" windowHeight="12576" tabRatio="811"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definedNames>
    <definedName name="_xlnm.Print_Area" localSheetId="14">'Air (CEMS)'!$A$1:$M$30</definedName>
    <definedName name="_xlnm.Print_Area" localSheetId="13">'Air (periodic)'!$A$1:$J$41</definedName>
    <definedName name="_xlnm.Print_Area" localSheetId="20">'CO 95% 10 min'!$A$1:$H$52</definedName>
    <definedName name="_xlnm.Print_Area" localSheetId="10">'CO2 N2O'!$A$1:$C$24</definedName>
    <definedName name="_xlnm.Print_Area" localSheetId="1">Contents!$A$1:$J$48</definedName>
    <definedName name="_xlnm.Print_Area" localSheetId="0">'Cover Page'!$A$1:$J$56</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1">'NH3'!$A$1:$G$52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Compliance'!$A$1:$J$38</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32" l="1"/>
  <c r="G13" i="8"/>
  <c r="C19" i="32" l="1"/>
  <c r="C14" i="32"/>
  <c r="C7" i="32"/>
  <c r="G12" i="8" l="1"/>
  <c r="D13" i="8"/>
  <c r="G11" i="8"/>
  <c r="G10" i="8"/>
  <c r="E34" i="7"/>
  <c r="E33" i="7"/>
  <c r="H24" i="6" l="1"/>
  <c r="H36" i="6"/>
  <c r="H35" i="6"/>
  <c r="H34" i="6"/>
  <c r="H48" i="6"/>
  <c r="H47" i="6"/>
  <c r="H46" i="6"/>
  <c r="H44" i="6"/>
  <c r="H42" i="6"/>
  <c r="G47" i="6"/>
  <c r="G48" i="6"/>
  <c r="G46" i="6"/>
  <c r="G44" i="6"/>
  <c r="G42" i="6"/>
  <c r="G54" i="6"/>
  <c r="H54" i="6" s="1"/>
  <c r="G53" i="6"/>
  <c r="H53" i="6" s="1"/>
  <c r="G63" i="6"/>
  <c r="H64" i="6"/>
  <c r="G64" i="6"/>
  <c r="F3" i="8" l="1"/>
  <c r="G3" i="7"/>
  <c r="B4" i="7"/>
  <c r="H59" i="6" l="1"/>
  <c r="G58" i="6"/>
  <c r="H58" i="6" s="1"/>
  <c r="D26" i="6"/>
  <c r="E26" i="6"/>
  <c r="F26" i="6"/>
  <c r="C26" i="6"/>
  <c r="G26" i="24"/>
  <c r="F26" i="24"/>
  <c r="E26" i="24"/>
  <c r="D26" i="24"/>
  <c r="N34" i="30"/>
  <c r="G25" i="24"/>
  <c r="F25" i="24"/>
  <c r="G24" i="24"/>
  <c r="F24" i="24"/>
  <c r="N19" i="30"/>
  <c r="E25" i="24"/>
  <c r="D25" i="24"/>
  <c r="E24" i="24"/>
  <c r="D24" i="24"/>
  <c r="G23" i="24"/>
  <c r="F23" i="24"/>
  <c r="G22" i="24"/>
  <c r="F22" i="24"/>
  <c r="E23" i="24"/>
  <c r="D23" i="24"/>
  <c r="E22" i="24"/>
  <c r="D22" i="24"/>
  <c r="G21" i="24"/>
  <c r="F21" i="24"/>
  <c r="G20" i="24"/>
  <c r="F20" i="24"/>
  <c r="E21" i="24"/>
  <c r="D21" i="24"/>
  <c r="E20" i="24"/>
  <c r="D20" i="24"/>
  <c r="G19" i="24"/>
  <c r="F19" i="24"/>
  <c r="G18" i="24"/>
  <c r="F18" i="24"/>
  <c r="E19" i="24"/>
  <c r="D19" i="24"/>
  <c r="E18" i="24"/>
  <c r="D18" i="24"/>
  <c r="C8" i="13" l="1"/>
  <c r="D8" i="13"/>
  <c r="C9" i="13"/>
  <c r="D9" i="13"/>
  <c r="C10" i="13"/>
  <c r="D10" i="13"/>
  <c r="C11" i="13"/>
  <c r="D11" i="13"/>
  <c r="C12" i="13"/>
  <c r="D12" i="13"/>
  <c r="C13" i="13"/>
  <c r="D13" i="13"/>
  <c r="C14" i="13"/>
  <c r="D14" i="13"/>
  <c r="C15" i="13"/>
  <c r="D15" i="13"/>
  <c r="C16" i="13"/>
  <c r="D16" i="13"/>
  <c r="C17" i="13"/>
  <c r="D17" i="13"/>
  <c r="C18" i="13"/>
  <c r="D18" i="13"/>
  <c r="F8" i="13"/>
  <c r="G8" i="13"/>
  <c r="F9" i="13"/>
  <c r="G9" i="13"/>
  <c r="F10" i="13"/>
  <c r="G10" i="13"/>
  <c r="F11" i="13"/>
  <c r="G11" i="13"/>
  <c r="F12" i="13"/>
  <c r="G12" i="13"/>
  <c r="F13" i="13"/>
  <c r="G13" i="13"/>
  <c r="F14" i="13"/>
  <c r="G14" i="13"/>
  <c r="F15" i="13"/>
  <c r="G15" i="13"/>
  <c r="F16" i="13"/>
  <c r="G16" i="13"/>
  <c r="F17" i="13"/>
  <c r="G17" i="13"/>
  <c r="F18" i="13"/>
  <c r="G18" i="13"/>
  <c r="G7" i="13"/>
  <c r="F7" i="13"/>
  <c r="D7" i="13"/>
  <c r="C7" i="13"/>
  <c r="F8" i="25"/>
  <c r="G8" i="25"/>
  <c r="F9" i="25"/>
  <c r="G9" i="25"/>
  <c r="F10" i="25"/>
  <c r="G10" i="25"/>
  <c r="F11" i="25"/>
  <c r="G11" i="25"/>
  <c r="F12" i="25"/>
  <c r="G12" i="25"/>
  <c r="F13" i="25"/>
  <c r="G13" i="25"/>
  <c r="F14" i="25"/>
  <c r="G14" i="25"/>
  <c r="F15" i="25"/>
  <c r="G15" i="25"/>
  <c r="F16" i="25"/>
  <c r="G16" i="25"/>
  <c r="F17" i="25"/>
  <c r="G17" i="25"/>
  <c r="F18" i="25"/>
  <c r="G18" i="25"/>
  <c r="C8" i="25"/>
  <c r="D8" i="25"/>
  <c r="C9" i="25"/>
  <c r="D9" i="25"/>
  <c r="C10" i="25"/>
  <c r="D10" i="25"/>
  <c r="C11" i="25"/>
  <c r="D11" i="25"/>
  <c r="C12" i="25"/>
  <c r="D12" i="25"/>
  <c r="C13" i="25"/>
  <c r="D13" i="25"/>
  <c r="C14" i="25"/>
  <c r="D14" i="25"/>
  <c r="C15" i="25"/>
  <c r="D15" i="25"/>
  <c r="C16" i="25"/>
  <c r="D16" i="25"/>
  <c r="C17" i="25"/>
  <c r="D17" i="25"/>
  <c r="C18" i="25"/>
  <c r="D18" i="25"/>
  <c r="G7" i="25"/>
  <c r="F7" i="25"/>
  <c r="D7" i="25"/>
  <c r="C7" i="25"/>
  <c r="C8" i="26"/>
  <c r="D8" i="26"/>
  <c r="C9" i="26"/>
  <c r="D9" i="26"/>
  <c r="C10" i="26"/>
  <c r="D10" i="26"/>
  <c r="C11" i="26"/>
  <c r="D11" i="26"/>
  <c r="C12" i="26"/>
  <c r="D12" i="26"/>
  <c r="C13" i="26"/>
  <c r="D13" i="26"/>
  <c r="C14" i="26"/>
  <c r="D14" i="26"/>
  <c r="C15" i="26"/>
  <c r="D15" i="26"/>
  <c r="C16" i="26"/>
  <c r="D16" i="26"/>
  <c r="C17" i="26"/>
  <c r="D17" i="26"/>
  <c r="C18" i="26"/>
  <c r="D18" i="26"/>
  <c r="F8" i="26"/>
  <c r="G8" i="26"/>
  <c r="F9" i="26"/>
  <c r="G9" i="26"/>
  <c r="F10" i="26"/>
  <c r="G10" i="26"/>
  <c r="F11" i="26"/>
  <c r="G11" i="26"/>
  <c r="F12" i="26"/>
  <c r="G12" i="26"/>
  <c r="F13" i="26"/>
  <c r="G13" i="26"/>
  <c r="F14" i="26"/>
  <c r="G14" i="26"/>
  <c r="F15" i="26"/>
  <c r="G15" i="26"/>
  <c r="F16" i="26"/>
  <c r="G16" i="26"/>
  <c r="F17" i="26"/>
  <c r="G17" i="26"/>
  <c r="F18" i="26"/>
  <c r="G18" i="26"/>
  <c r="G7" i="26"/>
  <c r="F7" i="26"/>
  <c r="D7" i="26"/>
  <c r="C7" i="26"/>
  <c r="C8" i="27"/>
  <c r="D8" i="27"/>
  <c r="C9" i="27"/>
  <c r="D9" i="27"/>
  <c r="C10" i="27"/>
  <c r="D10" i="27"/>
  <c r="C11" i="27"/>
  <c r="D11" i="27"/>
  <c r="C12" i="27"/>
  <c r="D12" i="27"/>
  <c r="C13" i="27"/>
  <c r="D13" i="27"/>
  <c r="C14" i="27"/>
  <c r="D14" i="27"/>
  <c r="C15" i="27"/>
  <c r="D15" i="27"/>
  <c r="C16" i="27"/>
  <c r="D16" i="27"/>
  <c r="C17" i="27"/>
  <c r="D17" i="27"/>
  <c r="C18" i="27"/>
  <c r="D18" i="27"/>
  <c r="F8" i="27"/>
  <c r="G8" i="27"/>
  <c r="F9" i="27"/>
  <c r="G9" i="27"/>
  <c r="F10" i="27"/>
  <c r="G10" i="27"/>
  <c r="F11" i="27"/>
  <c r="G11" i="27"/>
  <c r="F12" i="27"/>
  <c r="G12" i="27"/>
  <c r="F13" i="27"/>
  <c r="G13" i="27"/>
  <c r="F14" i="27"/>
  <c r="G14" i="27"/>
  <c r="F15" i="27"/>
  <c r="G15" i="27"/>
  <c r="F16" i="27"/>
  <c r="G16" i="27"/>
  <c r="F17" i="27"/>
  <c r="G17" i="27"/>
  <c r="F18" i="27"/>
  <c r="G18" i="27"/>
  <c r="G7" i="27"/>
  <c r="F7" i="27"/>
  <c r="D7" i="27"/>
  <c r="C7" i="27"/>
  <c r="C8" i="28"/>
  <c r="D8" i="28"/>
  <c r="C9" i="28"/>
  <c r="D9" i="28"/>
  <c r="C10" i="28"/>
  <c r="D10" i="28"/>
  <c r="C11" i="28"/>
  <c r="D11" i="28"/>
  <c r="C12" i="28"/>
  <c r="D12" i="28"/>
  <c r="C13" i="28"/>
  <c r="D13" i="28"/>
  <c r="C14" i="28"/>
  <c r="D14" i="28"/>
  <c r="C15" i="28"/>
  <c r="D15" i="28"/>
  <c r="C16" i="28"/>
  <c r="D16" i="28"/>
  <c r="C17" i="28"/>
  <c r="D17" i="28"/>
  <c r="C18" i="28"/>
  <c r="D18" i="28"/>
  <c r="F8" i="28"/>
  <c r="G8" i="28"/>
  <c r="F9" i="28"/>
  <c r="G9" i="28"/>
  <c r="F10" i="28"/>
  <c r="G10" i="28"/>
  <c r="F11" i="28"/>
  <c r="G11" i="28"/>
  <c r="F12" i="28"/>
  <c r="G12" i="28"/>
  <c r="F13" i="28"/>
  <c r="G13" i="28"/>
  <c r="F14" i="28"/>
  <c r="G14" i="28"/>
  <c r="F15" i="28"/>
  <c r="G15" i="28"/>
  <c r="F16" i="28"/>
  <c r="G16" i="28"/>
  <c r="F17" i="28"/>
  <c r="G17" i="28"/>
  <c r="F18" i="28"/>
  <c r="G18" i="28"/>
  <c r="G7" i="28"/>
  <c r="F7" i="28"/>
  <c r="D7" i="28"/>
  <c r="C7" i="28"/>
  <c r="G8" i="30"/>
  <c r="H8" i="30"/>
  <c r="G9" i="30"/>
  <c r="H9" i="30"/>
  <c r="G10" i="30"/>
  <c r="H10" i="30"/>
  <c r="G11" i="30"/>
  <c r="H11" i="30"/>
  <c r="G12" i="30"/>
  <c r="H12" i="30"/>
  <c r="G13" i="30"/>
  <c r="H13" i="30"/>
  <c r="G14" i="30"/>
  <c r="H14" i="30"/>
  <c r="G15" i="30"/>
  <c r="H15" i="30"/>
  <c r="G16" i="30"/>
  <c r="H16" i="30"/>
  <c r="G17" i="30"/>
  <c r="H17" i="30"/>
  <c r="G18" i="30"/>
  <c r="H18" i="30"/>
  <c r="C8" i="30"/>
  <c r="D8" i="30"/>
  <c r="E8" i="30"/>
  <c r="C9" i="30"/>
  <c r="D9" i="30"/>
  <c r="E9" i="30"/>
  <c r="C10" i="30"/>
  <c r="D10" i="30"/>
  <c r="E10" i="30"/>
  <c r="C11" i="30"/>
  <c r="D11" i="30"/>
  <c r="E11" i="30"/>
  <c r="C12" i="30"/>
  <c r="D12" i="30"/>
  <c r="E12" i="30"/>
  <c r="C13" i="30"/>
  <c r="D13" i="30"/>
  <c r="E13" i="30"/>
  <c r="C14" i="30"/>
  <c r="D14" i="30"/>
  <c r="E14" i="30"/>
  <c r="C15" i="30"/>
  <c r="D15" i="30"/>
  <c r="E15" i="30"/>
  <c r="C16" i="30"/>
  <c r="D16" i="30"/>
  <c r="E16" i="30"/>
  <c r="C17" i="30"/>
  <c r="D17" i="30"/>
  <c r="E17" i="30"/>
  <c r="C18" i="30"/>
  <c r="D18" i="30"/>
  <c r="E18" i="30"/>
  <c r="H7" i="30"/>
  <c r="G7" i="30"/>
  <c r="E7" i="30"/>
  <c r="D7" i="30"/>
  <c r="C7" i="30"/>
  <c r="F8" i="3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C1" i="32" l="1"/>
  <c r="A1" i="32"/>
  <c r="I19" i="7" l="1"/>
  <c r="I20" i="7"/>
  <c r="I21" i="7"/>
  <c r="I22" i="7"/>
  <c r="I18" i="7"/>
  <c r="I12" i="7"/>
  <c r="I13" i="7"/>
  <c r="I14" i="7"/>
  <c r="I11" i="7"/>
  <c r="C18" i="6" l="1"/>
  <c r="C21" i="6" s="1"/>
  <c r="H61" i="6" l="1"/>
  <c r="G13" i="6" l="1"/>
  <c r="G45" i="6"/>
  <c r="H45" i="6" s="1"/>
  <c r="J3" i="31" l="1"/>
  <c r="J3" i="30"/>
  <c r="J3" i="28"/>
  <c r="J3" i="27"/>
  <c r="J3" i="26"/>
  <c r="J3" i="25"/>
  <c r="J3" i="13"/>
  <c r="G19" i="6" l="1"/>
  <c r="G57" i="6" l="1"/>
  <c r="G59" i="6" l="1"/>
  <c r="G65" i="6"/>
  <c r="G61" i="6"/>
  <c r="G55" i="6"/>
  <c r="G56" i="6"/>
  <c r="G60" i="6"/>
  <c r="D18" i="6" l="1"/>
  <c r="D21" i="6" s="1"/>
  <c r="E18" i="6"/>
  <c r="E21" i="6" s="1"/>
  <c r="F18" i="6"/>
  <c r="F21" i="6" s="1"/>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F16" i="24" s="1"/>
  <c r="N34" i="28"/>
  <c r="G16" i="24" s="1"/>
  <c r="M34" i="28"/>
  <c r="F17" i="24" s="1"/>
  <c r="L34" i="28"/>
  <c r="G17" i="24" s="1"/>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F14" i="24" s="1"/>
  <c r="N34" i="26"/>
  <c r="G14" i="24" s="1"/>
  <c r="M34" i="26"/>
  <c r="F15" i="24" s="1"/>
  <c r="L34" i="26"/>
  <c r="G15" i="24" s="1"/>
  <c r="O19" i="26"/>
  <c r="D14" i="24" s="1"/>
  <c r="N19" i="26"/>
  <c r="E14" i="24" s="1"/>
  <c r="M19" i="26"/>
  <c r="D15" i="24" s="1"/>
  <c r="L19" i="26"/>
  <c r="E15" i="24" s="1"/>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J36" i="27" l="1"/>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8" i="6"/>
  <c r="E28" i="6"/>
  <c r="F28" i="6"/>
  <c r="C28" i="6"/>
  <c r="G7" i="8"/>
  <c r="D7" i="8"/>
  <c r="B5" i="8"/>
  <c r="A3" i="8"/>
  <c r="A1" i="8"/>
  <c r="G23" i="7"/>
  <c r="E23" i="7"/>
  <c r="G15" i="7"/>
  <c r="E15" i="7"/>
  <c r="A3" i="7"/>
  <c r="A1" i="7"/>
  <c r="A8" i="7" s="1"/>
  <c r="H65" i="6"/>
  <c r="H63" i="6"/>
  <c r="B53" i="6"/>
  <c r="G50" i="6"/>
  <c r="G49" i="6"/>
  <c r="G43" i="6"/>
  <c r="H43" i="6" s="1"/>
  <c r="G39" i="6"/>
  <c r="H39" i="6" s="1"/>
  <c r="G38" i="6"/>
  <c r="H38" i="6" s="1"/>
  <c r="G37" i="6"/>
  <c r="H37" i="6" s="1"/>
  <c r="G36" i="6"/>
  <c r="G35" i="6"/>
  <c r="G34" i="6"/>
  <c r="G30" i="6"/>
  <c r="G29" i="6"/>
  <c r="H29" i="6" s="1"/>
  <c r="G27" i="6"/>
  <c r="H27" i="6" s="1"/>
  <c r="G26" i="6"/>
  <c r="H26" i="6" s="1"/>
  <c r="G25" i="6"/>
  <c r="H25" i="6" s="1"/>
  <c r="G24" i="6"/>
  <c r="G20" i="6"/>
  <c r="G15" i="6"/>
  <c r="H15" i="6" s="1"/>
  <c r="G14" i="6"/>
  <c r="G12" i="6"/>
  <c r="H12" i="6" s="1"/>
  <c r="G11" i="6"/>
  <c r="G10" i="6"/>
  <c r="G9" i="6"/>
  <c r="G8" i="6"/>
  <c r="I15" i="7" l="1"/>
  <c r="D11" i="8"/>
  <c r="D14" i="8"/>
  <c r="H30" i="6"/>
  <c r="I23" i="7"/>
  <c r="D12" i="8"/>
  <c r="H33" i="7"/>
  <c r="E35" i="7"/>
  <c r="H35" i="7" s="1"/>
  <c r="E37" i="7"/>
  <c r="H37" i="7" s="1"/>
  <c r="E36" i="7"/>
  <c r="H36" i="7" s="1"/>
  <c r="G24" i="7"/>
  <c r="G18" i="6"/>
  <c r="H20" i="6" s="1"/>
  <c r="G28" i="6"/>
  <c r="E24" i="7"/>
  <c r="I24" i="7" s="1"/>
  <c r="H34" i="7"/>
  <c r="D10" i="8"/>
  <c r="A31" i="7"/>
  <c r="A43" i="7" s="1"/>
  <c r="H21" i="6" l="1"/>
  <c r="H13" i="6"/>
  <c r="H8" i="6"/>
  <c r="H19" i="6"/>
  <c r="H10" i="6"/>
  <c r="H14" i="6"/>
  <c r="G14" i="8"/>
  <c r="H11" i="6"/>
  <c r="H9" i="6"/>
</calcChain>
</file>

<file path=xl/sharedStrings.xml><?xml version="1.0" encoding="utf-8"?>
<sst xmlns="http://schemas.openxmlformats.org/spreadsheetml/2006/main" count="1493" uniqueCount="463">
  <si>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</si>
  <si>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</si>
  <si>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</si>
  <si>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</si>
  <si>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</si>
  <si>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</si>
  <si>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</si>
  <si>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</si>
  <si>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</si>
  <si>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</si>
  <si>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</si>
  <si>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</si>
  <si>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</si>
  <si>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</si>
  <si>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</si>
  <si>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</si>
  <si>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</si>
  <si>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</si>
  <si>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</si>
  <si>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</si>
  <si>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</si>
  <si>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</si>
  <si>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</si>
  <si>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</si>
  <si>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</si>
  <si>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</si>
  <si>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</si>
  <si>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</si>
  <si>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</si>
  <si>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</si>
  <si>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</si>
  <si>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</si>
  <si>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</si>
  <si>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</si>
  <si>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</si>
  <si>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</si>
  <si>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</si>
  <si>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</si>
  <si>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</si>
  <si>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</si>
  <si>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</si>
  <si>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</si>
  <si>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</si>
  <si>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</si>
  <si>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</si>
  <si>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</si>
  <si>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</si>
  <si>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KWh/te</t>
  </si>
  <si>
    <t>Power Generated</t>
  </si>
  <si>
    <t>MWh</t>
  </si>
  <si>
    <t>Power Exported</t>
  </si>
  <si>
    <t>Power Used on site</t>
  </si>
  <si>
    <t>Power Imported</t>
  </si>
  <si>
    <t>Parasitic Load</t>
  </si>
  <si>
    <t>GWh</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</si>
  <si>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</si>
  <si>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</si>
  <si>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</si>
  <si>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</si>
  <si>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</si>
  <si>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</si>
  <si>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</si>
  <si>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</si>
  <si>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</si>
  <si>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</si>
  <si>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</si>
  <si>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Activated Carbon</t>
  </si>
  <si>
    <t>Lime / hydrated lime</t>
  </si>
  <si>
    <t>Fuel oil</t>
  </si>
  <si>
    <t>ltrs</t>
  </si>
  <si>
    <t>Gas</t>
  </si>
  <si>
    <t>cf</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</si>
  <si>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</si>
  <si>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</si>
  <si>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</si>
  <si>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</si>
  <si>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</si>
  <si>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</si>
  <si>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</si>
  <si>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</si>
  <si>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</si>
  <si>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</si>
  <si>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</si>
  <si>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</si>
  <si>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</si>
  <si>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</si>
  <si>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</si>
  <si>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</si>
  <si>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</si>
  <si>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</si>
  <si>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</si>
  <si>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</si>
  <si>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</si>
  <si>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</si>
  <si>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</si>
  <si>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</si>
  <si>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</si>
  <si>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</si>
  <si>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</si>
  <si>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</si>
  <si>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</si>
  <si>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</si>
  <si>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</si>
  <si>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</si>
  <si>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</si>
  <si>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</si>
  <si>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</si>
  <si>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</si>
  <si>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</si>
  <si>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</si>
  <si>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</si>
  <si>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</si>
  <si>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</si>
  <si>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</si>
  <si>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</si>
  <si>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</si>
  <si>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</si>
  <si>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</si>
  <si>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</si>
  <si>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</si>
  <si>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</si>
  <si>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</si>
  <si>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</si>
  <si>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</si>
  <si>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</si>
  <si>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</si>
  <si>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</si>
  <si>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</si>
  <si>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</si>
  <si>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</si>
  <si>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</si>
  <si>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</si>
  <si>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</si>
  <si>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</si>
  <si>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</si>
  <si>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</si>
  <si>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</si>
  <si>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</si>
  <si>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</si>
  <si>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</si>
  <si>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</si>
  <si>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</si>
  <si>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</si>
  <si>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</si>
  <si>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</si>
  <si>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</si>
  <si>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</si>
  <si>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</si>
  <si>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</si>
  <si>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</si>
  <si>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</si>
  <si>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</si>
  <si>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</si>
  <si>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</si>
  <si>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</si>
  <si>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</si>
  <si>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</si>
  <si>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Summary of events held during the reporting year.</t>
  </si>
  <si>
    <t>Description</t>
  </si>
  <si>
    <t>List of events planned for next year</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</si>
  <si>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</si>
  <si>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</si>
  <si>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</si>
  <si>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</si>
  <si>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</si>
  <si>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</si>
  <si>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</si>
  <si>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</si>
  <si>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</si>
  <si>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</si>
  <si>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</si>
  <si>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</si>
  <si>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</si>
  <si>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</si>
  <si>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</si>
  <si>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</si>
  <si>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</si>
  <si>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</si>
  <si>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</si>
  <si>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</si>
  <si>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</si>
  <si>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</si>
  <si>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</si>
  <si>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</si>
  <si>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</si>
  <si>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</si>
  <si>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</si>
  <si>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Daily CO ELV</t>
  </si>
  <si>
    <t>1/2 hourly NH3 ELV</t>
  </si>
  <si>
    <t>Daily NH3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</si>
  <si>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</si>
  <si>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</si>
  <si>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</si>
  <si>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</si>
  <si>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</si>
  <si>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</si>
  <si>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</si>
  <si>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</si>
  <si>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</si>
  <si>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</si>
  <si>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</si>
  <si>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</si>
  <si>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</si>
  <si>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</si>
  <si>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</si>
  <si>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</si>
  <si>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</si>
  <si>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</si>
  <si>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</si>
  <si>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</si>
  <si>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</si>
  <si>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</si>
  <si>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</si>
  <si>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</si>
  <si>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</si>
  <si>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</si>
  <si>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</si>
  <si>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</si>
  <si>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</si>
  <si>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</si>
  <si>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</si>
  <si>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</si>
  <si>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</si>
  <si>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</si>
  <si>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</si>
  <si>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</si>
  <si>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</si>
  <si>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</si>
  <si>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</si>
  <si>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</si>
  <si>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</si>
  <si>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</si>
  <si>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</si>
  <si>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</si>
  <si>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</si>
  <si>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</si>
  <si>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</si>
  <si>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</si>
  <si>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</si>
  <si>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</si>
  <si>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</si>
  <si>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</si>
  <si>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</si>
  <si>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</si>
  <si>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</si>
  <si>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</si>
  <si>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</si>
  <si>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Avg.</t>
  </si>
  <si>
    <t>Daily mean</t>
  </si>
  <si>
    <t>½ hourly mean</t>
  </si>
  <si>
    <t xml:space="preserve">Hydrogen chloride </t>
  </si>
  <si>
    <t xml:space="preserve"> Ammonia</t>
  </si>
  <si>
    <t>No limit set</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</si>
  <si>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</si>
  <si>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</si>
  <si>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</si>
  <si>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</si>
  <si>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</si>
  <si>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</si>
  <si>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</si>
  <si>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</si>
  <si>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</si>
  <si>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</si>
  <si>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</si>
  <si>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</si>
  <si>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</si>
  <si>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</si>
  <si>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</si>
  <si>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</si>
  <si>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</si>
  <si>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</si>
  <si>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</si>
  <si>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Facility Information</t>
  </si>
  <si>
    <t>Operational Data</t>
  </si>
  <si>
    <t>Performance Form 1</t>
  </si>
  <si>
    <t>Energy Form 1</t>
  </si>
  <si>
    <t>Permit Compliance</t>
  </si>
  <si>
    <t>Improvements</t>
  </si>
  <si>
    <t>Emissions to Air (continuously monitored)</t>
  </si>
  <si>
    <t>Hydrogen Chloride emissions</t>
  </si>
  <si>
    <t>Total Organic Carbon emissions</t>
  </si>
  <si>
    <t>Carbon Monoxide emissions</t>
  </si>
  <si>
    <t>Ammonia emissions</t>
  </si>
  <si>
    <t>Particulate Matter emissions</t>
  </si>
  <si>
    <t>Household / Local Authority</t>
  </si>
  <si>
    <t>Other [Please specify]</t>
  </si>
  <si>
    <t>kgs</t>
  </si>
  <si>
    <t>Summary of notification or non-compliance [including Line/Reference]</t>
  </si>
  <si>
    <t>Summary of complaint [including Line/Reference]</t>
  </si>
  <si>
    <t>x %</t>
  </si>
  <si>
    <t>Line/Unit</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</si>
  <si>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</si>
  <si>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</si>
  <si>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</si>
  <si>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</si>
  <si>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</si>
  <si>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</si>
  <si>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</si>
  <si>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</si>
  <si>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</si>
  <si>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</si>
  <si>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</si>
  <si>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</si>
  <si>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</si>
  <si>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</si>
  <si>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</si>
  <si>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</si>
  <si>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</si>
  <si>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</si>
  <si>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</si>
  <si>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</si>
  <si>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</si>
  <si>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</si>
  <si>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</si>
  <si>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</si>
  <si>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</si>
  <si>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</si>
  <si>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</si>
  <si>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</si>
  <si>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</si>
  <si>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</si>
  <si>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</si>
  <si>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</si>
  <si>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</si>
  <si>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</si>
  <si>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</si>
  <si>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</si>
  <si>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</si>
  <si>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An indicated ELV value of zero in the table above means that no ammonia limit is set in the permit.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</si>
  <si>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</si>
  <si>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</si>
  <si>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</si>
  <si>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Urea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</si>
  <si>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</si>
  <si>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</si>
  <si>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</si>
  <si>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</si>
  <si>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</si>
  <si>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</si>
  <si>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Net Calorific Value of waste</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</si>
  <si>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</si>
  <si>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</si>
  <si>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</si>
  <si>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</si>
  <si>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</si>
  <si>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</si>
  <si>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</si>
  <si>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</si>
  <si>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</si>
  <si>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</si>
  <si>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</si>
  <si>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</si>
  <si>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</si>
  <si>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</si>
  <si>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</si>
  <si>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Total waste received</t>
  </si>
  <si>
    <r>
      <t xml:space="preserve">Carbon dioxide emissions </t>
    </r>
    <r>
      <rPr>
        <sz val="12"/>
        <color theme="1"/>
        <rFont val="Arial"/>
        <family val="2"/>
      </rPr>
      <t>(all types of plant)</t>
    </r>
  </si>
  <si>
    <t>Annual mass of carbon dioxide released</t>
  </si>
  <si>
    <t>Annual mass of carbon dioxide released per tonne of waste burned</t>
  </si>
  <si>
    <t>Description of how annual carbon dioxide mass emission has been calculated</t>
  </si>
  <si>
    <r>
      <rPr>
        <b/>
        <sz val="12"/>
        <color theme="1"/>
        <rFont val="Arial"/>
        <family val="2"/>
      </rPr>
      <t>Nitrous oxide emissions</t>
    </r>
    <r>
      <rPr>
        <sz val="12"/>
        <color theme="1"/>
        <rFont val="Arial"/>
        <family val="2"/>
      </rPr>
      <t xml:space="preserve"> (only plants which use ammonia or urea to abate NOx emissions)</t>
    </r>
  </si>
  <si>
    <t>Description of how annual nitrous oxide mass emission has been calculated</t>
  </si>
  <si>
    <r>
      <t xml:space="preserve">Biogenic fraction of the waste and biogenic CO2 emissions </t>
    </r>
    <r>
      <rPr>
        <sz val="12"/>
        <color theme="1"/>
        <rFont val="Arial"/>
        <family val="2"/>
      </rPr>
      <t>(only plants burning residual municipal waste, refuse derived fuel or solid recovered fuel)</t>
    </r>
  </si>
  <si>
    <t>Percentage of total carbon dioxide emissions arising from biogenic waste</t>
  </si>
  <si>
    <t>Description of how percentage biogenic carbon dioxide emissions have been calculated</t>
  </si>
  <si>
    <t>Comments:</t>
  </si>
  <si>
    <t>Carbon dioxide emissions and biogenic content of waste inputs</t>
  </si>
  <si>
    <t>R1 value (if applicable)</t>
  </si>
  <si>
    <t>Annual mass of carbon dioxide released per MWh of energy exported</t>
  </si>
  <si>
    <t>Annual mass emissions of nitrous oxide</t>
  </si>
  <si>
    <r>
      <t xml:space="preserve">Total annual carbon dioxide and nitrous oxide emissions as carbon dioxide equivalent </t>
    </r>
    <r>
      <rPr>
        <sz val="10"/>
        <color theme="1"/>
        <rFont val="Arial"/>
        <family val="2"/>
      </rPr>
      <t>(whereby 1 t nitrous oxide is equivalent to 298 t carbon dioxide)</t>
    </r>
  </si>
  <si>
    <t>Yearly average biogenic percentage of the waste by net calorific value (NCV)</t>
  </si>
  <si>
    <t>Description of how biogenic NCV percentage has been calculated or estimated</t>
  </si>
  <si>
    <t xml:space="preserve">Residue Quality </t>
  </si>
  <si>
    <t>Carbon dioxide and nitrous oxide emissions</t>
  </si>
  <si>
    <t>Version 22.3  30/11/22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</si>
  <si>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</si>
  <si>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</si>
  <si>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</si>
  <si>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</si>
  <si>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Annual Performance Report 2022</t>
  </si>
  <si>
    <t>Permit EPR/ZP3937KL</t>
  </si>
  <si>
    <t>Severnside Energy Recovery Centre</t>
  </si>
  <si>
    <t>Sulphur Dioxide emissions</t>
  </si>
  <si>
    <t>Oxides of Nitrogen emissions</t>
  </si>
  <si>
    <t>Due to equipment failure on Line 1 in April 2022, a further visit had to be carried out by the external emissions testing contractor in May to complete further monitoring for cadmium, thallium and heavy metals.
The average result is calculated from the reported values for the H1 and H2 compliance monitoring campaigns. Where results are reported at the laboratory limit of detection the &lt; qualifier is removed for calculation of the average emission as a conservative measure. Where the average has been calculated in this way the reported value is highlighted bold.</t>
  </si>
  <si>
    <t>The compliance monitoring visits were carried out during April and September/October 2022. There were no non-compliances identified during either visit.</t>
  </si>
  <si>
    <t>The CEMS set up comprises a multigas analyser, FID analyser and then the oxygen probe for extractive sampling where flue gases are drawn continuously via a heated line to the analysers in the CEMS room for each incineration line. In situ sampling i.e. where the probes are installed directly into the flue gas flow in the stack is for the dust probes only. The set up for the duty analysers is mirrored by the standby analysers. The standby analysers can be switched between incineration Lines 1 and 2 as required. Continuous monitoring is provided by the CEMS as required by the permit. The CEMS are installed in accordance with EN14181 and relevant Environment Agency guidance.</t>
  </si>
  <si>
    <t>N/A</t>
  </si>
  <si>
    <t>Richard Watkins</t>
  </si>
  <si>
    <t>100.00% (95% of 10-min averages)</t>
  </si>
  <si>
    <r>
      <t>Line 1 SO</t>
    </r>
    <r>
      <rPr>
        <vertAlign val="subscript"/>
        <sz val="10"/>
        <color theme="1"/>
        <rFont val="Arial"/>
        <family val="2"/>
      </rPr>
      <t>2</t>
    </r>
    <r>
      <rPr>
        <sz val="10"/>
        <color theme="1"/>
        <rFont val="Arial"/>
        <family val="2"/>
      </rPr>
      <t xml:space="preserve"> 1/2 hourly average breach</t>
    </r>
  </si>
  <si>
    <t>Line 2 Loss of VOC data (AO 30 mins)</t>
  </si>
  <si>
    <t>Failed Solenoid</t>
  </si>
  <si>
    <t>Preventative Maintenance</t>
  </si>
  <si>
    <t>Line 1 &amp; 2 Loss of VOC data (AO 90 mins)</t>
  </si>
  <si>
    <t>Failed Bag Filter</t>
  </si>
  <si>
    <t>Bag Filter replaced</t>
  </si>
  <si>
    <t>L1 Elevated VOC's (AO 30 mins)</t>
  </si>
  <si>
    <t>Analyser contamination</t>
  </si>
  <si>
    <t>Analyser replaced</t>
  </si>
  <si>
    <t>L1 Elevated VOC's (AO 120 mins)</t>
  </si>
  <si>
    <t>L2 Elevated VOC's (AO 90 mins)</t>
  </si>
  <si>
    <t>L2 Elevated VOC's (AO 60 mins)</t>
  </si>
  <si>
    <t xml:space="preserve">Severn Road, Severnside, South Gloucestershire, BS10 7GB </t>
  </si>
  <si>
    <t>EIR Manager</t>
  </si>
  <si>
    <t>Stephen Fisher</t>
  </si>
  <si>
    <t>Plant Manager</t>
  </si>
  <si>
    <t>enquiries.uk@suez.com</t>
  </si>
  <si>
    <t>SUEZ Recycling and Recovery UK Ltd</t>
  </si>
  <si>
    <t>0800 093 1103</t>
  </si>
  <si>
    <t>TOC data shows elevated results recorded during September. This was not due to elevated emissions from the incineration process but was found to be due to contamination of the FID analysers.
CO data shows elevated results recorded during March. This is caused by a single 10 minute average on Line 2. The result was above the 95th percentile but only because Line 2 only started burning waste at 22:00 hours so there were very few 10 minute averages available to reduce the 95th percentile value. Only a single exceedance occurred and 7 such instances are permitted within a 24 hour period before a reportable exceedance occurs.</t>
  </si>
  <si>
    <t>W1 is the emission point from the Surface Water Management System to the Red Rhine via the swale.
No discharge was observed from this emission point during the reporting period.</t>
  </si>
  <si>
    <t>Suspended solids</t>
  </si>
  <si>
    <t>30 mg/l</t>
  </si>
  <si>
    <t>Oil</t>
  </si>
  <si>
    <t>5 mg/l</t>
  </si>
  <si>
    <t>No visible oil</t>
  </si>
  <si>
    <t>W2 monthly</t>
  </si>
  <si>
    <t>&lt; 5</t>
  </si>
  <si>
    <r>
      <t xml:space="preserve">W3 is the emission point for overflow from the clean rainwater and firewater tanks to the Red Rhine.
</t>
    </r>
    <r>
      <rPr>
        <sz val="10"/>
        <rFont val="Arial"/>
        <family val="2"/>
      </rPr>
      <t>Discharge was sampled on the 01/11/2022 but no monitoring requirements or emission limits apply.</t>
    </r>
  </si>
  <si>
    <t>07/01/2022 IBA sample - TOC = 1.00%
12/04/2022 IBA sample - TOC = 0.86%
01/08/2022 IBA sample - TOC = 0.72%
25/10/2022 IBA sample - TOC = 0.98%</t>
  </si>
  <si>
    <t>The samples for the quarterly IBA analysis were undertaken on the 07/01/2022, the 12/04/2022, the 01/08/2022 and the 25/10/2022.</t>
  </si>
  <si>
    <t>Include summary of key processes and procedures such as (but not limited to); waste reception, control rooms, grate, bed and boiler, energy &amp; heat  generation, cooling systems, residue management, emission controls, health and safety systems, maintenance</t>
  </si>
  <si>
    <t>The installation is an Energy from Waste (EfW) plant which can process up to 467,082 tonnes of residual (non-recyclable) Commercial and Industrial and Municipal waste per annum, leading to a net export of approximately 37 MW of electrical energy to the National Grid. The facility comprises two identical moving grate incinerator combustion lines with a combined capacity of approximately 50 tonne/hr of waste of an approximate 9.8MJ/kg calorific value. The waste is delivered to the site by road, and rail by a dedicated onsite railhead served by two gantry cranes. The plant has two auxiliary burners to support start-up and shutdown on each incineration line, and a stand-by diesel generator to support emergency shutdown in the event of power failure.
The incinerator bottom ash (IBA) waste on the site is quenched to control dust fugitive emissions and transferred by covered conveyors to the onsite bottom ash recycling plant. The bottom ash recycling plant uses magnets, eddy current separators and a trommel to recover ferrous metals and non-ferrous metals from the bottom ash.
Hazardous air pollution control residues (APCR) from the flue gas treatment plant is collected and removed offsite for treatment. The treatment process involves the removal of contaminants and reuse of the fine ash material as an aggregate replacement in manufactured cement blocks.
SNCR (ammonia) is used to reduce emissions of oxides of nitrogen, lime to reduce acid gas emissions and carbon injection for reduction of organics including dioxins and PAH emissions. Bag filters within the flue gas treatment plant remove dust (particulates) from the emissions to air. The treated emissions to air are released through two 118 metre stacks comprising two flues that run the full length of the stack (one for each incineration line). A continuous emissions monitoring system (CEMS) is installed, as required by the permit, to provide continuous analysis of oxides of nitrogen, sulphur dioxide, carbon monoxide, hydrogen chloride, particulates, total organic carbon and ammonia emissions to air from the two stacks. 
The main emissions to air from the site are the combustion gases, predominantly carbon dioxide and water vapour. Trace gases present include oxides of nitrogen, sulphur dioxide, hydrogen chloride, ammonia, dioxins and furans, dioxin like PCB's and  polyaromatic hydrocarbons. Very low levels of particulates and some heavy metals may also be present. There are no emissions from the process to controlled waters. Water discharge of uncontaminated surface (rain)water is permitted.
The Severn Estuary SAC, SSSI, SPA and RAMSAR sites are within 10km of the site, along with the River Wye and Avon Gorge Woodlands.</t>
  </si>
  <si>
    <t xml:space="preserve">Include summary of plant design, design capacity, no. of combustion lines, electrical and heat capacity and any other general information that describes the facility, its location and purpose </t>
  </si>
  <si>
    <t>Public Liaison</t>
  </si>
  <si>
    <r>
      <rPr>
        <b/>
        <sz val="9"/>
        <color theme="1"/>
        <rFont val="Arial"/>
        <family val="2"/>
      </rPr>
      <t>Availability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</si>
  <si>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Energy Usage / Export</t>
  </si>
  <si>
    <t xml:space="preserve">Include summary of key operational and/or maintenance activity undertaken in the year, such as any major component upgrades and/or replacements </t>
  </si>
  <si>
    <t>Specific Usage</t>
  </si>
  <si>
    <t>Specific Usage (KWh/tonne incinerated</t>
  </si>
  <si>
    <t>Line 1 particulates (AO 30 mins)</t>
  </si>
  <si>
    <t>Details of Public &amp; Stakeholder Liaison</t>
  </si>
  <si>
    <t>If you wish to be involved in the public liaison programme, please contact _________________</t>
  </si>
  <si>
    <t>There were no issues identified by the analysis and all results for TOC were below the permit limit.
LOI analysis is not required as TOC analysis is provided.</t>
  </si>
  <si>
    <t>W2 is the emission point from the railhead drainage system to the Red Rhine.
Discharge was only observed from this point on 1 occasion; 01/11/2022</t>
  </si>
  <si>
    <t>Discharge present from W2 and W3 emissions points, samples taken from both.</t>
  </si>
  <si>
    <t xml:space="preserve">Monitoring of Ammonia emissions </t>
  </si>
  <si>
    <t>D09/R05</t>
  </si>
  <si>
    <t>R05</t>
  </si>
  <si>
    <t>R04</t>
  </si>
  <si>
    <t>Non-ferrous metal</t>
  </si>
  <si>
    <r>
      <t>Density value of 845 kg.m</t>
    </r>
    <r>
      <rPr>
        <vertAlign val="superscript"/>
        <sz val="10"/>
        <color theme="1"/>
        <rFont val="Arial"/>
        <family val="2"/>
      </rPr>
      <t>-3</t>
    </r>
    <r>
      <rPr>
        <sz val="10"/>
        <color theme="1"/>
        <rFont val="Arial"/>
        <family val="2"/>
      </rPr>
      <t xml:space="preserve"> used to convert gas oil litres to tonnes.
Net Calorific Value (NCV) of 42,800 kJ.kg</t>
    </r>
    <r>
      <rPr>
        <vertAlign val="superscript"/>
        <sz val="10"/>
        <color theme="1"/>
        <rFont val="Arial"/>
        <family val="2"/>
      </rPr>
      <t>-1</t>
    </r>
    <r>
      <rPr>
        <sz val="10"/>
        <color theme="1"/>
        <rFont val="Arial"/>
        <family val="2"/>
      </rPr>
      <t xml:space="preserve"> used for gas oil</t>
    </r>
  </si>
  <si>
    <t>Waste Mixing, Feed-forward Control</t>
  </si>
  <si>
    <t>Investigate alternative RGAs</t>
  </si>
  <si>
    <r>
      <t>tonnes CO</t>
    </r>
    <r>
      <rPr>
        <vertAlign val="subscript"/>
        <sz val="12"/>
        <color theme="1"/>
        <rFont val="Arial"/>
        <family val="2"/>
      </rPr>
      <t>2</t>
    </r>
    <r>
      <rPr>
        <sz val="12"/>
        <color theme="1"/>
        <rFont val="Arial"/>
        <family val="2"/>
      </rPr>
      <t xml:space="preserve"> /
 tonnes waste</t>
    </r>
  </si>
  <si>
    <t xml:space="preserve">tonnes </t>
  </si>
  <si>
    <r>
      <t>tonnes CO</t>
    </r>
    <r>
      <rPr>
        <vertAlign val="subscript"/>
        <sz val="12"/>
        <color theme="1"/>
        <rFont val="Arial"/>
        <family val="2"/>
      </rPr>
      <t>2</t>
    </r>
    <r>
      <rPr>
        <sz val="12"/>
        <color theme="1"/>
        <rFont val="Arial"/>
        <family val="2"/>
      </rPr>
      <t xml:space="preserve"> /
 MWh exported</t>
    </r>
  </si>
  <si>
    <r>
      <t>tonnes CO</t>
    </r>
    <r>
      <rPr>
        <vertAlign val="subscript"/>
        <sz val="12"/>
        <color theme="1"/>
        <rFont val="Arial"/>
        <family val="2"/>
      </rPr>
      <t>2</t>
    </r>
    <r>
      <rPr>
        <sz val="12"/>
        <color theme="1"/>
        <rFont val="Arial"/>
        <family val="2"/>
      </rPr>
      <t>e</t>
    </r>
  </si>
  <si>
    <t>As above</t>
  </si>
  <si>
    <r>
      <t>Calculated from reported N</t>
    </r>
    <r>
      <rPr>
        <i/>
        <vertAlign val="subscript"/>
        <sz val="10.5"/>
        <rFont val="Arial"/>
        <family val="2"/>
      </rPr>
      <t>2</t>
    </r>
    <r>
      <rPr>
        <i/>
        <sz val="10.5"/>
        <rFont val="Arial"/>
        <family val="2"/>
      </rPr>
      <t>O mass concentration on the CEMS and the stack flowrate readings on an adjusted basis for each line
- both measurements calibrated with a new QAL2 function in July 2022 for the N</t>
    </r>
    <r>
      <rPr>
        <i/>
        <vertAlign val="subscript"/>
        <sz val="10.5"/>
        <rFont val="Arial"/>
        <family val="2"/>
      </rPr>
      <t>2</t>
    </r>
    <r>
      <rPr>
        <i/>
        <sz val="10.5"/>
        <rFont val="Arial"/>
        <family val="2"/>
      </rPr>
      <t>O and April 2022 for the stack flow respectively. Software upgrade and new calibration gases implemented to allow for QAL3 span checks for N</t>
    </r>
    <r>
      <rPr>
        <i/>
        <vertAlign val="subscript"/>
        <sz val="10.5"/>
        <rFont val="Arial"/>
        <family val="2"/>
      </rPr>
      <t>2</t>
    </r>
    <r>
      <rPr>
        <i/>
        <sz val="10.5"/>
        <rFont val="Arial"/>
        <family val="2"/>
      </rPr>
      <t>O.</t>
    </r>
  </si>
  <si>
    <r>
      <t>Calculated from reported CO</t>
    </r>
    <r>
      <rPr>
        <i/>
        <vertAlign val="subscript"/>
        <sz val="11"/>
        <rFont val="Arial"/>
        <family val="2"/>
      </rPr>
      <t>2</t>
    </r>
    <r>
      <rPr>
        <i/>
        <sz val="11"/>
        <rFont val="Arial"/>
        <family val="2"/>
      </rPr>
      <t xml:space="preserve"> volume fraction on the CEMS and the stack flowrate readings on an adjusted basis for each line
 - both measurements calibrated with a new QAL2 function in April 2022 and QAL3 span checks in place for CO</t>
    </r>
    <r>
      <rPr>
        <i/>
        <vertAlign val="subscript"/>
        <sz val="11"/>
        <rFont val="Arial"/>
        <family val="2"/>
      </rPr>
      <t>2</t>
    </r>
  </si>
  <si>
    <t>QEH school -2 x planned visits (site tours) for ~90 students</t>
  </si>
  <si>
    <t>Assed from breakdown of waste composition from third-party reporting (M.E.L) in March 2022 and the respective carbon content of each component</t>
  </si>
  <si>
    <t>Activity listed in Schedule 1 of the EP Regulations
S5.1 A1 (b) The incineration of non-hazardous waste in a waste incineration plant with a capacity of 3 tonnes per hour or more.
From receipt of commercial, industrial and municipal waste by road and/or rail to storage of gas oil auxiliary fuel, to incineration of waste and removal of ash. The receipt, handling, storage, processing and treatment of incinerator bottom ash only from within the installation.
Directly Associated Activities
The generation of up to 40 MWe electrical power, with approximately 37 MWe for export to the National Grid, using a steam turbine from energy recovered from the flue gases. From receipt of commercial, industrial and municipal waste by road and/or rail to storage of gas oil auxiliary fuel, to incineration of
waste and removal of ash. The receipt, handling, storage, processing and treatment of incinerator bottom ash only from within the installation.
Standby diesel generator for providing emergency electrical power to the plant in the event of supply
interruption. From receipt of diesel fuel to production of electricity for controlled shutdown of incinerator in the event of power failure at the site.
Railhead; operation of designated railhead for the receipt of waste for thermal treatment and the potential dispatch by rail of recycled bottom ash as a secondary aggregate. From receipt of waste to the potential loading of processed IBA, limited within the site boundary.
Plant Description
Incoming contract waste is delivered to site by rail with each train carrying approximately 1,000 tonnes of waste in 78 containers. Each container is transferred by gantry crane to roll on/off vehicles and taken to the Tipping Hall for unloading into the waste bunker. Third party waste is received by road, checked in, weighed and delivered into the reception hall by Roro’s, refuse collection vehicles and bulk transport vehicles.
RECEPTION HALL
A large reception hall allows for vehicles delivering waste to the site to manoeuvre and tip waste safely. The tipping hall is constructed above ground level as part of the sites flood protection strategy. HGV access to and egress from the Tipping Hall is via ramps on the south and north sides of the building. Air needed for combustion is drawn into the furnace from here (above the waste bunker) so that negative pressure is maintained in order to avoid odour and dust escaping the building. The tipping hall also includes an automatic dust and odour suppression system.
WASTE BUNKER
Waste vehicles reverse to a wheel stop and tip their loads into a large concrete bunker. The waste cranes operate over the waste bunker automatically to mix the waste to improve the homogeneity of the incinerator feedstock and feed the waste hoppers for each incineration line. Manual control by crane operators is carried out as and when required. Inspection of wastes received is carried out by the Day Operations team to look for unsuitable material and non-permitted wastes to be removed.
CONTROL ROOM
The plant’s control room contains the Distributed Control System (DCS) which centralises the operation of the plant, and all equipment, including the grab cranes used to mix and load waste into the hoppers that feed the incineration lines. All on-site functions are monitored automatically and manually. Its systems verify in real time that equipment is functioning properly, continuously monitor the combustion processes, flue gases, and maximise the efficiency of the entire EfW process.
GRATE AND BOILER
Waste is lifted into the feed hoppers by the waste cranes. From here it is dropped into the furnace feed chute and then is introduced onto the grate system by hydraulic ram feeders for incineration. Auxiliary burners are used at start up and shut down, and can be used to help keep the furnace temperature above 850°C if required. The plant has two auxiliary burners per incineration line. The thermal energy released from the incineration of waste is used to convert water to super-heated steam through the boiler and 5th pass superheater. At high pressure, this steam drives a turbine to generate electricity.
ELECTRICITY GENERATION
The turbine drives a step down gearbox, which in turn drives a generator. Electricity is generated at 11kv, with electricity production of 304,000 MWh/annum (based on 38MW and 8,000 operating hours) and exporting approximately 273,600 MWh/annum to the national grid.
INCINERATOR BOTTOM ASH (IBA)
Ash left on the grate after incineration falls through the grate riddlings or off the end of the grate, is combined with boiler ash produced in the superheater and passes into the bottom ash extractor. The bottom ash extractor contains water to quench the ash and to provide an air seal for the furnace. The material is removed from the bottom ash extractor by a drag conveyor passing the material onto the vibrating fingers for removal of the oversize metal content. The oversize metal drops into a skip for collection and the remaining IBA material is dropped onto a conveyor for transport to the on site IBA recycling plant. Up to 100,000 tonnes per annum of IBA is produced and then processed on site by the removal of ferrous and non-ferrous metal, stabilised and separated into fraction sizes prior to the export from site of the recovered aggregates and metals for re-use.
AIR-COOLED CONDENSERS
After exiting the turbine, the steam is cooled and condensed back into water through air cooled condensers. This recovered water is collected in the condensate tank, treated and returned to the feedwater system to supply the boiler drum and to produce more steam, thus reducing consumption of mains water.
EMISSION CONTROL
The flue gases from the incineration of waste are subject to a rigorous cleaning process involving ammonia for removal of Nitrogen Oxides (NOx) by selective non-catalytic reduction (SNCR). A DyNor (Dynamic NOx Reduction system) is used to optimise NOx reduction and reduce ammonia slip by altering the ammonia injection point into the furnace, dependent on the temperature profile, so the injection takes place where the SNCR reaction will be most effective. Lime and powdered activated carbon is injected into the reactor where the lime removes acidic gases such as sulphur dioxide (SO2) and hydrogen chloride (HCL), and the activated carbon removes heavy metals, dioxins and furans.
AIR POLLUTION CONTROL RESIDUE (APCR)
The cleaned flue gases pass from the reactor through fine-fabric bag filters to remove solid particulates (dust). The bag filters become coated with lime and carbon and provides a further reaction surface increasing the effectiveness of the carbon and lime. When the pressure differential between the inside of the fabric filters becomes too great, a jet of compressed air is used to remove some of the reagents and ash caking the outside of the bag filters. Some of this material is recirculated back into the reactor where atomised water jets reactive the reagents for further use in the reactor.
The remaining APCR collected from the bag filter housing contains ash particles from the incineration process, spent lime used in the flue gas treatment, salts and carbon dust. It is transported to and stored in two sealed silo’s until it is tankered away for recovery.
CONTINUOUS EMISSIONS MONITORING SYSTEM (CEMS)
The flue gases are drawn through the flue gas treatment system by large induction fans which then vent and discharge the treated flue gases to atmosphere via the stacks. A continuous emissions monitoring system is installed on each stack to monitor these emissions. The data is used to make any necessary adjustment to reagent dosing to ensure compliance with permit Emission Limit Values (ELV’s). This data is relayed automatically to the control room and is under close observation by the Operations Team. The CEMS is subject to QAL3 calibration tests (zero and span checks) performed monthly by the maintenance team, and an external contractor carries out annual servicing, calibration and emission testing as required by the permit.</t>
  </si>
  <si>
    <t>Krishna Patel</t>
  </si>
  <si>
    <t>Technical Plant Engineer</t>
  </si>
  <si>
    <t>All IBA produced by the EfW plant is transferred to the IBA recycling plant by conveyor, the IBA recycling plant is operated by Blue Phoenix. The IBA is non-hazardous, as confirmed by weekly analysis of the IBA,  and undergoes a mechanical separation process to remove all ferrous and non-ferrous metals leaving an IBA aggregate product. The metals are transferred to other operators for recycling and the IBA is applied to land in construction activities as a replacement for virgin (quarried) aggregate. This is in accordance with Environment Agency Regulatory Position Statement (RPS) 206 "Using unbound IBAA in construction activities".
Air Pollution Control (APC) residues is the fly ash from the boiler mixed with dry sorbents such as carbon and lime in the flu gas treatment plant. The APC residue is hazardous and is therefore collected and further treated to achive non-hazardous status. The remaining non-hazardous fine ash residue is then used in the construction of cement blocks, ensuring that recovery of process residues is greater than 99%.
Some additional residues may be produced during cleaning of the boiler during cleaning activities in planned maintenance outages. This boiler ash, often mixed with grit blast residues from the cleaning process, is disposed of to landfill.</t>
  </si>
  <si>
    <t>Not applicable</t>
  </si>
  <si>
    <t>The planned maintenance outage took place between the 26th June and the 21st July.
Standard outage work completed including insurance work. Superheaters NDT tested all within very good limits. Main boiler safety valves overhauled and tested, Trevi-test carried out 5 weeks after start up as planned all results excellent. We have carried out some additional welding to the Bag House Filter as some corrosion was apparent. Refractory repairs were carried out as per standard specification.
Both bottom ash chains were thoroughly examined and one complete drive end including shaft drive cogs and chain was changed. We had several Bottom Ash Extractor chain failures early in the year, but after changing the lifecycle of the chain and additional preventative maintenance we seem to have overcome this problem our main issue and bottleneck for the site is now blockages, although we did have a CEMS issue that has required us to purchase new FID`s, this did not affect our reporting procedure.</t>
  </si>
  <si>
    <t>Op Data</t>
  </si>
  <si>
    <t>Amendments to Line availability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</si>
</sst>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0%"/>
    <numFmt numFmtId="170" formatCode="#,##0.0_ ;\-#,##0.0\ "/>
    <numFmt numFmtId="171" formatCode="#,##0.00_ ;\-#,##0.00\ "/>
  </numFmts>
  <fonts count="49" x14ac:knownFonts="1">
    <font>
      <sz val="11"/>
      <color theme="1"/>
      <name val="Calibri"/>
      <family val="2"/>
      <scheme val="minor"/>
    </font>
    <font>
      <sz val="10"/>
      <color theme="1"/>
      <name val="Arial"/>
      <family val="2"/>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vertAlign val="subscript"/>
      <sz val="10"/>
      <color theme="1"/>
      <name val="Arial"/>
      <family val="2"/>
    </font>
    <font>
      <u/>
      <sz val="11"/>
      <color theme="10"/>
      <name val="Calibri"/>
      <family val="2"/>
      <scheme val="minor"/>
    </font>
    <font>
      <sz val="10"/>
      <name val="Arial"/>
      <family val="2"/>
    </font>
    <font>
      <vertAlign val="subscript"/>
      <sz val="12"/>
      <color theme="1"/>
      <name val="Arial"/>
      <family val="2"/>
    </font>
    <font>
      <i/>
      <sz val="10.5"/>
      <name val="Arial"/>
      <family val="2"/>
    </font>
    <font>
      <i/>
      <vertAlign val="subscript"/>
      <sz val="10.5"/>
      <name val="Arial"/>
      <family val="2"/>
    </font>
    <font>
      <sz val="10.5"/>
      <name val="Calibri"/>
      <family val="2"/>
      <scheme val="minor"/>
    </font>
    <font>
      <i/>
      <sz val="11"/>
      <name val="Arial"/>
      <family val="2"/>
    </font>
    <font>
      <i/>
      <vertAlign val="subscript"/>
      <sz val="11"/>
      <name val="Arial"/>
      <family val="2"/>
    </font>
    <font>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7" fillId="0" borderId="0" applyFont="0" applyFill="0" applyBorder="0" applyAlignment="0" applyProtection="0"/>
    <xf numFmtId="9" fontId="7" fillId="0" borderId="0" applyFont="0" applyFill="0" applyBorder="0" applyAlignment="0" applyProtection="0"/>
    <xf numFmtId="0" fontId="40" fillId="0" borderId="0" applyNumberFormat="0" applyFill="0" applyBorder="0" applyAlignment="0" applyProtection="0"/>
  </cellStyleXfs>
  <cellXfs count="450">
    <xf numFmtId="0" fontId="0" fillId="0" borderId="0" xfId="0"/>
    <xf numFmtId="0" fontId="8" fillId="0" borderId="0" xfId="0" applyFont="1"/>
    <xf numFmtId="0" fontId="9" fillId="0" borderId="0" xfId="0" applyFont="1"/>
    <xf numFmtId="0" fontId="10" fillId="0" borderId="0" xfId="0" applyFont="1"/>
    <xf numFmtId="0" fontId="10" fillId="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12" fillId="0" borderId="0" xfId="0" applyFont="1"/>
    <xf numFmtId="0" fontId="13" fillId="0" borderId="0" xfId="0" applyFont="1"/>
    <xf numFmtId="0" fontId="9" fillId="0" borderId="0" xfId="0" applyFont="1" applyAlignment="1">
      <alignment horizontal="left"/>
    </xf>
    <xf numFmtId="0" fontId="11" fillId="0" borderId="0" xfId="0" applyFont="1"/>
    <xf numFmtId="0" fontId="14" fillId="0" borderId="2" xfId="0" applyFont="1" applyBorder="1" applyAlignment="1">
      <alignment horizontal="center"/>
    </xf>
    <xf numFmtId="0" fontId="14" fillId="0" borderId="2" xfId="0" applyFont="1" applyBorder="1"/>
    <xf numFmtId="0" fontId="15" fillId="2" borderId="2" xfId="0" applyFont="1" applyFill="1" applyBorder="1" applyAlignment="1">
      <alignment horizontal="center"/>
    </xf>
    <xf numFmtId="0" fontId="15" fillId="2" borderId="2" xfId="0" applyFont="1" applyFill="1" applyBorder="1" applyAlignment="1">
      <alignment horizontal="left"/>
    </xf>
    <xf numFmtId="0" fontId="15" fillId="0" borderId="0" xfId="0" applyFont="1"/>
    <xf numFmtId="0" fontId="14" fillId="0" borderId="2" xfId="0" applyFont="1" applyBorder="1" applyAlignment="1">
      <alignment horizontal="center" vertical="top"/>
    </xf>
    <xf numFmtId="0" fontId="14" fillId="0" borderId="2" xfId="0" applyFont="1" applyBorder="1" applyAlignment="1">
      <alignment vertical="top"/>
    </xf>
    <xf numFmtId="0" fontId="15" fillId="2" borderId="2" xfId="0" applyFont="1" applyFill="1" applyBorder="1" applyAlignment="1">
      <alignment horizontal="center" vertical="top"/>
    </xf>
    <xf numFmtId="0" fontId="14" fillId="0" borderId="0" xfId="0" applyFont="1"/>
    <xf numFmtId="0" fontId="15" fillId="0" borderId="0" xfId="0" applyFont="1" applyAlignment="1">
      <alignment horizontal="center"/>
    </xf>
    <xf numFmtId="0" fontId="16" fillId="0" borderId="0" xfId="0" applyFont="1"/>
    <xf numFmtId="0" fontId="10" fillId="0" borderId="6" xfId="0" applyFont="1" applyBorder="1"/>
    <xf numFmtId="164" fontId="10" fillId="2" borderId="7" xfId="1" applyNumberFormat="1" applyFont="1" applyFill="1" applyBorder="1"/>
    <xf numFmtId="0" fontId="10" fillId="3" borderId="7" xfId="0" applyFont="1" applyFill="1" applyBorder="1" applyAlignment="1">
      <alignment vertical="center"/>
    </xf>
    <xf numFmtId="0" fontId="10" fillId="0" borderId="11" xfId="0" applyFont="1" applyBorder="1"/>
    <xf numFmtId="0" fontId="10" fillId="2" borderId="12" xfId="0" applyFont="1" applyFill="1" applyBorder="1" applyAlignment="1">
      <alignment horizontal="center" vertical="center"/>
    </xf>
    <xf numFmtId="0" fontId="10" fillId="0" borderId="12" xfId="0" applyFont="1" applyBorder="1"/>
    <xf numFmtId="0" fontId="10" fillId="2" borderId="12" xfId="0" applyFont="1" applyFill="1" applyBorder="1" applyAlignment="1">
      <alignment horizontal="center"/>
    </xf>
    <xf numFmtId="0" fontId="11" fillId="0" borderId="12" xfId="0" applyFont="1" applyBorder="1"/>
    <xf numFmtId="0" fontId="10" fillId="0" borderId="13" xfId="0" applyFont="1" applyBorder="1" applyAlignment="1">
      <alignment horizontal="center"/>
    </xf>
    <xf numFmtId="0" fontId="15" fillId="0" borderId="3" xfId="0" applyFont="1" applyBorder="1"/>
    <xf numFmtId="0" fontId="15" fillId="0" borderId="4" xfId="0" applyFont="1" applyBorder="1" applyAlignment="1">
      <alignment horizontal="center"/>
    </xf>
    <xf numFmtId="0" fontId="14" fillId="0" borderId="4" xfId="0" applyFont="1" applyBorder="1" applyAlignment="1">
      <alignment horizontal="center"/>
    </xf>
    <xf numFmtId="0" fontId="15" fillId="0" borderId="5" xfId="0" applyFont="1" applyBorder="1" applyAlignment="1">
      <alignment horizontal="center"/>
    </xf>
    <xf numFmtId="0" fontId="15" fillId="0" borderId="6" xfId="0" applyFont="1" applyBorder="1" applyAlignment="1">
      <alignment vertical="center"/>
    </xf>
    <xf numFmtId="164" fontId="15" fillId="2" borderId="7" xfId="1" applyNumberFormat="1" applyFont="1" applyFill="1" applyBorder="1" applyAlignment="1">
      <alignment horizontal="center"/>
    </xf>
    <xf numFmtId="164" fontId="14" fillId="0" borderId="7" xfId="1" applyNumberFormat="1" applyFont="1" applyBorder="1" applyAlignment="1">
      <alignment horizontal="center"/>
    </xf>
    <xf numFmtId="165" fontId="15" fillId="0" borderId="10" xfId="2" applyNumberFormat="1" applyFont="1" applyBorder="1" applyAlignment="1">
      <alignment horizontal="center"/>
    </xf>
    <xf numFmtId="0" fontId="15" fillId="0" borderId="9" xfId="0" applyFont="1" applyBorder="1" applyAlignment="1">
      <alignment vertical="center"/>
    </xf>
    <xf numFmtId="164" fontId="15" fillId="2" borderId="0" xfId="1" applyNumberFormat="1" applyFont="1" applyFill="1" applyAlignment="1">
      <alignment horizontal="center"/>
    </xf>
    <xf numFmtId="164" fontId="14" fillId="0" borderId="0" xfId="1" applyNumberFormat="1" applyFont="1" applyAlignment="1">
      <alignment horizontal="center"/>
    </xf>
    <xf numFmtId="164" fontId="15" fillId="2" borderId="12" xfId="1" applyNumberFormat="1" applyFont="1" applyFill="1" applyBorder="1" applyAlignment="1">
      <alignment horizontal="center"/>
    </xf>
    <xf numFmtId="164" fontId="14" fillId="0" borderId="12" xfId="1" applyNumberFormat="1" applyFont="1" applyBorder="1" applyAlignment="1">
      <alignment horizontal="center"/>
    </xf>
    <xf numFmtId="0" fontId="14" fillId="0" borderId="0" xfId="0" applyFont="1" applyAlignment="1">
      <alignment horizontal="center"/>
    </xf>
    <xf numFmtId="0" fontId="15" fillId="0" borderId="7" xfId="0" applyFont="1" applyBorder="1" applyAlignment="1">
      <alignment horizontal="center"/>
    </xf>
    <xf numFmtId="0" fontId="14" fillId="0" borderId="7" xfId="0" applyFont="1" applyBorder="1" applyAlignment="1">
      <alignment horizontal="center"/>
    </xf>
    <xf numFmtId="0" fontId="15" fillId="0" borderId="8" xfId="0" applyFont="1" applyBorder="1" applyAlignment="1">
      <alignment horizontal="center"/>
    </xf>
    <xf numFmtId="0" fontId="15" fillId="0" borderId="6" xfId="0" applyFont="1" applyBorder="1"/>
    <xf numFmtId="164" fontId="15" fillId="0" borderId="8" xfId="0" applyNumberFormat="1" applyFont="1" applyBorder="1" applyAlignment="1">
      <alignment horizontal="center"/>
    </xf>
    <xf numFmtId="0" fontId="15" fillId="0" borderId="9" xfId="0" applyFont="1" applyBorder="1"/>
    <xf numFmtId="164" fontId="15" fillId="0" borderId="10" xfId="0" applyNumberFormat="1" applyFont="1" applyBorder="1" applyAlignment="1">
      <alignment horizontal="center"/>
    </xf>
    <xf numFmtId="0" fontId="15" fillId="0" borderId="0" xfId="0" applyFont="1" applyAlignment="1">
      <alignment horizontal="center" vertical="center"/>
    </xf>
    <xf numFmtId="165" fontId="15" fillId="0" borderId="0" xfId="2" applyNumberFormat="1" applyFont="1" applyAlignment="1">
      <alignment horizontal="center" vertical="center"/>
    </xf>
    <xf numFmtId="0" fontId="15" fillId="0" borderId="11" xfId="0" applyFont="1" applyBorder="1"/>
    <xf numFmtId="0" fontId="15" fillId="0" borderId="12" xfId="0" applyFont="1" applyBorder="1"/>
    <xf numFmtId="0" fontId="15" fillId="0" borderId="6" xfId="0" applyFont="1" applyBorder="1" applyAlignment="1">
      <alignment horizontal="center" vertical="center"/>
    </xf>
    <xf numFmtId="165" fontId="15" fillId="0" borderId="8" xfId="2" applyNumberFormat="1" applyFont="1" applyBorder="1" applyAlignment="1">
      <alignment horizontal="center"/>
    </xf>
    <xf numFmtId="0" fontId="15" fillId="2" borderId="9" xfId="0" applyFont="1" applyFill="1" applyBorder="1"/>
    <xf numFmtId="0" fontId="15" fillId="2" borderId="11" xfId="0" applyFont="1" applyFill="1" applyBorder="1"/>
    <xf numFmtId="165" fontId="15" fillId="0" borderId="13" xfId="2" applyNumberFormat="1" applyFont="1" applyBorder="1" applyAlignment="1">
      <alignment horizontal="center"/>
    </xf>
    <xf numFmtId="0" fontId="15" fillId="0" borderId="3" xfId="0" applyFont="1" applyBorder="1" applyAlignment="1">
      <alignment horizontal="center" vertical="center"/>
    </xf>
    <xf numFmtId="43" fontId="15" fillId="0" borderId="10" xfId="0" applyNumberFormat="1" applyFont="1" applyBorder="1" applyAlignment="1">
      <alignment horizontal="center" vertical="center"/>
    </xf>
    <xf numFmtId="0" fontId="15" fillId="2" borderId="12" xfId="0" applyFont="1" applyFill="1" applyBorder="1" applyAlignment="1">
      <alignment horizontal="center" vertical="center"/>
    </xf>
    <xf numFmtId="0" fontId="15" fillId="0" borderId="6" xfId="0" applyFont="1" applyBorder="1" applyAlignment="1">
      <alignment horizontal="center"/>
    </xf>
    <xf numFmtId="10" fontId="15" fillId="0" borderId="10" xfId="2" applyNumberFormat="1" applyFont="1" applyBorder="1" applyAlignment="1">
      <alignment horizontal="center"/>
    </xf>
    <xf numFmtId="0" fontId="15" fillId="0" borderId="12" xfId="0" applyFont="1" applyBorder="1" applyAlignment="1">
      <alignment horizontal="center"/>
    </xf>
    <xf numFmtId="164" fontId="15" fillId="0" borderId="13" xfId="0" applyNumberFormat="1" applyFont="1" applyBorder="1" applyAlignment="1">
      <alignment horizontal="center"/>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8" fillId="4" borderId="2" xfId="0" applyFont="1" applyFill="1" applyBorder="1" applyAlignment="1">
      <alignment horizontal="center" vertical="center" wrapText="1"/>
    </xf>
    <xf numFmtId="0" fontId="15" fillId="0" borderId="2" xfId="0" applyFont="1" applyBorder="1" applyAlignment="1">
      <alignment horizontal="left" vertical="center" wrapText="1"/>
    </xf>
    <xf numFmtId="0" fontId="15" fillId="2" borderId="2" xfId="0" applyFont="1" applyFill="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5" fillId="0" borderId="0" xfId="0" applyFont="1" applyAlignment="1">
      <alignment vertical="center"/>
    </xf>
    <xf numFmtId="0" fontId="18" fillId="4" borderId="6" xfId="0" applyFont="1" applyFill="1" applyBorder="1" applyAlignment="1">
      <alignment vertical="center" wrapText="1"/>
    </xf>
    <xf numFmtId="0" fontId="18" fillId="4" borderId="8" xfId="0" applyFont="1" applyFill="1" applyBorder="1" applyAlignment="1">
      <alignment vertical="center" wrapText="1"/>
    </xf>
    <xf numFmtId="0" fontId="18" fillId="4" borderId="1" xfId="0" applyFont="1" applyFill="1" applyBorder="1" applyAlignment="1">
      <alignment horizontal="center" vertical="center" wrapText="1"/>
    </xf>
    <xf numFmtId="0" fontId="18" fillId="4" borderId="1" xfId="0" applyFont="1" applyFill="1" applyBorder="1" applyAlignment="1">
      <alignment vertical="center" wrapText="1"/>
    </xf>
    <xf numFmtId="4" fontId="15" fillId="0" borderId="2" xfId="0" applyNumberFormat="1" applyFont="1" applyBorder="1" applyAlignment="1">
      <alignment horizontal="center" vertical="center" wrapText="1"/>
    </xf>
    <xf numFmtId="4" fontId="15" fillId="2" borderId="2" xfId="0" applyNumberFormat="1" applyFont="1" applyFill="1" applyBorder="1" applyAlignment="1">
      <alignment horizontal="center" vertical="center" wrapText="1"/>
    </xf>
    <xf numFmtId="0" fontId="10" fillId="0" borderId="0" xfId="0" applyFont="1" applyAlignment="1">
      <alignment horizontal="left" vertical="top" wrapText="1"/>
    </xf>
    <xf numFmtId="0" fontId="18" fillId="4" borderId="2" xfId="0" applyFont="1" applyFill="1" applyBorder="1" applyAlignment="1">
      <alignment vertical="center" wrapText="1"/>
    </xf>
    <xf numFmtId="0" fontId="9" fillId="2" borderId="2" xfId="0" applyFont="1" applyFill="1" applyBorder="1"/>
    <xf numFmtId="0" fontId="19" fillId="0" borderId="12" xfId="0" applyFont="1" applyBorder="1"/>
    <xf numFmtId="0" fontId="10" fillId="0" borderId="0" xfId="0" applyFont="1" applyAlignment="1">
      <alignment vertical="center"/>
    </xf>
    <xf numFmtId="0" fontId="14" fillId="0" borderId="2" xfId="0" applyFont="1" applyBorder="1" applyAlignment="1">
      <alignment horizontal="center" vertical="center" wrapText="1"/>
    </xf>
    <xf numFmtId="14" fontId="15" fillId="2" borderId="2" xfId="0" applyNumberFormat="1" applyFont="1" applyFill="1" applyBorder="1" applyAlignment="1">
      <alignment horizontal="left"/>
    </xf>
    <xf numFmtId="0" fontId="9" fillId="0" borderId="0" xfId="0" applyFont="1" applyAlignment="1">
      <alignment horizontal="left" vertical="center" wrapText="1"/>
    </xf>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1" fillId="0" borderId="6" xfId="0" applyFont="1" applyBorder="1"/>
    <xf numFmtId="0" fontId="9" fillId="0" borderId="7" xfId="0" applyFont="1" applyBorder="1"/>
    <xf numFmtId="0" fontId="9" fillId="0" borderId="8" xfId="0" applyFont="1" applyBorder="1"/>
    <xf numFmtId="0" fontId="9" fillId="0" borderId="11" xfId="0" applyFont="1" applyBorder="1"/>
    <xf numFmtId="0" fontId="9" fillId="0" borderId="12" xfId="0" applyFont="1" applyBorder="1"/>
    <xf numFmtId="0" fontId="9" fillId="0" borderId="13" xfId="0" applyFont="1" applyBorder="1"/>
    <xf numFmtId="0" fontId="11" fillId="0" borderId="3" xfId="0" applyFont="1" applyBorder="1"/>
    <xf numFmtId="0" fontId="9" fillId="0" borderId="4" xfId="0" applyFont="1" applyBorder="1"/>
    <xf numFmtId="0" fontId="9" fillId="0" borderId="5" xfId="0" applyFont="1" applyBorder="1"/>
    <xf numFmtId="0" fontId="8" fillId="0" borderId="3" xfId="0" applyFont="1" applyBorder="1"/>
    <xf numFmtId="0" fontId="15" fillId="0" borderId="2" xfId="0" applyFont="1" applyBorder="1" applyAlignment="1">
      <alignment horizontal="center"/>
    </xf>
    <xf numFmtId="0" fontId="14" fillId="0" borderId="2" xfId="0"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20" fillId="0" borderId="0" xfId="0" applyFont="1"/>
    <xf numFmtId="9" fontId="15" fillId="0" borderId="2" xfId="0" applyNumberFormat="1" applyFont="1" applyBorder="1" applyAlignment="1">
      <alignment horizontal="center" vertical="center" wrapText="1"/>
    </xf>
    <xf numFmtId="0" fontId="21" fillId="0" borderId="2" xfId="0"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top"/>
    </xf>
    <xf numFmtId="0" fontId="11" fillId="0" borderId="2" xfId="0" applyFont="1" applyBorder="1" applyAlignment="1">
      <alignment horizontal="center" vertical="center"/>
    </xf>
    <xf numFmtId="0" fontId="10" fillId="0" borderId="2" xfId="0" applyFont="1" applyBorder="1"/>
    <xf numFmtId="0" fontId="23" fillId="0" borderId="2" xfId="0" applyFont="1" applyBorder="1" applyAlignment="1">
      <alignment horizontal="center"/>
    </xf>
    <xf numFmtId="0" fontId="10" fillId="5" borderId="2" xfId="0" applyFont="1" applyFill="1" applyBorder="1" applyAlignment="1">
      <alignment horizontal="center"/>
    </xf>
    <xf numFmtId="0" fontId="11" fillId="0" borderId="2" xfId="0" applyFont="1" applyBorder="1" applyAlignment="1">
      <alignment horizontal="left" vertical="center"/>
    </xf>
    <xf numFmtId="0" fontId="10" fillId="0" borderId="2" xfId="0" applyFont="1" applyBorder="1" applyAlignment="1">
      <alignment horizontal="left"/>
    </xf>
    <xf numFmtId="0" fontId="11" fillId="0" borderId="1" xfId="0" applyFont="1" applyBorder="1" applyAlignment="1">
      <alignment horizontal="center" vertical="center" wrapText="1"/>
    </xf>
    <xf numFmtId="0" fontId="11" fillId="0" borderId="0" xfId="0" applyFont="1" applyAlignment="1">
      <alignment vertical="center"/>
    </xf>
    <xf numFmtId="0" fontId="23" fillId="5" borderId="2" xfId="0" applyFont="1" applyFill="1" applyBorder="1" applyAlignment="1">
      <alignment horizontal="center"/>
    </xf>
    <xf numFmtId="0" fontId="10" fillId="0" borderId="8" xfId="0" applyFont="1" applyBorder="1" applyAlignment="1">
      <alignment horizontal="left"/>
    </xf>
    <xf numFmtId="0" fontId="25" fillId="0" borderId="0" xfId="0" applyFont="1"/>
    <xf numFmtId="164" fontId="15" fillId="2" borderId="0" xfId="1" applyNumberFormat="1" applyFont="1" applyFill="1" applyBorder="1" applyAlignment="1">
      <alignment horizontal="center"/>
    </xf>
    <xf numFmtId="0" fontId="15" fillId="7" borderId="9" xfId="0" applyFont="1" applyFill="1" applyBorder="1" applyAlignment="1">
      <alignment vertical="center"/>
    </xf>
    <xf numFmtId="0" fontId="10" fillId="0" borderId="9" xfId="0" applyFont="1" applyBorder="1"/>
    <xf numFmtId="0" fontId="27" fillId="0" borderId="0" xfId="0" applyFont="1"/>
    <xf numFmtId="0" fontId="28" fillId="0" borderId="0" xfId="0" applyFont="1"/>
    <xf numFmtId="0" fontId="29" fillId="0" borderId="0" xfId="0" applyFont="1"/>
    <xf numFmtId="0" fontId="11" fillId="0" borderId="0" xfId="0" applyFont="1" applyAlignment="1">
      <alignment horizontal="center"/>
    </xf>
    <xf numFmtId="0" fontId="31" fillId="0" borderId="0" xfId="0" applyFont="1"/>
    <xf numFmtId="0" fontId="32" fillId="0" borderId="0" xfId="0" applyFont="1"/>
    <xf numFmtId="0" fontId="33" fillId="0" borderId="0" xfId="0" applyFont="1"/>
    <xf numFmtId="0" fontId="28" fillId="0" borderId="0" xfId="0" applyFont="1" applyAlignment="1">
      <alignment horizontal="right"/>
    </xf>
    <xf numFmtId="0" fontId="34" fillId="0" borderId="0" xfId="0" applyFont="1"/>
    <xf numFmtId="0" fontId="9" fillId="0" borderId="0" xfId="0" applyFont="1" applyAlignment="1">
      <alignment vertical="top" wrapText="1"/>
    </xf>
    <xf numFmtId="0" fontId="35" fillId="0" borderId="0" xfId="0" applyFont="1"/>
    <xf numFmtId="0" fontId="15" fillId="0" borderId="1" xfId="0" applyFont="1" applyBorder="1" applyAlignment="1">
      <alignment horizontal="left" vertical="center" wrapText="1"/>
    </xf>
    <xf numFmtId="0" fontId="15" fillId="0" borderId="1" xfId="0" applyFont="1" applyBorder="1" applyAlignment="1">
      <alignment horizontal="center" vertical="center" wrapText="1"/>
    </xf>
    <xf numFmtId="0" fontId="15" fillId="5" borderId="1" xfId="0" applyFont="1" applyFill="1" applyBorder="1" applyAlignment="1">
      <alignment horizontal="center" vertical="center" wrapText="1"/>
    </xf>
    <xf numFmtId="0" fontId="11" fillId="0" borderId="11"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17" fontId="9" fillId="0" borderId="0" xfId="0" applyNumberFormat="1" applyFont="1"/>
    <xf numFmtId="0" fontId="5" fillId="0" borderId="9" xfId="0" applyFont="1" applyBorder="1"/>
    <xf numFmtId="43" fontId="15" fillId="5" borderId="10" xfId="0" applyNumberFormat="1" applyFont="1" applyFill="1" applyBorder="1" applyAlignment="1">
      <alignment horizontal="center" vertical="center"/>
    </xf>
    <xf numFmtId="43" fontId="15" fillId="5" borderId="13" xfId="0" applyNumberFormat="1" applyFont="1" applyFill="1" applyBorder="1" applyAlignment="1">
      <alignment horizontal="center" vertical="center"/>
    </xf>
    <xf numFmtId="0" fontId="5" fillId="0" borderId="0" xfId="0" applyFont="1" applyAlignment="1">
      <alignment horizontal="center"/>
    </xf>
    <xf numFmtId="0" fontId="5" fillId="0" borderId="9" xfId="0" applyFont="1" applyBorder="1" applyAlignment="1">
      <alignment vertical="center"/>
    </xf>
    <xf numFmtId="0" fontId="16" fillId="0" borderId="0" xfId="0" applyFont="1" applyAlignment="1">
      <alignment horizontal="center"/>
    </xf>
    <xf numFmtId="0" fontId="4" fillId="0" borderId="9" xfId="0" applyFont="1" applyBorder="1"/>
    <xf numFmtId="165" fontId="14" fillId="0" borderId="10" xfId="2" applyNumberFormat="1" applyFont="1" applyBorder="1" applyAlignment="1">
      <alignment horizontal="center"/>
    </xf>
    <xf numFmtId="165" fontId="4" fillId="0" borderId="10" xfId="2" quotePrefix="1" applyNumberFormat="1" applyFont="1" applyBorder="1" applyAlignment="1">
      <alignment horizontal="center"/>
    </xf>
    <xf numFmtId="0" fontId="15" fillId="0" borderId="12" xfId="0" applyFont="1" applyBorder="1" applyAlignment="1">
      <alignment horizontal="center" vertical="center" textRotation="90"/>
    </xf>
    <xf numFmtId="164" fontId="14" fillId="0" borderId="0" xfId="1" applyNumberFormat="1" applyFont="1" applyBorder="1" applyAlignment="1">
      <alignment horizontal="center"/>
    </xf>
    <xf numFmtId="164" fontId="14" fillId="2" borderId="12" xfId="1" applyNumberFormat="1" applyFont="1" applyFill="1" applyBorder="1" applyAlignment="1">
      <alignment horizontal="center"/>
    </xf>
    <xf numFmtId="165" fontId="15" fillId="0" borderId="10" xfId="2" applyNumberFormat="1" applyFont="1" applyFill="1" applyBorder="1" applyAlignment="1">
      <alignment horizontal="center"/>
    </xf>
    <xf numFmtId="0" fontId="14" fillId="0" borderId="9" xfId="0" applyFont="1" applyBorder="1" applyAlignment="1">
      <alignment vertical="center"/>
    </xf>
    <xf numFmtId="0" fontId="14"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66" fontId="15" fillId="2" borderId="12" xfId="0" applyNumberFormat="1" applyFont="1" applyFill="1" applyBorder="1"/>
    <xf numFmtId="166" fontId="15" fillId="0" borderId="12" xfId="0" applyNumberFormat="1" applyFont="1" applyFill="1" applyBorder="1"/>
    <xf numFmtId="0" fontId="1" fillId="0" borderId="11" xfId="0" applyFont="1" applyBorder="1"/>
    <xf numFmtId="0" fontId="2" fillId="0" borderId="2" xfId="0" applyFont="1" applyBorder="1" applyAlignment="1">
      <alignment vertical="top" wrapText="1"/>
    </xf>
    <xf numFmtId="0" fontId="15" fillId="0" borderId="2" xfId="0" applyFont="1" applyBorder="1" applyAlignment="1">
      <alignment horizontal="left" vertical="center" wrapText="1"/>
    </xf>
    <xf numFmtId="0" fontId="15" fillId="5" borderId="2" xfId="0" applyFont="1" applyFill="1" applyBorder="1" applyAlignment="1">
      <alignment horizontal="center" vertical="center" wrapText="1"/>
    </xf>
    <xf numFmtId="0" fontId="15" fillId="0" borderId="2" xfId="0" applyFont="1" applyBorder="1" applyAlignment="1">
      <alignment horizontal="center" vertical="center" wrapText="1"/>
    </xf>
    <xf numFmtId="0" fontId="14" fillId="0" borderId="2" xfId="0" applyFont="1" applyBorder="1" applyAlignment="1">
      <alignment horizontal="center" vertical="center" wrapText="1"/>
    </xf>
    <xf numFmtId="2" fontId="15" fillId="5" borderId="2" xfId="0" applyNumberFormat="1" applyFont="1" applyFill="1" applyBorder="1" applyAlignment="1">
      <alignment horizontal="center" vertical="center" wrapText="1"/>
    </xf>
    <xf numFmtId="0" fontId="1" fillId="5" borderId="2" xfId="0" applyFont="1" applyFill="1" applyBorder="1" applyAlignment="1">
      <alignment horizontal="center" vertical="center" wrapText="1"/>
    </xf>
    <xf numFmtId="0" fontId="14" fillId="5" borderId="2" xfId="0" applyFont="1" applyFill="1" applyBorder="1" applyAlignment="1">
      <alignment horizontal="center" vertical="center" wrapText="1"/>
    </xf>
    <xf numFmtId="2" fontId="15" fillId="5" borderId="1" xfId="0" applyNumberFormat="1" applyFont="1" applyFill="1" applyBorder="1" applyAlignment="1">
      <alignment horizontal="center" vertical="center" wrapText="1"/>
    </xf>
    <xf numFmtId="0" fontId="15" fillId="2" borderId="2" xfId="0" applyFont="1" applyFill="1" applyBorder="1" applyAlignment="1">
      <alignment horizontal="center" vertical="center" wrapText="1"/>
    </xf>
    <xf numFmtId="0" fontId="15" fillId="5" borderId="2" xfId="0" applyFont="1" applyFill="1" applyBorder="1" applyAlignment="1">
      <alignment horizontal="center" vertical="center" wrapText="1"/>
    </xf>
    <xf numFmtId="165" fontId="1" fillId="0" borderId="8" xfId="2" applyNumberFormat="1" applyFont="1" applyBorder="1" applyAlignment="1">
      <alignment horizontal="center"/>
    </xf>
    <xf numFmtId="14" fontId="19" fillId="0" borderId="12" xfId="0" applyNumberFormat="1" applyFont="1" applyBorder="1"/>
    <xf numFmtId="171" fontId="15" fillId="2" borderId="12" xfId="0" applyNumberFormat="1" applyFont="1" applyFill="1" applyBorder="1"/>
    <xf numFmtId="170" fontId="15" fillId="2" borderId="0" xfId="1" applyNumberFormat="1" applyFont="1" applyFill="1" applyAlignment="1">
      <alignment vertical="center"/>
    </xf>
    <xf numFmtId="164" fontId="15" fillId="2" borderId="0" xfId="1" applyNumberFormat="1" applyFont="1" applyFill="1" applyAlignment="1">
      <alignment vertical="center"/>
    </xf>
    <xf numFmtId="164" fontId="15" fillId="2" borderId="12" xfId="1" applyNumberFormat="1" applyFont="1" applyFill="1" applyBorder="1" applyAlignment="1">
      <alignment vertical="center"/>
    </xf>
    <xf numFmtId="0" fontId="1" fillId="0" borderId="8" xfId="0" quotePrefix="1" applyFont="1" applyBorder="1" applyAlignment="1">
      <alignment horizontal="center"/>
    </xf>
    <xf numFmtId="3" fontId="16" fillId="5" borderId="0" xfId="0" applyNumberFormat="1" applyFont="1" applyFill="1" applyAlignment="1">
      <alignment horizontal="center"/>
    </xf>
    <xf numFmtId="3" fontId="15" fillId="2" borderId="2" xfId="0" applyNumberFormat="1" applyFont="1" applyFill="1" applyBorder="1" applyAlignment="1">
      <alignment horizontal="center" vertical="center" wrapText="1"/>
    </xf>
    <xf numFmtId="3" fontId="2" fillId="5" borderId="2" xfId="0" applyNumberFormat="1" applyFont="1" applyFill="1" applyBorder="1" applyAlignment="1">
      <alignment horizontal="center" vertical="center"/>
    </xf>
    <xf numFmtId="4" fontId="2" fillId="5" borderId="2" xfId="0" applyNumberFormat="1" applyFont="1" applyFill="1" applyBorder="1" applyAlignment="1">
      <alignment horizontal="center" vertical="center"/>
    </xf>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0" fontId="2" fillId="0" borderId="2" xfId="0" applyFont="1" applyBorder="1" applyAlignment="1">
      <alignment horizontal="center" vertical="center" wrapText="1"/>
    </xf>
    <xf numFmtId="0" fontId="9" fillId="2" borderId="0" xfId="0" applyFont="1" applyFill="1" applyAlignment="1">
      <alignment horizontal="center"/>
    </xf>
    <xf numFmtId="0" fontId="2" fillId="2" borderId="0" xfId="0" applyFont="1" applyFill="1" applyAlignment="1">
      <alignment horizontal="left"/>
    </xf>
    <xf numFmtId="0" fontId="9" fillId="2" borderId="0" xfId="0" applyFont="1" applyFill="1" applyAlignment="1">
      <alignment horizontal="left"/>
    </xf>
    <xf numFmtId="14" fontId="10" fillId="0" borderId="0" xfId="0" applyNumberFormat="1" applyFont="1" applyAlignment="1">
      <alignment horizontal="center"/>
    </xf>
    <xf numFmtId="14" fontId="9" fillId="0" borderId="0" xfId="0" applyNumberFormat="1" applyFont="1"/>
    <xf numFmtId="14" fontId="2" fillId="0" borderId="0" xfId="0" applyNumberFormat="1" applyFont="1"/>
    <xf numFmtId="0" fontId="1" fillId="2" borderId="2" xfId="0" applyFont="1" applyFill="1" applyBorder="1" applyAlignment="1">
      <alignment horizontal="center"/>
    </xf>
    <xf numFmtId="14" fontId="15" fillId="2" borderId="2" xfId="0" applyNumberFormat="1" applyFont="1" applyFill="1" applyBorder="1" applyAlignment="1">
      <alignment horizontal="center"/>
    </xf>
    <xf numFmtId="0" fontId="2" fillId="2" borderId="0" xfId="0" applyFont="1" applyFill="1" applyAlignment="1">
      <alignment horizontal="left"/>
    </xf>
    <xf numFmtId="0" fontId="9" fillId="2" borderId="0" xfId="0" applyFont="1" applyFill="1" applyAlignment="1">
      <alignment horizontal="left"/>
    </xf>
    <xf numFmtId="14" fontId="9" fillId="2" borderId="0" xfId="0" applyNumberFormat="1" applyFont="1" applyFill="1" applyAlignment="1">
      <alignment horizontal="left"/>
    </xf>
    <xf numFmtId="0" fontId="12" fillId="2" borderId="0" xfId="0" applyFont="1" applyFill="1" applyAlignment="1">
      <alignment horizontal="center"/>
    </xf>
    <xf numFmtId="0" fontId="40" fillId="2" borderId="0" xfId="3" applyFill="1" applyAlignment="1">
      <alignment horizontal="left"/>
    </xf>
    <xf numFmtId="0" fontId="27" fillId="0" borderId="0" xfId="0" applyFont="1" applyAlignment="1">
      <alignment horizontal="left" wrapText="1"/>
    </xf>
    <xf numFmtId="0" fontId="2" fillId="2" borderId="0" xfId="0" applyFont="1" applyFill="1" applyAlignment="1">
      <alignment horizontal="center" vertical="center"/>
    </xf>
    <xf numFmtId="0" fontId="9" fillId="2" borderId="0" xfId="0" applyFont="1" applyFill="1" applyAlignment="1">
      <alignment horizontal="center" vertical="center"/>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5" fillId="2" borderId="2" xfId="0" applyFont="1" applyFill="1" applyBorder="1" applyAlignment="1">
      <alignment horizontal="left" vertical="top"/>
    </xf>
    <xf numFmtId="0" fontId="10" fillId="3" borderId="3" xfId="0" applyFont="1" applyFill="1" applyBorder="1" applyAlignment="1">
      <alignment horizontal="left"/>
    </xf>
    <xf numFmtId="0" fontId="10" fillId="3" borderId="4" xfId="0" applyFont="1" applyFill="1" applyBorder="1" applyAlignment="1">
      <alignment horizontal="left"/>
    </xf>
    <xf numFmtId="0" fontId="10" fillId="3" borderId="5" xfId="0" applyFont="1" applyFill="1" applyBorder="1" applyAlignment="1">
      <alignment horizontal="left"/>
    </xf>
    <xf numFmtId="0" fontId="10" fillId="2" borderId="2" xfId="0" applyFont="1" applyFill="1" applyBorder="1" applyAlignment="1">
      <alignment horizontal="left"/>
    </xf>
    <xf numFmtId="0" fontId="14" fillId="0" borderId="2" xfId="0" applyFont="1" applyBorder="1" applyAlignment="1">
      <alignment horizontal="left"/>
    </xf>
    <xf numFmtId="0" fontId="1" fillId="2" borderId="2" xfId="0" applyFont="1" applyFill="1" applyBorder="1" applyAlignment="1">
      <alignment horizontal="left"/>
    </xf>
    <xf numFmtId="0" fontId="15" fillId="2" borderId="2" xfId="0" applyFont="1" applyFill="1" applyBorder="1" applyAlignment="1">
      <alignment horizontal="left"/>
    </xf>
    <xf numFmtId="0" fontId="14" fillId="0" borderId="2" xfId="0" applyFont="1" applyBorder="1" applyAlignment="1">
      <alignment horizontal="left" vertical="top"/>
    </xf>
    <xf numFmtId="0" fontId="10" fillId="3" borderId="2" xfId="0" applyFont="1" applyFill="1" applyBorder="1" applyAlignment="1">
      <alignment horizontal="left"/>
    </xf>
    <xf numFmtId="0" fontId="10"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1" fillId="0" borderId="2" xfId="0" applyFont="1" applyBorder="1" applyAlignment="1">
      <alignment horizontal="left"/>
    </xf>
    <xf numFmtId="0" fontId="1" fillId="2" borderId="6" xfId="0" applyFont="1" applyFill="1" applyBorder="1" applyAlignment="1">
      <alignment horizontal="left" vertical="top" wrapText="1"/>
    </xf>
    <xf numFmtId="0" fontId="15" fillId="2" borderId="7" xfId="0" applyFont="1" applyFill="1" applyBorder="1" applyAlignment="1">
      <alignment horizontal="left" vertical="top" wrapText="1"/>
    </xf>
    <xf numFmtId="0" fontId="15" fillId="2" borderId="8" xfId="0" applyFont="1" applyFill="1" applyBorder="1" applyAlignment="1">
      <alignment horizontal="left" vertical="top" wrapText="1"/>
    </xf>
    <xf numFmtId="0" fontId="15" fillId="2" borderId="9" xfId="0" applyFont="1" applyFill="1" applyBorder="1" applyAlignment="1">
      <alignment horizontal="left" vertical="top" wrapText="1"/>
    </xf>
    <xf numFmtId="0" fontId="15" fillId="2" borderId="0" xfId="0" applyFont="1" applyFill="1" applyAlignment="1">
      <alignment horizontal="left" vertical="top" wrapText="1"/>
    </xf>
    <xf numFmtId="0" fontId="15" fillId="2" borderId="10" xfId="0" applyFont="1" applyFill="1" applyBorder="1" applyAlignment="1">
      <alignment horizontal="left" vertical="top" wrapText="1"/>
    </xf>
    <xf numFmtId="0" fontId="15" fillId="2" borderId="11" xfId="0" applyFont="1" applyFill="1" applyBorder="1" applyAlignment="1">
      <alignment horizontal="left" vertical="top" wrapText="1"/>
    </xf>
    <xf numFmtId="0" fontId="15" fillId="2" borderId="12" xfId="0" applyFont="1" applyFill="1" applyBorder="1" applyAlignment="1">
      <alignment horizontal="left" vertical="top" wrapText="1"/>
    </xf>
    <xf numFmtId="0" fontId="15" fillId="2" borderId="13"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8" xfId="0" applyFont="1" applyFill="1" applyBorder="1" applyAlignment="1">
      <alignment horizontal="left" vertical="top"/>
    </xf>
    <xf numFmtId="0" fontId="15" fillId="2" borderId="9" xfId="0" applyFont="1" applyFill="1" applyBorder="1" applyAlignment="1">
      <alignment horizontal="left" vertical="top"/>
    </xf>
    <xf numFmtId="0" fontId="15" fillId="2" borderId="0" xfId="0" applyFont="1" applyFill="1" applyAlignment="1">
      <alignment horizontal="left" vertical="top"/>
    </xf>
    <xf numFmtId="0" fontId="15" fillId="2" borderId="10" xfId="0" applyFont="1" applyFill="1" applyBorder="1" applyAlignment="1">
      <alignment horizontal="left" vertical="top"/>
    </xf>
    <xf numFmtId="0" fontId="15" fillId="2" borderId="11" xfId="0" applyFont="1" applyFill="1" applyBorder="1" applyAlignment="1">
      <alignment horizontal="left" vertical="top"/>
    </xf>
    <xf numFmtId="0" fontId="15" fillId="2" borderId="12" xfId="0" applyFont="1" applyFill="1" applyBorder="1" applyAlignment="1">
      <alignment horizontal="left" vertical="top"/>
    </xf>
    <xf numFmtId="0" fontId="15" fillId="2" borderId="13" xfId="0" applyFont="1" applyFill="1" applyBorder="1" applyAlignment="1">
      <alignment horizontal="left" vertical="top"/>
    </xf>
    <xf numFmtId="0" fontId="2" fillId="0" borderId="0" xfId="0" applyFont="1" applyAlignment="1">
      <alignment horizontal="left" vertical="top" wrapText="1"/>
    </xf>
    <xf numFmtId="0" fontId="9" fillId="0" borderId="0" xfId="0" applyFont="1" applyAlignment="1">
      <alignment horizontal="left" vertical="top" wrapText="1"/>
    </xf>
    <xf numFmtId="0" fontId="4" fillId="0" borderId="6" xfId="0" applyFont="1" applyBorder="1" applyAlignment="1">
      <alignment horizontal="left" vertical="center" wrapText="1"/>
    </xf>
    <xf numFmtId="0" fontId="4" fillId="0" borderId="9" xfId="0" applyFont="1" applyBorder="1" applyAlignment="1">
      <alignment horizontal="left" vertical="center" wrapText="1"/>
    </xf>
    <xf numFmtId="0" fontId="16" fillId="0" borderId="0" xfId="0" applyFont="1" applyAlignment="1">
      <alignment horizontal="left" wrapText="1"/>
    </xf>
    <xf numFmtId="0" fontId="16" fillId="0" borderId="0" xfId="0" applyFont="1" applyAlignment="1">
      <alignment horizontal="left" vertical="top" wrapText="1"/>
    </xf>
    <xf numFmtId="0" fontId="15" fillId="0" borderId="7" xfId="0" applyFont="1" applyBorder="1" applyAlignment="1">
      <alignment horizontal="center" vertical="center" textRotation="90"/>
    </xf>
    <xf numFmtId="0" fontId="15" fillId="0" borderId="0" xfId="0" applyFont="1" applyAlignment="1">
      <alignment horizontal="center" vertical="center" textRotation="90"/>
    </xf>
    <xf numFmtId="0" fontId="15" fillId="0" borderId="12" xfId="0" applyFont="1" applyBorder="1" applyAlignment="1">
      <alignment horizontal="center" vertical="center" textRotation="90"/>
    </xf>
    <xf numFmtId="164" fontId="10" fillId="2" borderId="7" xfId="1" applyNumberFormat="1" applyFont="1" applyFill="1" applyBorder="1"/>
    <xf numFmtId="0" fontId="5" fillId="0" borderId="0" xfId="0" applyFont="1" applyAlignment="1">
      <alignment horizontal="center" textRotation="90"/>
    </xf>
    <xf numFmtId="0" fontId="15" fillId="0" borderId="0" xfId="0" applyFont="1" applyAlignment="1">
      <alignment horizontal="center" textRotation="90"/>
    </xf>
    <xf numFmtId="0" fontId="15" fillId="0" borderId="2" xfId="0" applyFont="1" applyBorder="1" applyAlignment="1">
      <alignment horizontal="left" vertical="center" wrapText="1"/>
    </xf>
    <xf numFmtId="0" fontId="11" fillId="0" borderId="2" xfId="0" applyFont="1" applyBorder="1" applyAlignment="1">
      <alignment horizontal="left" vertical="top" wrapText="1"/>
    </xf>
    <xf numFmtId="0" fontId="10" fillId="2" borderId="2" xfId="0" applyFont="1" applyFill="1" applyBorder="1" applyAlignment="1">
      <alignment horizontal="left" vertical="top" wrapText="1"/>
    </xf>
    <xf numFmtId="0" fontId="18" fillId="4" borderId="2" xfId="0" applyFont="1" applyFill="1" applyBorder="1" applyAlignment="1">
      <alignment horizontal="left"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0" fontId="15" fillId="0" borderId="5" xfId="0" applyFont="1" applyBorder="1" applyAlignment="1">
      <alignment horizontal="left" vertical="center" wrapText="1"/>
    </xf>
    <xf numFmtId="3" fontId="15" fillId="0" borderId="3" xfId="0" applyNumberFormat="1" applyFont="1" applyBorder="1" applyAlignment="1">
      <alignment horizontal="center" vertical="center" wrapText="1"/>
    </xf>
    <xf numFmtId="3" fontId="15" fillId="0" borderId="5" xfId="0" applyNumberFormat="1" applyFont="1" applyBorder="1" applyAlignment="1">
      <alignment horizontal="center" vertical="center" wrapText="1"/>
    </xf>
    <xf numFmtId="4" fontId="15" fillId="0" borderId="3" xfId="0" applyNumberFormat="1" applyFont="1" applyBorder="1" applyAlignment="1">
      <alignment horizontal="center" vertical="center" wrapText="1"/>
    </xf>
    <xf numFmtId="4" fontId="15" fillId="0" borderId="5" xfId="0" applyNumberFormat="1" applyFont="1" applyBorder="1" applyAlignment="1">
      <alignment horizontal="center" vertical="center" wrapText="1"/>
    </xf>
    <xf numFmtId="0" fontId="15" fillId="2" borderId="3"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5" fillId="2" borderId="3" xfId="0" applyFont="1" applyFill="1" applyBorder="1" applyAlignment="1">
      <alignment horizontal="center" vertical="center" wrapText="1"/>
    </xf>
    <xf numFmtId="0" fontId="15" fillId="2" borderId="5" xfId="0" applyFont="1" applyFill="1" applyBorder="1" applyAlignment="1">
      <alignment horizontal="center" vertical="center" wrapText="1"/>
    </xf>
    <xf numFmtId="4" fontId="15" fillId="2" borderId="3" xfId="0" applyNumberFormat="1" applyFont="1" applyFill="1" applyBorder="1" applyAlignment="1">
      <alignment horizontal="center" vertical="center" wrapText="1"/>
    </xf>
    <xf numFmtId="4" fontId="15" fillId="2" borderId="5" xfId="0" applyNumberFormat="1" applyFont="1" applyFill="1" applyBorder="1" applyAlignment="1">
      <alignment horizontal="center" vertical="center" wrapText="1"/>
    </xf>
    <xf numFmtId="0" fontId="18" fillId="4" borderId="9" xfId="0" applyFont="1" applyFill="1" applyBorder="1" applyAlignment="1">
      <alignment horizontal="center" vertical="center" wrapText="1"/>
    </xf>
    <xf numFmtId="0" fontId="18" fillId="4" borderId="0" xfId="0" applyFont="1" applyFill="1" applyAlignment="1">
      <alignment horizontal="center" vertical="center" wrapText="1"/>
    </xf>
    <xf numFmtId="0" fontId="18" fillId="4" borderId="10" xfId="0" applyFont="1" applyFill="1" applyBorder="1" applyAlignment="1">
      <alignment horizontal="center" vertical="center" wrapText="1"/>
    </xf>
    <xf numFmtId="0" fontId="18" fillId="4" borderId="6" xfId="0" applyFont="1" applyFill="1" applyBorder="1" applyAlignment="1">
      <alignment horizontal="center" vertical="center" wrapText="1"/>
    </xf>
    <xf numFmtId="0" fontId="18" fillId="4" borderId="8" xfId="0" applyFont="1" applyFill="1" applyBorder="1" applyAlignment="1">
      <alignment horizontal="center" vertical="center" wrapText="1"/>
    </xf>
    <xf numFmtId="0" fontId="14" fillId="0" borderId="2" xfId="0" applyFont="1" applyBorder="1" applyAlignment="1">
      <alignment vertical="center" wrapText="1"/>
    </xf>
    <xf numFmtId="168" fontId="14" fillId="0" borderId="2" xfId="0" applyNumberFormat="1" applyFont="1" applyBorder="1" applyAlignment="1">
      <alignment horizontal="center" vertical="center" wrapText="1"/>
    </xf>
    <xf numFmtId="165" fontId="15" fillId="0" borderId="2" xfId="2" applyNumberFormat="1" applyFont="1" applyBorder="1" applyAlignment="1">
      <alignment horizontal="center" vertical="center" wrapText="1"/>
    </xf>
    <xf numFmtId="0" fontId="15" fillId="2" borderId="2" xfId="0" applyFont="1" applyFill="1" applyBorder="1" applyAlignment="1">
      <alignment vertical="center" wrapText="1"/>
    </xf>
    <xf numFmtId="0" fontId="15" fillId="2" borderId="2" xfId="0" applyFont="1" applyFill="1" applyBorder="1" applyAlignment="1">
      <alignment horizontal="center" vertical="center" wrapText="1"/>
    </xf>
    <xf numFmtId="168" fontId="15" fillId="2" borderId="1" xfId="0" applyNumberFormat="1" applyFont="1" applyFill="1" applyBorder="1" applyAlignment="1">
      <alignment horizontal="center" vertical="center" wrapText="1"/>
    </xf>
    <xf numFmtId="165" fontId="15" fillId="0" borderId="1" xfId="2" applyNumberFormat="1" applyFont="1" applyBorder="1" applyAlignment="1">
      <alignment horizontal="center" vertical="center" wrapText="1"/>
    </xf>
    <xf numFmtId="0" fontId="15" fillId="0" borderId="2" xfId="0" applyFont="1" applyBorder="1" applyAlignment="1">
      <alignment vertical="center" wrapText="1"/>
    </xf>
    <xf numFmtId="168" fontId="15" fillId="0" borderId="1" xfId="0" applyNumberFormat="1" applyFont="1" applyBorder="1" applyAlignment="1">
      <alignment horizontal="center" vertical="center" wrapText="1"/>
    </xf>
    <xf numFmtId="0" fontId="1" fillId="2" borderId="2" xfId="0" applyFont="1" applyFill="1" applyBorder="1" applyAlignment="1">
      <alignment vertical="center" wrapText="1"/>
    </xf>
    <xf numFmtId="0" fontId="1" fillId="2" borderId="2" xfId="0" applyFont="1" applyFill="1" applyBorder="1" applyAlignment="1">
      <alignment horizontal="center" vertical="center" wrapText="1"/>
    </xf>
    <xf numFmtId="4" fontId="15" fillId="0" borderId="4" xfId="0" applyNumberFormat="1" applyFont="1" applyBorder="1" applyAlignment="1">
      <alignment horizontal="center" vertical="center" wrapText="1"/>
    </xf>
    <xf numFmtId="0" fontId="15" fillId="0" borderId="4"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14" xfId="0" applyFont="1" applyBorder="1" applyAlignment="1">
      <alignment vertical="center" wrapText="1"/>
    </xf>
    <xf numFmtId="0" fontId="15" fillId="2" borderId="2" xfId="0" applyFont="1" applyFill="1" applyBorder="1" applyAlignment="1">
      <alignment horizontal="left" vertical="center" wrapText="1"/>
    </xf>
    <xf numFmtId="0" fontId="15" fillId="0" borderId="1" xfId="0" applyFont="1" applyBorder="1" applyAlignment="1">
      <alignment vertical="center" wrapText="1"/>
    </xf>
    <xf numFmtId="0" fontId="10" fillId="0" borderId="0" xfId="0" applyFont="1" applyAlignment="1">
      <alignment horizontal="left"/>
    </xf>
    <xf numFmtId="0" fontId="10" fillId="0" borderId="0" xfId="0" applyFont="1" applyAlignment="1">
      <alignment horizontal="left" vertical="top"/>
    </xf>
    <xf numFmtId="167" fontId="10" fillId="2" borderId="0" xfId="0" applyNumberFormat="1" applyFont="1" applyFill="1" applyAlignment="1">
      <alignment horizontal="center" vertical="top"/>
    </xf>
    <xf numFmtId="0" fontId="18" fillId="4" borderId="2" xfId="0" applyFont="1" applyFill="1" applyBorder="1" applyAlignment="1">
      <alignment horizontal="center" vertical="center" wrapText="1"/>
    </xf>
    <xf numFmtId="0" fontId="1" fillId="2" borderId="2" xfId="0" applyFont="1" applyFill="1" applyBorder="1" applyAlignment="1">
      <alignment horizontal="left" vertical="top" wrapText="1"/>
    </xf>
    <xf numFmtId="0" fontId="15" fillId="2" borderId="2" xfId="0" applyFont="1" applyFill="1" applyBorder="1" applyAlignment="1">
      <alignment horizontal="left" vertical="top" wrapText="1"/>
    </xf>
    <xf numFmtId="3" fontId="15" fillId="0" borderId="2" xfId="0" applyNumberFormat="1" applyFont="1" applyBorder="1" applyAlignment="1">
      <alignment horizontal="center" vertical="center" wrapText="1"/>
    </xf>
    <xf numFmtId="1" fontId="15" fillId="0" borderId="2" xfId="0" applyNumberFormat="1" applyFont="1" applyBorder="1" applyAlignment="1">
      <alignment horizontal="center" vertical="center"/>
    </xf>
    <xf numFmtId="4" fontId="15" fillId="0" borderId="2" xfId="0" applyNumberFormat="1" applyFont="1" applyBorder="1" applyAlignment="1">
      <alignment horizontal="center" vertical="center"/>
    </xf>
    <xf numFmtId="3" fontId="15" fillId="5" borderId="2" xfId="0" applyNumberFormat="1" applyFont="1" applyFill="1" applyBorder="1" applyAlignment="1">
      <alignment horizontal="center" vertical="center" wrapText="1"/>
    </xf>
    <xf numFmtId="167" fontId="10" fillId="0" borderId="0" xfId="0" applyNumberFormat="1" applyFont="1" applyAlignment="1">
      <alignment horizontal="center" vertical="top"/>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Alignment="1">
      <alignment horizontal="center" vertical="center"/>
    </xf>
    <xf numFmtId="0" fontId="15" fillId="2" borderId="3" xfId="0" applyFont="1" applyFill="1" applyBorder="1" applyAlignment="1">
      <alignment horizontal="left"/>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3" fillId="2" borderId="2" xfId="0" applyFont="1" applyFill="1" applyBorder="1" applyAlignment="1">
      <alignment horizontal="center" vertical="center"/>
    </xf>
    <xf numFmtId="0" fontId="15" fillId="2" borderId="2" xfId="0" applyFont="1" applyFill="1" applyBorder="1" applyAlignment="1">
      <alignment horizontal="center" vertical="center"/>
    </xf>
    <xf numFmtId="0" fontId="1" fillId="2" borderId="2" xfId="0" applyFont="1" applyFill="1" applyBorder="1" applyAlignment="1">
      <alignment horizontal="center" vertical="center"/>
    </xf>
    <xf numFmtId="10" fontId="3" fillId="2" borderId="2" xfId="0" applyNumberFormat="1" applyFont="1" applyFill="1" applyBorder="1" applyAlignment="1">
      <alignment horizontal="center" vertical="center"/>
    </xf>
    <xf numFmtId="10" fontId="15" fillId="2" borderId="2" xfId="0" applyNumberFormat="1" applyFont="1" applyFill="1" applyBorder="1" applyAlignment="1">
      <alignment horizontal="center" vertical="center"/>
    </xf>
    <xf numFmtId="0" fontId="10" fillId="7" borderId="3" xfId="0" applyFont="1" applyFill="1" applyBorder="1" applyAlignment="1">
      <alignment horizontal="center"/>
    </xf>
    <xf numFmtId="0" fontId="10" fillId="7" borderId="5" xfId="0" applyFont="1" applyFill="1" applyBorder="1" applyAlignment="1">
      <alignment horizontal="center"/>
    </xf>
    <xf numFmtId="0" fontId="11" fillId="0" borderId="2" xfId="0" applyFont="1" applyBorder="1" applyAlignment="1">
      <alignment horizontal="left" vertical="center" wrapText="1"/>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1" fillId="3" borderId="2" xfId="0" applyFont="1" applyFill="1" applyBorder="1" applyAlignment="1">
      <alignment horizontal="center" vertical="center"/>
    </xf>
    <xf numFmtId="0" fontId="6" fillId="0" borderId="0" xfId="0" applyFont="1" applyAlignment="1">
      <alignment horizontal="left" vertical="top" wrapText="1"/>
    </xf>
    <xf numFmtId="0" fontId="14" fillId="0" borderId="7" xfId="0" applyFont="1" applyBorder="1" applyAlignment="1">
      <alignment horizontal="center" wrapText="1"/>
    </xf>
    <xf numFmtId="169" fontId="3" fillId="2" borderId="2" xfId="0" applyNumberFormat="1" applyFont="1" applyFill="1" applyBorder="1" applyAlignment="1">
      <alignment horizontal="center" vertical="center"/>
    </xf>
    <xf numFmtId="169" fontId="15" fillId="2" borderId="2" xfId="0" applyNumberFormat="1" applyFont="1" applyFill="1" applyBorder="1" applyAlignment="1">
      <alignment horizontal="center" vertical="center"/>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0" borderId="5" xfId="0" applyFont="1" applyBorder="1" applyAlignment="1">
      <alignment horizontal="left" vertical="center" wrapText="1"/>
    </xf>
    <xf numFmtId="0" fontId="15" fillId="2" borderId="6"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xf>
    <xf numFmtId="0" fontId="15" fillId="2" borderId="9" xfId="0" applyFont="1" applyFill="1" applyBorder="1" applyAlignment="1">
      <alignment horizontal="left"/>
    </xf>
    <xf numFmtId="0" fontId="15" fillId="2" borderId="0" xfId="0" applyFont="1" applyFill="1" applyAlignment="1">
      <alignment horizontal="left"/>
    </xf>
    <xf numFmtId="0" fontId="15" fillId="2" borderId="10" xfId="0" applyFont="1" applyFill="1" applyBorder="1" applyAlignment="1">
      <alignment horizontal="left"/>
    </xf>
    <xf numFmtId="0" fontId="15" fillId="2" borderId="11" xfId="0" applyFont="1" applyFill="1" applyBorder="1" applyAlignment="1">
      <alignment horizontal="left"/>
    </xf>
    <xf numFmtId="0" fontId="15" fillId="2" borderId="12" xfId="0" applyFont="1" applyFill="1" applyBorder="1" applyAlignment="1">
      <alignment horizontal="left"/>
    </xf>
    <xf numFmtId="0" fontId="15" fillId="2" borderId="13" xfId="0" applyFont="1" applyFill="1" applyBorder="1" applyAlignment="1">
      <alignment horizontal="left"/>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1" fillId="0" borderId="5" xfId="0" applyFont="1" applyBorder="1" applyAlignment="1">
      <alignment horizontal="left" vertical="center"/>
    </xf>
    <xf numFmtId="0" fontId="15" fillId="2" borderId="6" xfId="0" applyFont="1" applyFill="1" applyBorder="1" applyAlignment="1">
      <alignment horizontal="left" vertical="top"/>
    </xf>
    <xf numFmtId="0" fontId="1" fillId="2" borderId="6" xfId="0" applyFont="1" applyFill="1" applyBorder="1" applyAlignment="1">
      <alignment horizontal="left" vertical="top"/>
    </xf>
    <xf numFmtId="17" fontId="15" fillId="2" borderId="6" xfId="0" applyNumberFormat="1" applyFont="1" applyFill="1" applyBorder="1" applyAlignment="1">
      <alignment horizontal="left" vertical="top"/>
    </xf>
    <xf numFmtId="0" fontId="8" fillId="0" borderId="2" xfId="0" applyFont="1" applyBorder="1" applyAlignment="1">
      <alignment vertical="top" wrapText="1"/>
    </xf>
    <xf numFmtId="0" fontId="0" fillId="0" borderId="2" xfId="0" applyBorder="1" applyAlignment="1">
      <alignment vertical="top"/>
    </xf>
    <xf numFmtId="0" fontId="46" fillId="0" borderId="3" xfId="0" applyFont="1" applyBorder="1" applyAlignment="1">
      <alignment vertical="top" wrapText="1"/>
    </xf>
    <xf numFmtId="0" fontId="48" fillId="0" borderId="5" xfId="0" applyFont="1" applyBorder="1" applyAlignment="1">
      <alignment vertical="top" wrapText="1"/>
    </xf>
    <xf numFmtId="0" fontId="2" fillId="0" borderId="2" xfId="0" applyFont="1" applyBorder="1" applyAlignment="1">
      <alignment vertical="top" wrapText="1"/>
    </xf>
    <xf numFmtId="0" fontId="43" fillId="0" borderId="2" xfId="0" applyFont="1" applyBorder="1" applyAlignment="1">
      <alignment vertical="top" wrapText="1"/>
    </xf>
    <xf numFmtId="0" fontId="45" fillId="0" borderId="2" xfId="0" applyFont="1" applyBorder="1" applyAlignment="1">
      <alignment vertical="top" wrapText="1"/>
    </xf>
    <xf numFmtId="0" fontId="0" fillId="0" borderId="0" xfId="0" applyAlignment="1">
      <alignment wrapText="1"/>
    </xf>
    <xf numFmtId="0" fontId="2" fillId="0" borderId="0" xfId="0" applyFont="1" applyAlignment="1">
      <alignment vertical="top" wrapText="1"/>
    </xf>
    <xf numFmtId="0" fontId="46" fillId="0" borderId="2" xfId="0" applyFont="1" applyBorder="1" applyAlignment="1">
      <alignment horizontal="center" vertical="center" wrapText="1"/>
    </xf>
    <xf numFmtId="0" fontId="48" fillId="0" borderId="2" xfId="0" applyFont="1" applyBorder="1" applyAlignment="1">
      <alignment horizontal="center" vertical="center" wrapText="1"/>
    </xf>
    <xf numFmtId="0" fontId="10" fillId="2" borderId="2" xfId="0" applyFont="1" applyFill="1" applyBorder="1" applyAlignment="1">
      <alignment horizontal="left" vertical="top"/>
    </xf>
    <xf numFmtId="0" fontId="15" fillId="5" borderId="2" xfId="0" applyFont="1" applyFill="1" applyBorder="1" applyAlignment="1">
      <alignment horizontal="center" vertical="center" wrapText="1"/>
    </xf>
    <xf numFmtId="0" fontId="14" fillId="3" borderId="2" xfId="0" applyFont="1" applyFill="1" applyBorder="1" applyAlignment="1">
      <alignment horizontal="left" vertical="center" wrapText="1"/>
    </xf>
    <xf numFmtId="0" fontId="5" fillId="0" borderId="2" xfId="0" applyFont="1" applyBorder="1" applyAlignment="1">
      <alignment horizontal="left" vertical="center" wrapText="1"/>
    </xf>
    <xf numFmtId="0" fontId="3" fillId="0" borderId="2" xfId="0" applyFont="1" applyBorder="1" applyAlignment="1">
      <alignment horizontal="left" vertical="center" wrapText="1"/>
    </xf>
    <xf numFmtId="0" fontId="1" fillId="5" borderId="2" xfId="0" applyFont="1" applyFill="1" applyBorder="1" applyAlignment="1">
      <alignment horizontal="center"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22" fillId="0" borderId="2" xfId="0" applyFont="1" applyBorder="1" applyAlignment="1">
      <alignment horizontal="left" vertical="center" wrapText="1"/>
    </xf>
    <xf numFmtId="0" fontId="15" fillId="2" borderId="6" xfId="0" applyFont="1" applyFill="1" applyBorder="1" applyAlignment="1">
      <alignment horizontal="left" vertical="top" wrapText="1"/>
    </xf>
    <xf numFmtId="0" fontId="15" fillId="5" borderId="2" xfId="0" applyFont="1" applyFill="1" applyBorder="1" applyAlignment="1">
      <alignment horizontal="left" vertical="center" wrapText="1"/>
    </xf>
    <xf numFmtId="0" fontId="15" fillId="5" borderId="3" xfId="0" applyFont="1" applyFill="1" applyBorder="1" applyAlignment="1">
      <alignment horizontal="left" vertical="center" wrapText="1"/>
    </xf>
    <xf numFmtId="0" fontId="15" fillId="5" borderId="5" xfId="0" applyFont="1" applyFill="1" applyBorder="1" applyAlignment="1">
      <alignment horizontal="left" vertical="center" wrapText="1"/>
    </xf>
    <xf numFmtId="0" fontId="15" fillId="5" borderId="6" xfId="0" applyFont="1" applyFill="1" applyBorder="1" applyAlignment="1">
      <alignment horizontal="left" vertical="center" wrapText="1"/>
    </xf>
    <xf numFmtId="0" fontId="15" fillId="5" borderId="7" xfId="0" applyFont="1" applyFill="1" applyBorder="1" applyAlignment="1">
      <alignment horizontal="left" vertical="center" wrapText="1"/>
    </xf>
    <xf numFmtId="0" fontId="15"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5" fillId="5" borderId="4" xfId="0" applyFont="1" applyFill="1" applyBorder="1" applyAlignment="1">
      <alignment horizontal="left"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4" fillId="0" borderId="6" xfId="0" applyFont="1" applyBorder="1" applyAlignment="1">
      <alignment horizontal="left" vertical="center"/>
    </xf>
    <xf numFmtId="0" fontId="14" fillId="0" borderId="7" xfId="0" applyFont="1" applyBorder="1" applyAlignment="1">
      <alignment horizontal="left" vertical="center"/>
    </xf>
    <xf numFmtId="0" fontId="14" fillId="0" borderId="8" xfId="0" applyFont="1" applyBorder="1" applyAlignment="1">
      <alignment horizontal="left"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14" fontId="15" fillId="2" borderId="6" xfId="0" applyNumberFormat="1" applyFont="1" applyFill="1" applyBorder="1" applyAlignment="1">
      <alignment horizontal="center" vertical="center" wrapText="1"/>
    </xf>
    <xf numFmtId="0" fontId="15" fillId="2" borderId="8" xfId="0" applyFont="1" applyFill="1" applyBorder="1" applyAlignment="1">
      <alignment horizontal="center" vertical="center" wrapText="1"/>
    </xf>
    <xf numFmtId="0" fontId="15" fillId="2" borderId="11" xfId="0" applyFont="1" applyFill="1" applyBorder="1" applyAlignment="1">
      <alignment horizontal="center" vertical="center" wrapText="1"/>
    </xf>
    <xf numFmtId="0" fontId="15" fillId="2" borderId="13" xfId="0" applyFont="1" applyFill="1" applyBorder="1" applyAlignment="1">
      <alignment horizontal="center" vertical="center" wrapText="1"/>
    </xf>
    <xf numFmtId="0" fontId="1" fillId="2" borderId="6"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8" xfId="0" applyFont="1" applyFill="1" applyBorder="1" applyAlignment="1">
      <alignment horizontal="center" vertical="center"/>
    </xf>
    <xf numFmtId="0" fontId="15" fillId="2" borderId="11" xfId="0" applyFont="1" applyFill="1" applyBorder="1" applyAlignment="1">
      <alignment horizontal="center" vertical="center"/>
    </xf>
    <xf numFmtId="0" fontId="15" fillId="2" borderId="12" xfId="0" applyFont="1" applyFill="1" applyBorder="1" applyAlignment="1">
      <alignment horizontal="center" vertical="center"/>
    </xf>
    <xf numFmtId="0" fontId="15" fillId="2" borderId="13" xfId="0" applyFont="1" applyFill="1" applyBorder="1" applyAlignment="1">
      <alignment horizontal="center" vertical="center"/>
    </xf>
    <xf numFmtId="0" fontId="15" fillId="0" borderId="2" xfId="0" applyFont="1" applyBorder="1" applyAlignment="1">
      <alignment horizontal="center" vertical="center" wrapText="1"/>
    </xf>
    <xf numFmtId="0" fontId="14" fillId="0" borderId="6" xfId="0" applyFont="1" applyBorder="1" applyAlignment="1">
      <alignment horizontal="left" vertical="center" wrapText="1"/>
    </xf>
    <xf numFmtId="0" fontId="14" fillId="0" borderId="8" xfId="0" applyFont="1" applyBorder="1" applyAlignment="1">
      <alignment horizontal="left" vertical="center" wrapText="1"/>
    </xf>
    <xf numFmtId="0" fontId="14" fillId="0" borderId="9" xfId="0" applyFont="1" applyBorder="1" applyAlignment="1">
      <alignment horizontal="left" vertical="center" wrapText="1"/>
    </xf>
    <xf numFmtId="0" fontId="14" fillId="0" borderId="10" xfId="0" applyFont="1" applyBorder="1" applyAlignment="1">
      <alignment horizontal="left" vertical="center" wrapText="1"/>
    </xf>
    <xf numFmtId="0" fontId="22" fillId="0" borderId="3" xfId="0" applyFont="1" applyBorder="1" applyAlignment="1">
      <alignment horizontal="center" vertical="center" wrapText="1"/>
    </xf>
    <xf numFmtId="0" fontId="22" fillId="0" borderId="4" xfId="0" applyFont="1" applyBorder="1" applyAlignment="1">
      <alignment horizontal="center" vertical="center" wrapText="1"/>
    </xf>
    <xf numFmtId="0" fontId="22"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5" xfId="0" applyFont="1" applyBorder="1" applyAlignment="1">
      <alignment horizontal="center" vertical="center" wrapText="1"/>
    </xf>
    <xf numFmtId="0" fontId="28" fillId="0" borderId="0" xfId="0" applyFont="1" applyAlignment="1">
      <alignment horizontal="left" vertical="top" wrapText="1"/>
    </xf>
    <xf numFmtId="0" fontId="16" fillId="0" borderId="6" xfId="0" applyFont="1" applyBorder="1" applyAlignment="1">
      <alignment horizontal="right" vertical="top" wrapText="1"/>
    </xf>
    <xf numFmtId="0" fontId="16" fillId="0" borderId="7" xfId="0" applyFont="1" applyBorder="1" applyAlignment="1">
      <alignment horizontal="right" vertical="top" wrapText="1"/>
    </xf>
    <xf numFmtId="0" fontId="16" fillId="0" borderId="8" xfId="0" applyFont="1" applyBorder="1" applyAlignment="1">
      <alignment horizontal="right" vertical="top" wrapText="1"/>
    </xf>
    <xf numFmtId="0" fontId="10" fillId="2" borderId="14" xfId="0" applyFont="1" applyFill="1" applyBorder="1" applyAlignment="1">
      <alignment horizontal="left" vertical="top" wrapText="1"/>
    </xf>
    <xf numFmtId="0" fontId="14" fillId="0" borderId="2" xfId="0" applyFont="1" applyBorder="1" applyAlignment="1">
      <alignment horizontal="left" vertical="center" wrapText="1"/>
    </xf>
    <xf numFmtId="0" fontId="14" fillId="0" borderId="14" xfId="0" applyFont="1" applyBorder="1" applyAlignment="1">
      <alignment horizontal="center" vertical="center" wrapText="1"/>
    </xf>
    <xf numFmtId="0" fontId="14" fillId="0" borderId="5" xfId="0" applyFont="1" applyBorder="1" applyAlignment="1">
      <alignment horizontal="center" vertical="center" wrapText="1"/>
    </xf>
    <xf numFmtId="0" fontId="10" fillId="0" borderId="0" xfId="0" applyFont="1" applyAlignment="1">
      <alignment horizontal="left" wrapText="1"/>
    </xf>
    <xf numFmtId="0" fontId="10" fillId="0" borderId="2" xfId="0" applyFont="1" applyBorder="1" applyAlignment="1">
      <alignment horizontal="center" vertical="center"/>
    </xf>
    <xf numFmtId="0" fontId="11" fillId="0" borderId="12" xfId="0" applyFont="1" applyBorder="1" applyAlignment="1">
      <alignment horizontal="center"/>
    </xf>
    <xf numFmtId="0" fontId="11" fillId="0" borderId="2" xfId="0" applyFont="1" applyBorder="1" applyAlignment="1">
      <alignment horizontal="center"/>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472537565433414"/>
          <c:y val="2.0588461387378344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1.6500000000000001</c:v>
                </c:pt>
                <c:pt idx="1">
                  <c:v>1.5</c:v>
                </c:pt>
                <c:pt idx="2">
                  <c:v>1.4</c:v>
                </c:pt>
                <c:pt idx="3">
                  <c:v>1.75</c:v>
                </c:pt>
                <c:pt idx="4">
                  <c:v>0.75</c:v>
                </c:pt>
                <c:pt idx="5">
                  <c:v>0.70000000000000007</c:v>
                </c:pt>
                <c:pt idx="6">
                  <c:v>0.5</c:v>
                </c:pt>
                <c:pt idx="7">
                  <c:v>1.65</c:v>
                </c:pt>
                <c:pt idx="8">
                  <c:v>3.25</c:v>
                </c:pt>
                <c:pt idx="9">
                  <c:v>2.35</c:v>
                </c:pt>
                <c:pt idx="10">
                  <c:v>2.1</c:v>
                </c:pt>
                <c:pt idx="11">
                  <c:v>2.1</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10.85</c:v>
                </c:pt>
                <c:pt idx="1">
                  <c:v>10.75</c:v>
                </c:pt>
                <c:pt idx="2">
                  <c:v>3.45</c:v>
                </c:pt>
                <c:pt idx="3">
                  <c:v>6.95</c:v>
                </c:pt>
                <c:pt idx="4">
                  <c:v>2.5</c:v>
                </c:pt>
                <c:pt idx="5">
                  <c:v>3</c:v>
                </c:pt>
                <c:pt idx="6">
                  <c:v>16.05</c:v>
                </c:pt>
                <c:pt idx="7">
                  <c:v>7.35</c:v>
                </c:pt>
                <c:pt idx="8">
                  <c:v>10.55</c:v>
                </c:pt>
                <c:pt idx="9">
                  <c:v>6.3</c:v>
                </c:pt>
                <c:pt idx="10">
                  <c:v>5.35</c:v>
                </c:pt>
                <c:pt idx="11">
                  <c:v>7.45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1.6500000000000001</c:v>
                </c:pt>
                <c:pt idx="1">
                  <c:v>1.5</c:v>
                </c:pt>
                <c:pt idx="2">
                  <c:v>1.4</c:v>
                </c:pt>
                <c:pt idx="3">
                  <c:v>1.75</c:v>
                </c:pt>
                <c:pt idx="4">
                  <c:v>0.75</c:v>
                </c:pt>
                <c:pt idx="5">
                  <c:v>0.70000000000000007</c:v>
                </c:pt>
                <c:pt idx="6">
                  <c:v>0.5</c:v>
                </c:pt>
                <c:pt idx="7">
                  <c:v>1.65</c:v>
                </c:pt>
                <c:pt idx="8">
                  <c:v>3.25</c:v>
                </c:pt>
                <c:pt idx="9">
                  <c:v>2.35</c:v>
                </c:pt>
                <c:pt idx="10">
                  <c:v>2.1</c:v>
                </c:pt>
                <c:pt idx="11">
                  <c:v>2.1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2.95</c:v>
                </c:pt>
                <c:pt idx="1">
                  <c:v>1.7</c:v>
                </c:pt>
                <c:pt idx="2">
                  <c:v>1.75</c:v>
                </c:pt>
                <c:pt idx="3">
                  <c:v>3.55</c:v>
                </c:pt>
                <c:pt idx="4">
                  <c:v>1</c:v>
                </c:pt>
                <c:pt idx="5">
                  <c:v>1.05</c:v>
                </c:pt>
                <c:pt idx="6">
                  <c:v>1.05</c:v>
                </c:pt>
                <c:pt idx="7">
                  <c:v>5.0999999999999996</c:v>
                </c:pt>
                <c:pt idx="8">
                  <c:v>6.3</c:v>
                </c:pt>
                <c:pt idx="9">
                  <c:v>3.7</c:v>
                </c:pt>
                <c:pt idx="10">
                  <c:v>3.1</c:v>
                </c:pt>
                <c:pt idx="11">
                  <c:v>3.7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11</c:v>
                </c:pt>
                <c:pt idx="1">
                  <c:v>12.5</c:v>
                </c:pt>
                <c:pt idx="2">
                  <c:v>13</c:v>
                </c:pt>
                <c:pt idx="3">
                  <c:v>10.5</c:v>
                </c:pt>
                <c:pt idx="4">
                  <c:v>10</c:v>
                </c:pt>
                <c:pt idx="5">
                  <c:v>10.5</c:v>
                </c:pt>
                <c:pt idx="6">
                  <c:v>8.5</c:v>
                </c:pt>
                <c:pt idx="7">
                  <c:v>12</c:v>
                </c:pt>
                <c:pt idx="8">
                  <c:v>8</c:v>
                </c:pt>
                <c:pt idx="9">
                  <c:v>8</c:v>
                </c:pt>
                <c:pt idx="10">
                  <c:v>8</c:v>
                </c:pt>
                <c:pt idx="11">
                  <c:v>9</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195.5</c:v>
                </c:pt>
                <c:pt idx="1">
                  <c:v>126</c:v>
                </c:pt>
                <c:pt idx="2">
                  <c:v>77</c:v>
                </c:pt>
                <c:pt idx="3">
                  <c:v>61.5</c:v>
                </c:pt>
                <c:pt idx="4">
                  <c:v>56.5</c:v>
                </c:pt>
                <c:pt idx="5">
                  <c:v>65.5</c:v>
                </c:pt>
                <c:pt idx="6">
                  <c:v>89</c:v>
                </c:pt>
                <c:pt idx="7">
                  <c:v>79.5</c:v>
                </c:pt>
                <c:pt idx="8">
                  <c:v>87</c:v>
                </c:pt>
                <c:pt idx="9">
                  <c:v>62.5</c:v>
                </c:pt>
                <c:pt idx="10">
                  <c:v>59</c:v>
                </c:pt>
                <c:pt idx="11">
                  <c:v>99.5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11</c:v>
                </c:pt>
                <c:pt idx="1">
                  <c:v>12.5</c:v>
                </c:pt>
                <c:pt idx="2">
                  <c:v>13</c:v>
                </c:pt>
                <c:pt idx="3">
                  <c:v>10.5</c:v>
                </c:pt>
                <c:pt idx="4">
                  <c:v>10</c:v>
                </c:pt>
                <c:pt idx="5">
                  <c:v>10.5</c:v>
                </c:pt>
                <c:pt idx="6">
                  <c:v>8.5</c:v>
                </c:pt>
                <c:pt idx="7">
                  <c:v>12</c:v>
                </c:pt>
                <c:pt idx="8">
                  <c:v>8</c:v>
                </c:pt>
                <c:pt idx="9">
                  <c:v>8</c:v>
                </c:pt>
                <c:pt idx="10">
                  <c:v>8</c:v>
                </c:pt>
                <c:pt idx="11">
                  <c:v>9</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18.5</c:v>
                </c:pt>
                <c:pt idx="1">
                  <c:v>20.5</c:v>
                </c:pt>
                <c:pt idx="2">
                  <c:v>21.5</c:v>
                </c:pt>
                <c:pt idx="3">
                  <c:v>18</c:v>
                </c:pt>
                <c:pt idx="4">
                  <c:v>16</c:v>
                </c:pt>
                <c:pt idx="5">
                  <c:v>17.5</c:v>
                </c:pt>
                <c:pt idx="6">
                  <c:v>14.5</c:v>
                </c:pt>
                <c:pt idx="7">
                  <c:v>26.5</c:v>
                </c:pt>
                <c:pt idx="8">
                  <c:v>17.5</c:v>
                </c:pt>
                <c:pt idx="9">
                  <c:v>15.5</c:v>
                </c:pt>
                <c:pt idx="10">
                  <c:v>15.5</c:v>
                </c:pt>
                <c:pt idx="11">
                  <c:v>17.5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136</c:v>
                </c:pt>
                <c:pt idx="1">
                  <c:v>135.5</c:v>
                </c:pt>
                <c:pt idx="2">
                  <c:v>135</c:v>
                </c:pt>
                <c:pt idx="3">
                  <c:v>135.5</c:v>
                </c:pt>
                <c:pt idx="4">
                  <c:v>136</c:v>
                </c:pt>
                <c:pt idx="5">
                  <c:v>135.5</c:v>
                </c:pt>
                <c:pt idx="6">
                  <c:v>136</c:v>
                </c:pt>
                <c:pt idx="7">
                  <c:v>136.5</c:v>
                </c:pt>
                <c:pt idx="8">
                  <c:v>135.5</c:v>
                </c:pt>
                <c:pt idx="9">
                  <c:v>135</c:v>
                </c:pt>
                <c:pt idx="10">
                  <c:v>136</c:v>
                </c:pt>
                <c:pt idx="11">
                  <c:v>135</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192.5</c:v>
                </c:pt>
                <c:pt idx="1">
                  <c:v>191</c:v>
                </c:pt>
                <c:pt idx="2">
                  <c:v>171</c:v>
                </c:pt>
                <c:pt idx="3">
                  <c:v>199</c:v>
                </c:pt>
                <c:pt idx="4">
                  <c:v>207</c:v>
                </c:pt>
                <c:pt idx="5">
                  <c:v>220</c:v>
                </c:pt>
                <c:pt idx="6">
                  <c:v>211</c:v>
                </c:pt>
                <c:pt idx="7">
                  <c:v>205</c:v>
                </c:pt>
                <c:pt idx="8">
                  <c:v>250</c:v>
                </c:pt>
                <c:pt idx="9">
                  <c:v>181.5</c:v>
                </c:pt>
                <c:pt idx="10">
                  <c:v>197</c:v>
                </c:pt>
                <c:pt idx="11">
                  <c:v>223.5</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136</c:v>
                </c:pt>
                <c:pt idx="1">
                  <c:v>135.5</c:v>
                </c:pt>
                <c:pt idx="2">
                  <c:v>135</c:v>
                </c:pt>
                <c:pt idx="3">
                  <c:v>135.5</c:v>
                </c:pt>
                <c:pt idx="4">
                  <c:v>136</c:v>
                </c:pt>
                <c:pt idx="5">
                  <c:v>135.5</c:v>
                </c:pt>
                <c:pt idx="6">
                  <c:v>136</c:v>
                </c:pt>
                <c:pt idx="7">
                  <c:v>136.5</c:v>
                </c:pt>
                <c:pt idx="8">
                  <c:v>135.5</c:v>
                </c:pt>
                <c:pt idx="9">
                  <c:v>135</c:v>
                </c:pt>
                <c:pt idx="10">
                  <c:v>136</c:v>
                </c:pt>
                <c:pt idx="11">
                  <c:v>135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142</c:v>
                </c:pt>
                <c:pt idx="1">
                  <c:v>138.5</c:v>
                </c:pt>
                <c:pt idx="2">
                  <c:v>137</c:v>
                </c:pt>
                <c:pt idx="3">
                  <c:v>137.5</c:v>
                </c:pt>
                <c:pt idx="4">
                  <c:v>142</c:v>
                </c:pt>
                <c:pt idx="5">
                  <c:v>137</c:v>
                </c:pt>
                <c:pt idx="6">
                  <c:v>137.5</c:v>
                </c:pt>
                <c:pt idx="7">
                  <c:v>144.5</c:v>
                </c:pt>
                <c:pt idx="8">
                  <c:v>143</c:v>
                </c:pt>
                <c:pt idx="9">
                  <c:v>137</c:v>
                </c:pt>
                <c:pt idx="10">
                  <c:v>137.5</c:v>
                </c:pt>
                <c:pt idx="11">
                  <c:v>138</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0.4</c:v>
                </c:pt>
                <c:pt idx="1">
                  <c:v>0.4</c:v>
                </c:pt>
                <c:pt idx="2">
                  <c:v>0.4</c:v>
                </c:pt>
                <c:pt idx="3">
                  <c:v>0.25</c:v>
                </c:pt>
                <c:pt idx="4">
                  <c:v>0.25</c:v>
                </c:pt>
                <c:pt idx="5">
                  <c:v>0.2</c:v>
                </c:pt>
                <c:pt idx="6">
                  <c:v>0.2</c:v>
                </c:pt>
                <c:pt idx="7">
                  <c:v>0.2</c:v>
                </c:pt>
                <c:pt idx="8">
                  <c:v>0.64999999999999991</c:v>
                </c:pt>
                <c:pt idx="9">
                  <c:v>0.45</c:v>
                </c:pt>
                <c:pt idx="10">
                  <c:v>0.15000000000000002</c:v>
                </c:pt>
                <c:pt idx="11">
                  <c:v>0.2</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4.6500000000000004</c:v>
                </c:pt>
                <c:pt idx="1">
                  <c:v>3.8</c:v>
                </c:pt>
                <c:pt idx="2">
                  <c:v>3.25</c:v>
                </c:pt>
                <c:pt idx="3">
                  <c:v>1.75</c:v>
                </c:pt>
                <c:pt idx="4">
                  <c:v>6.3</c:v>
                </c:pt>
                <c:pt idx="5">
                  <c:v>8.4499999999999993</c:v>
                </c:pt>
                <c:pt idx="6">
                  <c:v>5.15</c:v>
                </c:pt>
                <c:pt idx="7">
                  <c:v>5.5</c:v>
                </c:pt>
                <c:pt idx="8">
                  <c:v>30.65</c:v>
                </c:pt>
                <c:pt idx="9">
                  <c:v>8.4499999999999993</c:v>
                </c:pt>
                <c:pt idx="10">
                  <c:v>5.75</c:v>
                </c:pt>
                <c:pt idx="11">
                  <c:v>1.9</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0.4</c:v>
                </c:pt>
                <c:pt idx="1">
                  <c:v>0.4</c:v>
                </c:pt>
                <c:pt idx="2">
                  <c:v>0.4</c:v>
                </c:pt>
                <c:pt idx="3">
                  <c:v>0.25</c:v>
                </c:pt>
                <c:pt idx="4">
                  <c:v>0.25</c:v>
                </c:pt>
                <c:pt idx="5">
                  <c:v>0.2</c:v>
                </c:pt>
                <c:pt idx="6">
                  <c:v>0.2</c:v>
                </c:pt>
                <c:pt idx="7">
                  <c:v>0.2</c:v>
                </c:pt>
                <c:pt idx="8">
                  <c:v>0.64999999999999991</c:v>
                </c:pt>
                <c:pt idx="9">
                  <c:v>0.45</c:v>
                </c:pt>
                <c:pt idx="10">
                  <c:v>0.15000000000000002</c:v>
                </c:pt>
                <c:pt idx="11">
                  <c:v>0.2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0.55000000000000004</c:v>
                </c:pt>
                <c:pt idx="1">
                  <c:v>0.55000000000000004</c:v>
                </c:pt>
                <c:pt idx="2">
                  <c:v>0.5</c:v>
                </c:pt>
                <c:pt idx="3">
                  <c:v>0.45</c:v>
                </c:pt>
                <c:pt idx="4">
                  <c:v>0.44999999999999996</c:v>
                </c:pt>
                <c:pt idx="5">
                  <c:v>0.45</c:v>
                </c:pt>
                <c:pt idx="6">
                  <c:v>0.30000000000000004</c:v>
                </c:pt>
                <c:pt idx="7">
                  <c:v>0.35</c:v>
                </c:pt>
                <c:pt idx="8">
                  <c:v>6.05</c:v>
                </c:pt>
                <c:pt idx="9">
                  <c:v>1.25</c:v>
                </c:pt>
                <c:pt idx="10">
                  <c:v>0.35</c:v>
                </c:pt>
                <c:pt idx="11">
                  <c:v>0.35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4.1999999999999993</c:v>
                </c:pt>
                <c:pt idx="1">
                  <c:v>4.3499999999999996</c:v>
                </c:pt>
                <c:pt idx="2">
                  <c:v>4.05</c:v>
                </c:pt>
                <c:pt idx="3">
                  <c:v>4</c:v>
                </c:pt>
                <c:pt idx="4">
                  <c:v>4.6500000000000004</c:v>
                </c:pt>
                <c:pt idx="5">
                  <c:v>4.7</c:v>
                </c:pt>
                <c:pt idx="6">
                  <c:v>1.9500000000000002</c:v>
                </c:pt>
                <c:pt idx="7">
                  <c:v>1.5</c:v>
                </c:pt>
                <c:pt idx="8">
                  <c:v>1.75</c:v>
                </c:pt>
                <c:pt idx="9">
                  <c:v>2</c:v>
                </c:pt>
                <c:pt idx="10">
                  <c:v>1.7</c:v>
                </c:pt>
                <c:pt idx="11">
                  <c:v>1.5</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14.55</c:v>
                </c:pt>
                <c:pt idx="1">
                  <c:v>19.2</c:v>
                </c:pt>
                <c:pt idx="2">
                  <c:v>19.2</c:v>
                </c:pt>
                <c:pt idx="3">
                  <c:v>7.5500000000000007</c:v>
                </c:pt>
                <c:pt idx="4">
                  <c:v>11.649999999999999</c:v>
                </c:pt>
                <c:pt idx="5">
                  <c:v>12.45</c:v>
                </c:pt>
                <c:pt idx="6">
                  <c:v>15.100000000000001</c:v>
                </c:pt>
                <c:pt idx="7">
                  <c:v>20.65</c:v>
                </c:pt>
                <c:pt idx="8">
                  <c:v>6.85</c:v>
                </c:pt>
                <c:pt idx="9">
                  <c:v>6.55</c:v>
                </c:pt>
                <c:pt idx="10">
                  <c:v>6.3</c:v>
                </c:pt>
                <c:pt idx="11">
                  <c:v>6.5</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4.1999999999999993</c:v>
                </c:pt>
                <c:pt idx="1">
                  <c:v>4.3499999999999996</c:v>
                </c:pt>
                <c:pt idx="2">
                  <c:v>4.05</c:v>
                </c:pt>
                <c:pt idx="3">
                  <c:v>4</c:v>
                </c:pt>
                <c:pt idx="4">
                  <c:v>4.6500000000000004</c:v>
                </c:pt>
                <c:pt idx="5">
                  <c:v>4.7</c:v>
                </c:pt>
                <c:pt idx="6">
                  <c:v>1.9500000000000002</c:v>
                </c:pt>
                <c:pt idx="7">
                  <c:v>1.5</c:v>
                </c:pt>
                <c:pt idx="8">
                  <c:v>1.75</c:v>
                </c:pt>
                <c:pt idx="9">
                  <c:v>2</c:v>
                </c:pt>
                <c:pt idx="10">
                  <c:v>1.7</c:v>
                </c:pt>
                <c:pt idx="11">
                  <c:v>1.5</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6.6999999999999993</c:v>
                </c:pt>
                <c:pt idx="1">
                  <c:v>6.1</c:v>
                </c:pt>
                <c:pt idx="2">
                  <c:v>6.15</c:v>
                </c:pt>
                <c:pt idx="3">
                  <c:v>6.1</c:v>
                </c:pt>
                <c:pt idx="4">
                  <c:v>5.8</c:v>
                </c:pt>
                <c:pt idx="5">
                  <c:v>6</c:v>
                </c:pt>
                <c:pt idx="6">
                  <c:v>4.75</c:v>
                </c:pt>
                <c:pt idx="7">
                  <c:v>5.3</c:v>
                </c:pt>
                <c:pt idx="8">
                  <c:v>3.75</c:v>
                </c:pt>
                <c:pt idx="9">
                  <c:v>3.2</c:v>
                </c:pt>
                <c:pt idx="10">
                  <c:v>3.75</c:v>
                </c:pt>
                <c:pt idx="11">
                  <c:v>2.65</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11</c:v>
                </c:pt>
                <c:pt idx="1">
                  <c:v>10.5</c:v>
                </c:pt>
                <c:pt idx="2">
                  <c:v>246.5</c:v>
                </c:pt>
                <c:pt idx="3">
                  <c:v>10.5</c:v>
                </c:pt>
                <c:pt idx="4">
                  <c:v>5.5</c:v>
                </c:pt>
                <c:pt idx="5">
                  <c:v>7.5</c:v>
                </c:pt>
                <c:pt idx="6">
                  <c:v>6</c:v>
                </c:pt>
                <c:pt idx="7">
                  <c:v>8</c:v>
                </c:pt>
                <c:pt idx="8">
                  <c:v>8</c:v>
                </c:pt>
                <c:pt idx="9">
                  <c:v>8.5</c:v>
                </c:pt>
                <c:pt idx="10">
                  <c:v>26</c:v>
                </c:pt>
                <c:pt idx="11">
                  <c:v>9.5</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396</c:v>
                </c:pt>
                <c:pt idx="1">
                  <c:v>525</c:v>
                </c:pt>
                <c:pt idx="2">
                  <c:v>430.5</c:v>
                </c:pt>
                <c:pt idx="3">
                  <c:v>345</c:v>
                </c:pt>
                <c:pt idx="4">
                  <c:v>772</c:v>
                </c:pt>
                <c:pt idx="5">
                  <c:v>546.5</c:v>
                </c:pt>
                <c:pt idx="6">
                  <c:v>740.5</c:v>
                </c:pt>
                <c:pt idx="7">
                  <c:v>795</c:v>
                </c:pt>
                <c:pt idx="8">
                  <c:v>644</c:v>
                </c:pt>
                <c:pt idx="9">
                  <c:v>985.5</c:v>
                </c:pt>
                <c:pt idx="10">
                  <c:v>482.5</c:v>
                </c:pt>
                <c:pt idx="11">
                  <c:v>379</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6</c:v>
                </c:pt>
                <c:pt idx="1">
                  <c:v>6</c:v>
                </c:pt>
                <c:pt idx="2">
                  <c:v>6</c:v>
                </c:pt>
                <c:pt idx="3">
                  <c:v>5</c:v>
                </c:pt>
                <c:pt idx="4">
                  <c:v>2</c:v>
                </c:pt>
                <c:pt idx="5">
                  <c:v>2</c:v>
                </c:pt>
                <c:pt idx="6">
                  <c:v>2</c:v>
                </c:pt>
                <c:pt idx="7">
                  <c:v>3.5</c:v>
                </c:pt>
                <c:pt idx="8">
                  <c:v>3.5</c:v>
                </c:pt>
                <c:pt idx="9">
                  <c:v>3</c:v>
                </c:pt>
                <c:pt idx="10">
                  <c:v>2.5</c:v>
                </c:pt>
                <c:pt idx="11">
                  <c:v>1.5</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9</c:v>
                </c:pt>
                <c:pt idx="1">
                  <c:v>10.5</c:v>
                </c:pt>
                <c:pt idx="2">
                  <c:v>7.5</c:v>
                </c:pt>
                <c:pt idx="3">
                  <c:v>10</c:v>
                </c:pt>
                <c:pt idx="4">
                  <c:v>6.5</c:v>
                </c:pt>
                <c:pt idx="5">
                  <c:v>5.5</c:v>
                </c:pt>
                <c:pt idx="6">
                  <c:v>7.5</c:v>
                </c:pt>
                <c:pt idx="7">
                  <c:v>8</c:v>
                </c:pt>
                <c:pt idx="8">
                  <c:v>9</c:v>
                </c:pt>
                <c:pt idx="9">
                  <c:v>12</c:v>
                </c:pt>
                <c:pt idx="10">
                  <c:v>6</c:v>
                </c:pt>
                <c:pt idx="11">
                  <c:v>4.5</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0.35</c:v>
                </c:pt>
                <c:pt idx="1">
                  <c:v>0.25</c:v>
                </c:pt>
                <c:pt idx="2">
                  <c:v>0.44999999999999996</c:v>
                </c:pt>
                <c:pt idx="3">
                  <c:v>0.55000000000000004</c:v>
                </c:pt>
                <c:pt idx="4">
                  <c:v>0.44999999999999996</c:v>
                </c:pt>
                <c:pt idx="5">
                  <c:v>0.55000000000000004</c:v>
                </c:pt>
                <c:pt idx="6">
                  <c:v>0.65</c:v>
                </c:pt>
                <c:pt idx="7">
                  <c:v>0.55000000000000004</c:v>
                </c:pt>
                <c:pt idx="8">
                  <c:v>0.8</c:v>
                </c:pt>
                <c:pt idx="9">
                  <c:v>0.45</c:v>
                </c:pt>
                <c:pt idx="10">
                  <c:v>0.64999999999999991</c:v>
                </c:pt>
                <c:pt idx="11">
                  <c:v>1.05</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2.8</c:v>
                </c:pt>
                <c:pt idx="1">
                  <c:v>2.1</c:v>
                </c:pt>
                <c:pt idx="2">
                  <c:v>3.4</c:v>
                </c:pt>
                <c:pt idx="3">
                  <c:v>4.95</c:v>
                </c:pt>
                <c:pt idx="4">
                  <c:v>6.8999999999999995</c:v>
                </c:pt>
                <c:pt idx="5">
                  <c:v>3.8</c:v>
                </c:pt>
                <c:pt idx="6">
                  <c:v>4.5999999999999996</c:v>
                </c:pt>
                <c:pt idx="7">
                  <c:v>12.1</c:v>
                </c:pt>
                <c:pt idx="8">
                  <c:v>6.0500000000000007</c:v>
                </c:pt>
                <c:pt idx="9">
                  <c:v>4.6500000000000004</c:v>
                </c:pt>
                <c:pt idx="10">
                  <c:v>3.2</c:v>
                </c:pt>
                <c:pt idx="11">
                  <c:v>6.35</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0.35</c:v>
                </c:pt>
                <c:pt idx="1">
                  <c:v>0.25</c:v>
                </c:pt>
                <c:pt idx="2">
                  <c:v>0.44999999999999996</c:v>
                </c:pt>
                <c:pt idx="3">
                  <c:v>0.55000000000000004</c:v>
                </c:pt>
                <c:pt idx="4">
                  <c:v>0.44999999999999996</c:v>
                </c:pt>
                <c:pt idx="5">
                  <c:v>0.55000000000000004</c:v>
                </c:pt>
                <c:pt idx="6">
                  <c:v>0.65</c:v>
                </c:pt>
                <c:pt idx="7">
                  <c:v>0.55000000000000004</c:v>
                </c:pt>
                <c:pt idx="8">
                  <c:v>0.8</c:v>
                </c:pt>
                <c:pt idx="9">
                  <c:v>0.45</c:v>
                </c:pt>
                <c:pt idx="10">
                  <c:v>0.64999999999999991</c:v>
                </c:pt>
                <c:pt idx="11">
                  <c:v>1.05</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0.6</c:v>
                </c:pt>
                <c:pt idx="1">
                  <c:v>0.5</c:v>
                </c:pt>
                <c:pt idx="2">
                  <c:v>0.95</c:v>
                </c:pt>
                <c:pt idx="3">
                  <c:v>1.1499999999999999</c:v>
                </c:pt>
                <c:pt idx="4">
                  <c:v>0.85</c:v>
                </c:pt>
                <c:pt idx="5">
                  <c:v>1.05</c:v>
                </c:pt>
                <c:pt idx="6">
                  <c:v>1.05</c:v>
                </c:pt>
                <c:pt idx="7">
                  <c:v>1.35</c:v>
                </c:pt>
                <c:pt idx="8">
                  <c:v>2</c:v>
                </c:pt>
                <c:pt idx="9">
                  <c:v>1.05</c:v>
                </c:pt>
                <c:pt idx="10">
                  <c:v>1.25</c:v>
                </c:pt>
                <c:pt idx="11">
                  <c:v>1.8</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200026</xdr:colOff>
      <xdr:row>0</xdr:row>
      <xdr:rowOff>0</xdr:rowOff>
    </xdr:from>
    <xdr:to>
      <xdr:col>6</xdr:col>
      <xdr:colOff>247651</xdr:colOff>
      <xdr:row>6</xdr:row>
      <xdr:rowOff>7251</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2409826" y="0"/>
          <a:ext cx="1905000" cy="1150251"/>
        </a:xfrm>
        <a:prstGeom prst="rect">
          <a:avLst/>
        </a:prstGeom>
      </xdr:spPr>
    </xdr:pic>
    <xdr:clientData/>
  </xdr:twoCellAnchor>
  <xdr:twoCellAnchor editAs="oneCell">
    <xdr:from>
      <xdr:col>1</xdr:col>
      <xdr:colOff>152400</xdr:colOff>
      <xdr:row>7</xdr:row>
      <xdr:rowOff>9524</xdr:rowOff>
    </xdr:from>
    <xdr:to>
      <xdr:col>8</xdr:col>
      <xdr:colOff>466804</xdr:colOff>
      <xdr:row>26</xdr:row>
      <xdr:rowOff>128730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71525" y="1343024"/>
          <a:ext cx="5000704" cy="37482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nquiries.uk@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4"/>
  <sheetViews>
    <sheetView tabSelected="1" view="pageBreakPreview" topLeftCell="A25" zoomScale="115" zoomScaleNormal="100" zoomScaleSheetLayoutView="115" workbookViewId="0">
      <selection activeCell="B31" sqref="B31:I31"/>
    </sheetView>
  </sheetViews>
  <sheetFormatPr defaultColWidth="9.21875" defaultRowHeight="15" x14ac:dyDescent="0.25"/>
  <cols>
    <col min="1" max="1" width="9.21875" style="2" customWidth="1"/>
    <col min="2" max="2" width="14.5546875" style="2" bestFit="1" customWidth="1"/>
    <col min="3" max="9" width="9.21875" style="2"/>
    <col min="10" max="10" width="11.5546875" style="2" customWidth="1"/>
    <col min="11" max="14" width="9.21875" style="2"/>
    <col min="15" max="15" width="9.21875" style="2" customWidth="1"/>
    <col min="16" max="16384" width="9.21875" style="2"/>
  </cols>
  <sheetData>
    <row r="1" spans="2:16" x14ac:dyDescent="0.25">
      <c r="D1" s="208" t="s">
        <v>8</v>
      </c>
      <c r="E1" s="209"/>
      <c r="F1" s="209"/>
      <c r="G1" s="209"/>
    </row>
    <row r="2" spans="2:16" x14ac:dyDescent="0.25">
      <c r="D2" s="209"/>
      <c r="E2" s="209"/>
      <c r="F2" s="209"/>
      <c r="G2" s="209"/>
      <c r="N2" s="162" t="s">
        <v>375</v>
      </c>
      <c r="P2" s="146"/>
    </row>
    <row r="3" spans="2:16" x14ac:dyDescent="0.25">
      <c r="D3" s="209"/>
      <c r="E3" s="209"/>
      <c r="F3" s="209"/>
      <c r="G3" s="209"/>
      <c r="N3" s="146"/>
    </row>
    <row r="4" spans="2:16" x14ac:dyDescent="0.25">
      <c r="D4" s="209"/>
      <c r="E4" s="209"/>
      <c r="F4" s="209"/>
      <c r="G4" s="209"/>
    </row>
    <row r="5" spans="2:16" x14ac:dyDescent="0.25">
      <c r="D5" s="209"/>
      <c r="E5" s="209"/>
      <c r="F5" s="209"/>
      <c r="G5" s="209"/>
    </row>
    <row r="6" spans="2:16" x14ac:dyDescent="0.25">
      <c r="D6" s="209"/>
      <c r="E6" s="209"/>
      <c r="F6" s="209"/>
      <c r="G6" s="209"/>
    </row>
    <row r="8" spans="2:16" ht="15.75" customHeight="1" x14ac:dyDescent="0.25">
      <c r="B8" s="209" t="s">
        <v>9</v>
      </c>
      <c r="C8" s="209"/>
      <c r="D8" s="209"/>
      <c r="E8" s="209"/>
      <c r="F8" s="209"/>
      <c r="G8" s="209"/>
      <c r="H8" s="209"/>
      <c r="I8" s="209"/>
      <c r="N8" s="125"/>
    </row>
    <row r="9" spans="2:16" x14ac:dyDescent="0.25">
      <c r="B9" s="209"/>
      <c r="C9" s="209"/>
      <c r="D9" s="209"/>
      <c r="E9" s="209"/>
      <c r="F9" s="209"/>
      <c r="G9" s="209"/>
      <c r="H9" s="209"/>
      <c r="I9" s="209"/>
    </row>
    <row r="10" spans="2:16" x14ac:dyDescent="0.25">
      <c r="B10" s="209"/>
      <c r="C10" s="209"/>
      <c r="D10" s="209"/>
      <c r="E10" s="209"/>
      <c r="F10" s="209"/>
      <c r="G10" s="209"/>
      <c r="H10" s="209"/>
      <c r="I10" s="209"/>
    </row>
    <row r="11" spans="2:16" x14ac:dyDescent="0.25">
      <c r="B11" s="209"/>
      <c r="C11" s="209"/>
      <c r="D11" s="209"/>
      <c r="E11" s="209"/>
      <c r="F11" s="209"/>
      <c r="G11" s="209"/>
      <c r="H11" s="209"/>
      <c r="I11" s="209"/>
    </row>
    <row r="12" spans="2:16" x14ac:dyDescent="0.25">
      <c r="B12" s="209"/>
      <c r="C12" s="209"/>
      <c r="D12" s="209"/>
      <c r="E12" s="209"/>
      <c r="F12" s="209"/>
      <c r="G12" s="209"/>
      <c r="H12" s="209"/>
      <c r="I12" s="209"/>
    </row>
    <row r="13" spans="2:16" ht="15.6" x14ac:dyDescent="0.3">
      <c r="B13" s="209"/>
      <c r="C13" s="209"/>
      <c r="D13" s="209"/>
      <c r="E13" s="209"/>
      <c r="F13" s="209"/>
      <c r="G13" s="209"/>
      <c r="H13" s="209"/>
      <c r="I13" s="209"/>
      <c r="N13" s="131" t="s">
        <v>294</v>
      </c>
      <c r="O13" s="129"/>
      <c r="P13" s="129"/>
    </row>
    <row r="14" spans="2:16" ht="15.6" customHeight="1" x14ac:dyDescent="0.25">
      <c r="B14" s="209"/>
      <c r="C14" s="209"/>
      <c r="D14" s="209"/>
      <c r="E14" s="209"/>
      <c r="F14" s="209"/>
      <c r="G14" s="209"/>
      <c r="H14" s="209"/>
      <c r="I14" s="209"/>
      <c r="N14" s="207" t="s">
        <v>298</v>
      </c>
      <c r="O14" s="207"/>
      <c r="P14" s="207"/>
    </row>
    <row r="15" spans="2:16" x14ac:dyDescent="0.25">
      <c r="B15" s="209"/>
      <c r="C15" s="209"/>
      <c r="D15" s="209"/>
      <c r="E15" s="209"/>
      <c r="F15" s="209"/>
      <c r="G15" s="209"/>
      <c r="H15" s="209"/>
      <c r="I15" s="209"/>
      <c r="N15" s="207"/>
      <c r="O15" s="207"/>
      <c r="P15" s="207"/>
    </row>
    <row r="16" spans="2:16" x14ac:dyDescent="0.25">
      <c r="B16" s="209"/>
      <c r="C16" s="209"/>
      <c r="D16" s="209"/>
      <c r="E16" s="209"/>
      <c r="F16" s="209"/>
      <c r="G16" s="209"/>
      <c r="H16" s="209"/>
      <c r="I16" s="209"/>
      <c r="N16" s="207"/>
      <c r="O16" s="207"/>
      <c r="P16" s="207"/>
    </row>
    <row r="17" spans="2:16" x14ac:dyDescent="0.25">
      <c r="B17" s="209"/>
      <c r="C17" s="209"/>
      <c r="D17" s="209"/>
      <c r="E17" s="209"/>
      <c r="F17" s="209"/>
      <c r="G17" s="209"/>
      <c r="H17" s="209"/>
      <c r="I17" s="209"/>
      <c r="N17" s="207"/>
      <c r="O17" s="207"/>
      <c r="P17" s="207"/>
    </row>
    <row r="18" spans="2:16" x14ac:dyDescent="0.25">
      <c r="B18" s="209"/>
      <c r="C18" s="209"/>
      <c r="D18" s="209"/>
      <c r="E18" s="209"/>
      <c r="F18" s="209"/>
      <c r="G18" s="209"/>
      <c r="H18" s="209"/>
      <c r="I18" s="209"/>
      <c r="N18" s="207"/>
      <c r="O18" s="207"/>
      <c r="P18" s="207"/>
    </row>
    <row r="19" spans="2:16" x14ac:dyDescent="0.25">
      <c r="B19" s="209"/>
      <c r="C19" s="209"/>
      <c r="D19" s="209"/>
      <c r="E19" s="209"/>
      <c r="F19" s="209"/>
      <c r="G19" s="209"/>
      <c r="H19" s="209"/>
      <c r="I19" s="209"/>
      <c r="N19" s="207"/>
      <c r="O19" s="207"/>
      <c r="P19" s="207"/>
    </row>
    <row r="20" spans="2:16" x14ac:dyDescent="0.25">
      <c r="B20" s="209"/>
      <c r="C20" s="209"/>
      <c r="D20" s="209"/>
      <c r="E20" s="209"/>
      <c r="F20" s="209"/>
      <c r="G20" s="209"/>
      <c r="H20" s="209"/>
      <c r="I20" s="209"/>
    </row>
    <row r="21" spans="2:16" x14ac:dyDescent="0.25">
      <c r="B21" s="209"/>
      <c r="C21" s="209"/>
      <c r="D21" s="209"/>
      <c r="E21" s="209"/>
      <c r="F21" s="209"/>
      <c r="G21" s="209"/>
      <c r="H21" s="209"/>
      <c r="I21" s="209"/>
    </row>
    <row r="22" spans="2:16" x14ac:dyDescent="0.25">
      <c r="B22" s="209"/>
      <c r="C22" s="209"/>
      <c r="D22" s="209"/>
      <c r="E22" s="209"/>
      <c r="F22" s="209"/>
      <c r="G22" s="209"/>
      <c r="H22" s="209"/>
      <c r="I22" s="209"/>
    </row>
    <row r="23" spans="2:16" x14ac:dyDescent="0.25">
      <c r="B23" s="209"/>
      <c r="C23" s="209"/>
      <c r="D23" s="209"/>
      <c r="E23" s="209"/>
      <c r="F23" s="209"/>
      <c r="G23" s="209"/>
      <c r="H23" s="209"/>
      <c r="I23" s="209"/>
    </row>
    <row r="24" spans="2:16" x14ac:dyDescent="0.25">
      <c r="B24" s="209"/>
      <c r="C24" s="209"/>
      <c r="D24" s="209"/>
      <c r="E24" s="209"/>
      <c r="F24" s="209"/>
      <c r="G24" s="209"/>
      <c r="H24" s="209"/>
      <c r="I24" s="209"/>
    </row>
    <row r="29" spans="2:16" ht="17.399999999999999" x14ac:dyDescent="0.3">
      <c r="B29" s="205" t="s">
        <v>380</v>
      </c>
      <c r="C29" s="205"/>
      <c r="D29" s="205"/>
      <c r="E29" s="205"/>
      <c r="F29" s="205"/>
      <c r="G29" s="205"/>
      <c r="H29" s="205"/>
      <c r="I29" s="205"/>
    </row>
    <row r="30" spans="2:16" ht="17.399999999999999" x14ac:dyDescent="0.3">
      <c r="C30" s="7"/>
      <c r="D30" s="8"/>
      <c r="E30" s="8"/>
      <c r="F30" s="8"/>
      <c r="G30" s="8"/>
      <c r="H30" s="8"/>
      <c r="I30" s="8"/>
    </row>
    <row r="31" spans="2:16" ht="17.399999999999999" x14ac:dyDescent="0.3">
      <c r="B31" s="205" t="s">
        <v>381</v>
      </c>
      <c r="C31" s="205"/>
      <c r="D31" s="205"/>
      <c r="E31" s="205"/>
      <c r="F31" s="205"/>
      <c r="G31" s="205"/>
      <c r="H31" s="205"/>
      <c r="I31" s="205"/>
    </row>
    <row r="32" spans="2:16" ht="17.399999999999999" x14ac:dyDescent="0.3">
      <c r="C32" s="7"/>
      <c r="D32" s="8"/>
      <c r="E32" s="8"/>
      <c r="F32" s="8"/>
      <c r="G32" s="8"/>
      <c r="H32" s="8"/>
      <c r="I32" s="8"/>
    </row>
    <row r="33" spans="2:9" ht="17.399999999999999" x14ac:dyDescent="0.3">
      <c r="B33" s="205" t="s">
        <v>382</v>
      </c>
      <c r="C33" s="205"/>
      <c r="D33" s="205"/>
      <c r="E33" s="205"/>
      <c r="F33" s="205"/>
      <c r="G33" s="205"/>
      <c r="H33" s="205"/>
      <c r="I33" s="205"/>
    </row>
    <row r="34" spans="2:9" ht="17.399999999999999" x14ac:dyDescent="0.3">
      <c r="C34" s="7"/>
      <c r="D34" s="8"/>
      <c r="E34" s="8"/>
      <c r="F34" s="8"/>
      <c r="G34" s="8"/>
      <c r="H34" s="8"/>
      <c r="I34" s="8"/>
    </row>
    <row r="35" spans="2:9" ht="17.399999999999999" x14ac:dyDescent="0.3">
      <c r="B35" s="205"/>
      <c r="C35" s="205"/>
      <c r="D35" s="205"/>
      <c r="E35" s="205"/>
      <c r="F35" s="205"/>
      <c r="G35" s="205"/>
      <c r="H35" s="205"/>
      <c r="I35" s="205"/>
    </row>
    <row r="37" spans="2:9" ht="17.399999999999999" x14ac:dyDescent="0.3">
      <c r="B37" s="205" t="s">
        <v>409</v>
      </c>
      <c r="C37" s="205"/>
      <c r="D37" s="205"/>
      <c r="E37" s="205"/>
      <c r="F37" s="205"/>
      <c r="G37" s="205"/>
      <c r="H37" s="205"/>
      <c r="I37" s="205"/>
    </row>
    <row r="39" spans="2:9" x14ac:dyDescent="0.25">
      <c r="B39" s="2" t="s">
        <v>10</v>
      </c>
      <c r="C39" s="196">
        <v>2022</v>
      </c>
      <c r="D39" s="9"/>
      <c r="E39" s="9"/>
      <c r="F39" s="9"/>
      <c r="G39" s="9"/>
      <c r="H39" s="9"/>
      <c r="I39" s="9"/>
    </row>
    <row r="40" spans="2:9" ht="14.25" customHeight="1" x14ac:dyDescent="0.25">
      <c r="C40" s="9"/>
      <c r="D40" s="9"/>
      <c r="E40" s="9"/>
      <c r="F40" s="9"/>
      <c r="G40" s="9"/>
      <c r="H40" s="9"/>
      <c r="I40" s="9"/>
    </row>
    <row r="41" spans="2:9" x14ac:dyDescent="0.25">
      <c r="B41" s="9" t="s">
        <v>11</v>
      </c>
      <c r="C41" s="202" t="s">
        <v>404</v>
      </c>
      <c r="D41" s="202"/>
      <c r="E41" s="202"/>
      <c r="F41" s="202"/>
      <c r="G41" s="202"/>
      <c r="H41" s="202"/>
      <c r="I41" s="202"/>
    </row>
    <row r="42" spans="2:9" x14ac:dyDescent="0.25">
      <c r="B42" s="9"/>
      <c r="C42" s="9"/>
      <c r="D42" s="9"/>
      <c r="E42" s="9"/>
      <c r="F42" s="9"/>
      <c r="G42" s="9"/>
      <c r="H42" s="9"/>
      <c r="I42" s="9"/>
    </row>
    <row r="43" spans="2:9" x14ac:dyDescent="0.25">
      <c r="B43" s="9" t="s">
        <v>12</v>
      </c>
      <c r="C43" s="202" t="s">
        <v>410</v>
      </c>
      <c r="D43" s="203"/>
      <c r="E43" s="203"/>
      <c r="F43" s="9"/>
      <c r="G43" s="9"/>
      <c r="H43" s="9"/>
      <c r="I43" s="9"/>
    </row>
    <row r="44" spans="2:9" x14ac:dyDescent="0.25">
      <c r="B44" s="9"/>
      <c r="C44" s="9"/>
      <c r="D44" s="9"/>
      <c r="E44" s="9"/>
      <c r="F44" s="9"/>
      <c r="G44" s="9"/>
      <c r="H44" s="9"/>
      <c r="I44" s="9"/>
    </row>
    <row r="45" spans="2:9" ht="15.6" x14ac:dyDescent="0.3">
      <c r="B45" s="9" t="s">
        <v>13</v>
      </c>
      <c r="C45" s="206" t="s">
        <v>408</v>
      </c>
      <c r="D45" s="203"/>
      <c r="E45" s="203"/>
      <c r="F45" s="9"/>
      <c r="G45" s="9"/>
      <c r="H45" s="9"/>
      <c r="I45" s="9"/>
    </row>
    <row r="46" spans="2:9" x14ac:dyDescent="0.25">
      <c r="B46" s="9"/>
    </row>
    <row r="47" spans="2:9" x14ac:dyDescent="0.25">
      <c r="B47" s="9" t="s">
        <v>14</v>
      </c>
      <c r="C47" s="202" t="s">
        <v>389</v>
      </c>
      <c r="D47" s="203"/>
      <c r="F47" s="2" t="s">
        <v>15</v>
      </c>
      <c r="G47" s="202" t="s">
        <v>405</v>
      </c>
      <c r="H47" s="203"/>
      <c r="I47" s="203"/>
    </row>
    <row r="48" spans="2:9" x14ac:dyDescent="0.25">
      <c r="B48" s="9"/>
      <c r="C48" s="195" t="s">
        <v>456</v>
      </c>
      <c r="D48" s="194"/>
      <c r="G48" s="195" t="s">
        <v>457</v>
      </c>
      <c r="H48" s="194"/>
      <c r="I48" s="194"/>
    </row>
    <row r="49" spans="2:9" x14ac:dyDescent="0.25">
      <c r="B49" s="9"/>
    </row>
    <row r="50" spans="2:9" x14ac:dyDescent="0.25">
      <c r="B50" s="9" t="s">
        <v>16</v>
      </c>
      <c r="C50" s="202" t="s">
        <v>406</v>
      </c>
      <c r="D50" s="203"/>
      <c r="F50" s="2" t="s">
        <v>15</v>
      </c>
      <c r="G50" s="202" t="s">
        <v>407</v>
      </c>
      <c r="H50" s="203"/>
      <c r="I50" s="203"/>
    </row>
    <row r="51" spans="2:9" x14ac:dyDescent="0.25">
      <c r="B51" s="9"/>
    </row>
    <row r="52" spans="2:9" x14ac:dyDescent="0.25">
      <c r="B52" s="9" t="s">
        <v>17</v>
      </c>
      <c r="C52" s="196">
        <v>2</v>
      </c>
    </row>
    <row r="53" spans="2:9" x14ac:dyDescent="0.25">
      <c r="B53" s="9"/>
    </row>
    <row r="54" spans="2:9" x14ac:dyDescent="0.25">
      <c r="B54" s="9" t="s">
        <v>18</v>
      </c>
      <c r="C54" s="204">
        <v>44981</v>
      </c>
      <c r="D54" s="203"/>
    </row>
  </sheetData>
  <mergeCells count="16">
    <mergeCell ref="N14:P19"/>
    <mergeCell ref="B35:I35"/>
    <mergeCell ref="D1:G6"/>
    <mergeCell ref="B8:I24"/>
    <mergeCell ref="B29:I29"/>
    <mergeCell ref="B31:I31"/>
    <mergeCell ref="B33:I33"/>
    <mergeCell ref="C50:D50"/>
    <mergeCell ref="G50:I50"/>
    <mergeCell ref="C54:D54"/>
    <mergeCell ref="B37:I37"/>
    <mergeCell ref="C41:I41"/>
    <mergeCell ref="C43:E43"/>
    <mergeCell ref="C45:E45"/>
    <mergeCell ref="C47:D47"/>
    <mergeCell ref="G47:I47"/>
  </mergeCells>
  <hyperlinks>
    <hyperlink ref="C45" r:id="rId1" xr:uid="{AABDF5FB-47E3-489C-BEA6-7210D71CE6FC}"/>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view="pageBreakPreview" topLeftCell="A13" zoomScaleNormal="100" zoomScaleSheetLayoutView="100" workbookViewId="0">
      <selection activeCell="B18" sqref="B18:G18"/>
    </sheetView>
  </sheetViews>
  <sheetFormatPr defaultColWidth="9.21875" defaultRowHeight="15" x14ac:dyDescent="0.25"/>
  <cols>
    <col min="1" max="1" width="9.21875" style="2" customWidth="1"/>
    <col min="2" max="2" width="14.5546875" style="2" bestFit="1" customWidth="1"/>
    <col min="3" max="7" width="9.21875" style="2"/>
    <col min="8" max="8" width="10.21875" style="2" bestFit="1" customWidth="1"/>
    <col min="9" max="9" width="9.21875" style="2"/>
    <col min="10" max="10" width="11.5546875" style="2" customWidth="1"/>
    <col min="11" max="16384" width="9.21875" style="2"/>
  </cols>
  <sheetData>
    <row r="1" spans="1:15" x14ac:dyDescent="0.25">
      <c r="A1" s="2" t="str">
        <f>+'Cover Page'!$B$29</f>
        <v>Annual Performance Report 2022</v>
      </c>
      <c r="E1" s="2" t="str">
        <f>+'Cover Page'!$B$33</f>
        <v>Severnside Energy Recovery Centre</v>
      </c>
    </row>
    <row r="3" spans="1:15" ht="15.6" x14ac:dyDescent="0.3">
      <c r="A3" s="103" t="s">
        <v>19</v>
      </c>
      <c r="B3" s="101"/>
      <c r="C3" s="101"/>
      <c r="D3" s="101"/>
      <c r="E3" s="101"/>
      <c r="F3" s="101"/>
      <c r="G3" s="101"/>
      <c r="H3" s="102"/>
      <c r="K3" s="131" t="s">
        <v>294</v>
      </c>
    </row>
    <row r="4" spans="1:15" ht="15.6" x14ac:dyDescent="0.3">
      <c r="A4" s="5" t="s">
        <v>0</v>
      </c>
      <c r="B4" s="232" t="s">
        <v>1</v>
      </c>
      <c r="C4" s="232"/>
      <c r="D4" s="232"/>
      <c r="E4" s="232"/>
      <c r="F4" s="232"/>
      <c r="G4" s="232"/>
      <c r="H4" s="6" t="s">
        <v>2</v>
      </c>
      <c r="K4" s="129" t="s">
        <v>296</v>
      </c>
    </row>
    <row r="5" spans="1:15" ht="15.6" customHeight="1" x14ac:dyDescent="0.25">
      <c r="A5" s="4"/>
      <c r="B5" s="228" t="s">
        <v>272</v>
      </c>
      <c r="C5" s="228"/>
      <c r="D5" s="228"/>
      <c r="E5" s="228"/>
      <c r="F5" s="228"/>
      <c r="G5" s="228"/>
      <c r="H5" s="4"/>
      <c r="K5" s="207" t="s">
        <v>297</v>
      </c>
      <c r="L5" s="207"/>
      <c r="M5" s="207"/>
      <c r="N5" s="207"/>
      <c r="O5" s="207"/>
    </row>
    <row r="6" spans="1:15" x14ac:dyDescent="0.25">
      <c r="A6" s="4"/>
      <c r="B6" s="228" t="s">
        <v>273</v>
      </c>
      <c r="C6" s="228"/>
      <c r="D6" s="228"/>
      <c r="E6" s="228"/>
      <c r="F6" s="228"/>
      <c r="G6" s="228"/>
      <c r="H6" s="4"/>
      <c r="K6" s="207"/>
      <c r="L6" s="207"/>
      <c r="M6" s="207"/>
      <c r="N6" s="207"/>
      <c r="O6" s="207"/>
    </row>
    <row r="7" spans="1:15" ht="15.75" customHeight="1" x14ac:dyDescent="0.25">
      <c r="A7" s="4"/>
      <c r="B7" s="228" t="s">
        <v>26</v>
      </c>
      <c r="C7" s="228"/>
      <c r="D7" s="228"/>
      <c r="E7" s="228"/>
      <c r="F7" s="228"/>
      <c r="G7" s="228"/>
      <c r="H7" s="4"/>
      <c r="K7" s="207"/>
      <c r="L7" s="207"/>
      <c r="M7" s="207"/>
      <c r="N7" s="207"/>
      <c r="O7" s="207"/>
    </row>
    <row r="8" spans="1:15" x14ac:dyDescent="0.25">
      <c r="A8" s="4"/>
      <c r="B8" s="228" t="s">
        <v>274</v>
      </c>
      <c r="C8" s="228"/>
      <c r="D8" s="228"/>
      <c r="E8" s="228"/>
      <c r="F8" s="228"/>
      <c r="G8" s="228"/>
      <c r="H8" s="4"/>
      <c r="K8" s="207"/>
      <c r="L8" s="207"/>
      <c r="M8" s="207"/>
      <c r="N8" s="207"/>
      <c r="O8" s="207"/>
    </row>
    <row r="9" spans="1:15" x14ac:dyDescent="0.25">
      <c r="A9" s="4"/>
      <c r="B9" s="228" t="s">
        <v>275</v>
      </c>
      <c r="C9" s="228"/>
      <c r="D9" s="228"/>
      <c r="E9" s="228"/>
      <c r="F9" s="228"/>
      <c r="G9" s="228"/>
      <c r="H9" s="4"/>
    </row>
    <row r="10" spans="1:15" x14ac:dyDescent="0.25">
      <c r="A10" s="4"/>
      <c r="B10" s="228" t="s">
        <v>276</v>
      </c>
      <c r="C10" s="228"/>
      <c r="D10" s="228"/>
      <c r="E10" s="228"/>
      <c r="F10" s="228"/>
      <c r="G10" s="228"/>
      <c r="H10" s="4"/>
    </row>
    <row r="11" spans="1:15" x14ac:dyDescent="0.25">
      <c r="A11" s="4"/>
      <c r="B11" s="228" t="s">
        <v>277</v>
      </c>
      <c r="C11" s="228"/>
      <c r="D11" s="228"/>
      <c r="E11" s="228"/>
      <c r="F11" s="228"/>
      <c r="G11" s="228"/>
      <c r="H11" s="4"/>
    </row>
    <row r="12" spans="1:15" x14ac:dyDescent="0.25">
      <c r="A12" s="4"/>
      <c r="B12" s="228" t="s">
        <v>426</v>
      </c>
      <c r="C12" s="228"/>
      <c r="D12" s="228"/>
      <c r="E12" s="228"/>
      <c r="F12" s="228"/>
      <c r="G12" s="228"/>
      <c r="H12" s="4"/>
    </row>
    <row r="13" spans="1:15" ht="15.6" x14ac:dyDescent="0.3">
      <c r="A13" s="4"/>
      <c r="B13" s="229" t="s">
        <v>374</v>
      </c>
      <c r="C13" s="230"/>
      <c r="D13" s="230"/>
      <c r="E13" s="230"/>
      <c r="F13" s="230"/>
      <c r="G13" s="231"/>
      <c r="H13" s="4"/>
    </row>
    <row r="14" spans="1:15" x14ac:dyDescent="0.25">
      <c r="A14" s="4"/>
      <c r="B14" s="228" t="s">
        <v>373</v>
      </c>
      <c r="C14" s="228"/>
      <c r="D14" s="228"/>
      <c r="E14" s="228"/>
      <c r="F14" s="228"/>
      <c r="G14" s="228"/>
      <c r="H14" s="4"/>
    </row>
    <row r="15" spans="1:15" x14ac:dyDescent="0.25">
      <c r="A15" s="4"/>
      <c r="B15" s="228" t="s">
        <v>192</v>
      </c>
      <c r="C15" s="228"/>
      <c r="D15" s="228"/>
      <c r="E15" s="228"/>
      <c r="F15" s="228"/>
      <c r="G15" s="228"/>
      <c r="H15" s="4"/>
    </row>
    <row r="16" spans="1:15" x14ac:dyDescent="0.25">
      <c r="A16" s="4"/>
      <c r="B16" s="228" t="s">
        <v>209</v>
      </c>
      <c r="C16" s="228"/>
      <c r="D16" s="228"/>
      <c r="E16" s="228"/>
      <c r="F16" s="228"/>
      <c r="G16" s="228"/>
      <c r="H16" s="4"/>
    </row>
    <row r="17" spans="1:8" x14ac:dyDescent="0.25">
      <c r="A17" s="4"/>
      <c r="B17" s="228" t="s">
        <v>278</v>
      </c>
      <c r="C17" s="228"/>
      <c r="D17" s="228"/>
      <c r="E17" s="228"/>
      <c r="F17" s="228"/>
      <c r="G17" s="228"/>
      <c r="H17" s="4"/>
    </row>
    <row r="18" spans="1:8" x14ac:dyDescent="0.25">
      <c r="A18" s="4"/>
      <c r="B18" s="228" t="s">
        <v>279</v>
      </c>
      <c r="C18" s="228"/>
      <c r="D18" s="228"/>
      <c r="E18" s="228"/>
      <c r="F18" s="228"/>
      <c r="G18" s="228"/>
      <c r="H18" s="4"/>
    </row>
    <row r="19" spans="1:8" x14ac:dyDescent="0.25">
      <c r="A19" s="4"/>
      <c r="B19" s="228" t="s">
        <v>383</v>
      </c>
      <c r="C19" s="228"/>
      <c r="D19" s="228"/>
      <c r="E19" s="228"/>
      <c r="F19" s="228"/>
      <c r="G19" s="228"/>
      <c r="H19" s="4"/>
    </row>
    <row r="20" spans="1:8" x14ac:dyDescent="0.25">
      <c r="A20" s="4"/>
      <c r="B20" s="228" t="s">
        <v>384</v>
      </c>
      <c r="C20" s="228"/>
      <c r="D20" s="228"/>
      <c r="E20" s="228"/>
      <c r="F20" s="228"/>
      <c r="G20" s="228"/>
      <c r="H20" s="4"/>
    </row>
    <row r="21" spans="1:8" x14ac:dyDescent="0.25">
      <c r="A21" s="4"/>
      <c r="B21" s="228" t="s">
        <v>280</v>
      </c>
      <c r="C21" s="228"/>
      <c r="D21" s="228"/>
      <c r="E21" s="228"/>
      <c r="F21" s="228"/>
      <c r="G21" s="228"/>
      <c r="H21" s="4"/>
    </row>
    <row r="22" spans="1:8" x14ac:dyDescent="0.25">
      <c r="A22" s="4"/>
      <c r="B22" s="228" t="s">
        <v>283</v>
      </c>
      <c r="C22" s="228"/>
      <c r="D22" s="228"/>
      <c r="E22" s="228"/>
      <c r="F22" s="228"/>
      <c r="G22" s="228"/>
      <c r="H22" s="4"/>
    </row>
    <row r="23" spans="1:8" x14ac:dyDescent="0.25">
      <c r="A23" s="4"/>
      <c r="B23" s="220" t="s">
        <v>281</v>
      </c>
      <c r="C23" s="221"/>
      <c r="D23" s="221"/>
      <c r="E23" s="221"/>
      <c r="F23" s="221"/>
      <c r="G23" s="222"/>
      <c r="H23" s="4"/>
    </row>
    <row r="24" spans="1:8" x14ac:dyDescent="0.25">
      <c r="A24" s="4"/>
      <c r="B24" s="220" t="s">
        <v>282</v>
      </c>
      <c r="C24" s="221"/>
      <c r="D24" s="221"/>
      <c r="E24" s="221"/>
      <c r="F24" s="221"/>
      <c r="G24" s="222"/>
      <c r="H24" s="4"/>
    </row>
    <row r="25" spans="1:8" x14ac:dyDescent="0.25">
      <c r="A25" s="4"/>
      <c r="B25" s="223"/>
      <c r="C25" s="223"/>
      <c r="D25" s="223"/>
      <c r="E25" s="223"/>
      <c r="F25" s="223"/>
      <c r="G25" s="223"/>
      <c r="H25" s="4"/>
    </row>
    <row r="27" spans="1:8" x14ac:dyDescent="0.25">
      <c r="A27" s="100" t="s">
        <v>20</v>
      </c>
      <c r="B27" s="101"/>
      <c r="C27" s="101"/>
      <c r="D27" s="101"/>
      <c r="E27" s="101"/>
      <c r="F27" s="101"/>
      <c r="G27" s="101"/>
      <c r="H27" s="102"/>
    </row>
    <row r="28" spans="1:8" x14ac:dyDescent="0.25">
      <c r="A28" s="11" t="s">
        <v>0</v>
      </c>
      <c r="B28" s="224" t="s">
        <v>3</v>
      </c>
      <c r="C28" s="224"/>
      <c r="D28" s="224"/>
      <c r="E28" s="224"/>
      <c r="F28" s="224"/>
      <c r="G28" s="224"/>
      <c r="H28" s="12" t="s">
        <v>4</v>
      </c>
    </row>
    <row r="29" spans="1:8" x14ac:dyDescent="0.25">
      <c r="A29" s="200" t="s">
        <v>461</v>
      </c>
      <c r="B29" s="225" t="s">
        <v>462</v>
      </c>
      <c r="C29" s="226"/>
      <c r="D29" s="226"/>
      <c r="E29" s="226"/>
      <c r="F29" s="226"/>
      <c r="G29" s="226"/>
      <c r="H29" s="201">
        <v>44981</v>
      </c>
    </row>
    <row r="30" spans="1:8" x14ac:dyDescent="0.25">
      <c r="A30" s="13"/>
      <c r="B30" s="226"/>
      <c r="C30" s="226"/>
      <c r="D30" s="226"/>
      <c r="E30" s="226"/>
      <c r="F30" s="226"/>
      <c r="G30" s="226"/>
      <c r="H30" s="13"/>
    </row>
    <row r="31" spans="1:8" x14ac:dyDescent="0.25">
      <c r="A31" s="13"/>
      <c r="B31" s="226"/>
      <c r="C31" s="226"/>
      <c r="D31" s="226"/>
      <c r="E31" s="226"/>
      <c r="F31" s="226"/>
      <c r="G31" s="226"/>
      <c r="H31" s="13"/>
    </row>
    <row r="32" spans="1:8" x14ac:dyDescent="0.25">
      <c r="A32" s="13"/>
      <c r="B32" s="226"/>
      <c r="C32" s="226"/>
      <c r="D32" s="226"/>
      <c r="E32" s="226"/>
      <c r="F32" s="226"/>
      <c r="G32" s="226"/>
      <c r="H32" s="13"/>
    </row>
    <row r="33" spans="1:10" x14ac:dyDescent="0.25">
      <c r="A33" s="13"/>
      <c r="B33" s="226"/>
      <c r="C33" s="226"/>
      <c r="D33" s="226"/>
      <c r="E33" s="226"/>
      <c r="F33" s="226"/>
      <c r="G33" s="226"/>
      <c r="H33" s="13"/>
    </row>
    <row r="35" spans="1:10" ht="14.25" customHeight="1" x14ac:dyDescent="0.25">
      <c r="A35" s="100" t="s">
        <v>21</v>
      </c>
      <c r="B35" s="101"/>
      <c r="C35" s="101"/>
      <c r="D35" s="101"/>
      <c r="E35" s="101"/>
      <c r="F35" s="101"/>
      <c r="G35" s="101"/>
      <c r="H35" s="102"/>
    </row>
    <row r="36" spans="1:10" x14ac:dyDescent="0.25">
      <c r="A36" s="16" t="s">
        <v>5</v>
      </c>
      <c r="B36" s="227" t="s">
        <v>6</v>
      </c>
      <c r="C36" s="227"/>
      <c r="D36" s="227"/>
      <c r="E36" s="227"/>
      <c r="F36" s="227"/>
      <c r="G36" s="227"/>
      <c r="H36" s="17" t="s">
        <v>7</v>
      </c>
    </row>
    <row r="37" spans="1:10" x14ac:dyDescent="0.25">
      <c r="A37" s="18"/>
      <c r="B37" s="219"/>
      <c r="C37" s="219"/>
      <c r="D37" s="219"/>
      <c r="E37" s="219"/>
      <c r="F37" s="219"/>
      <c r="G37" s="219"/>
      <c r="H37" s="18"/>
    </row>
    <row r="38" spans="1:10" x14ac:dyDescent="0.25">
      <c r="A38" s="18"/>
      <c r="B38" s="219"/>
      <c r="C38" s="219"/>
      <c r="D38" s="219"/>
      <c r="E38" s="219"/>
      <c r="F38" s="219"/>
      <c r="G38" s="219"/>
      <c r="H38" s="18"/>
    </row>
    <row r="39" spans="1:10" x14ac:dyDescent="0.25">
      <c r="A39" s="18"/>
      <c r="B39" s="219"/>
      <c r="C39" s="219"/>
      <c r="D39" s="219"/>
      <c r="E39" s="219"/>
      <c r="F39" s="219"/>
      <c r="G39" s="219"/>
      <c r="H39" s="18"/>
    </row>
    <row r="40" spans="1:10" x14ac:dyDescent="0.25">
      <c r="A40" s="18"/>
      <c r="B40" s="219"/>
      <c r="C40" s="219"/>
      <c r="D40" s="219"/>
      <c r="E40" s="219"/>
      <c r="F40" s="219"/>
      <c r="G40" s="219"/>
      <c r="H40" s="18"/>
    </row>
    <row r="41" spans="1:10" x14ac:dyDescent="0.25">
      <c r="A41" s="18"/>
      <c r="B41" s="219"/>
      <c r="C41" s="219"/>
      <c r="D41" s="219"/>
      <c r="E41" s="219"/>
      <c r="F41" s="219"/>
      <c r="G41" s="219"/>
      <c r="H41" s="18"/>
    </row>
    <row r="42" spans="1:10" x14ac:dyDescent="0.25">
      <c r="A42" s="18"/>
      <c r="B42" s="219"/>
      <c r="C42" s="219"/>
      <c r="D42" s="219"/>
      <c r="E42" s="219"/>
      <c r="F42" s="219"/>
      <c r="G42" s="219"/>
      <c r="H42" s="18"/>
    </row>
    <row r="43" spans="1:10" x14ac:dyDescent="0.25">
      <c r="A43" s="18"/>
      <c r="B43" s="219"/>
      <c r="C43" s="219"/>
      <c r="D43" s="219"/>
      <c r="E43" s="219"/>
      <c r="F43" s="219"/>
      <c r="G43" s="219"/>
      <c r="H43" s="18"/>
    </row>
    <row r="45" spans="1:10" x14ac:dyDescent="0.25">
      <c r="A45" s="210" t="s">
        <v>22</v>
      </c>
      <c r="B45" s="211"/>
      <c r="C45" s="211"/>
      <c r="D45" s="211"/>
      <c r="E45" s="211"/>
      <c r="F45" s="211"/>
      <c r="G45" s="211"/>
      <c r="H45" s="211"/>
      <c r="I45" s="211"/>
      <c r="J45" s="212"/>
    </row>
    <row r="46" spans="1:10" x14ac:dyDescent="0.25">
      <c r="A46" s="213"/>
      <c r="B46" s="214"/>
      <c r="C46" s="214"/>
      <c r="D46" s="214"/>
      <c r="E46" s="214"/>
      <c r="F46" s="214"/>
      <c r="G46" s="214"/>
      <c r="H46" s="214"/>
      <c r="I46" s="214"/>
      <c r="J46" s="215"/>
    </row>
    <row r="47" spans="1:10" x14ac:dyDescent="0.25">
      <c r="A47" s="213"/>
      <c r="B47" s="214"/>
      <c r="C47" s="214"/>
      <c r="D47" s="214"/>
      <c r="E47" s="214"/>
      <c r="F47" s="214"/>
      <c r="G47" s="214"/>
      <c r="H47" s="214"/>
      <c r="I47" s="214"/>
      <c r="J47" s="215"/>
    </row>
    <row r="48" spans="1:10" x14ac:dyDescent="0.25">
      <c r="A48" s="216"/>
      <c r="B48" s="217"/>
      <c r="C48" s="217"/>
      <c r="D48" s="217"/>
      <c r="E48" s="217"/>
      <c r="F48" s="217"/>
      <c r="G48" s="217"/>
      <c r="H48" s="217"/>
      <c r="I48" s="217"/>
      <c r="J48" s="218"/>
    </row>
    <row r="52" spans="3:3" x14ac:dyDescent="0.25">
      <c r="C52" s="2">
        <v>2</v>
      </c>
    </row>
    <row r="54" spans="3:3" x14ac:dyDescent="0.25">
      <c r="C54" s="198">
        <v>44981</v>
      </c>
    </row>
    <row r="66" spans="6:6" x14ac:dyDescent="0.25">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view="pageBreakPreview" topLeftCell="A6" zoomScale="115" zoomScaleNormal="100" zoomScaleSheetLayoutView="115" workbookViewId="0">
      <selection activeCell="A22" sqref="A22:I54"/>
    </sheetView>
  </sheetViews>
  <sheetFormatPr defaultColWidth="9.21875" defaultRowHeight="15" x14ac:dyDescent="0.25"/>
  <cols>
    <col min="1" max="1" width="9.21875" style="2" customWidth="1"/>
    <col min="2" max="2" width="14.5546875" style="2" bestFit="1" customWidth="1"/>
    <col min="3" max="9" width="9.21875" style="2"/>
    <col min="10" max="10" width="11.5546875" style="2" customWidth="1"/>
    <col min="11" max="16384" width="9.21875" style="2"/>
  </cols>
  <sheetData>
    <row r="1" spans="1:14" x14ac:dyDescent="0.25">
      <c r="A1" s="2" t="str">
        <f>+'Cover Page'!$B$29</f>
        <v>Annual Performance Report 2022</v>
      </c>
      <c r="E1" s="2" t="str">
        <f>+'Cover Page'!$B$33</f>
        <v>Severnside Energy Recovery Centre</v>
      </c>
    </row>
    <row r="3" spans="1:14" ht="15.6" x14ac:dyDescent="0.3">
      <c r="A3" s="94" t="s">
        <v>23</v>
      </c>
      <c r="B3" s="95"/>
      <c r="C3" s="95"/>
      <c r="D3" s="95"/>
      <c r="E3" s="95"/>
      <c r="F3" s="95"/>
      <c r="G3" s="95"/>
      <c r="H3" s="95"/>
      <c r="I3" s="96"/>
      <c r="K3" s="137" t="s">
        <v>294</v>
      </c>
    </row>
    <row r="4" spans="1:14" x14ac:dyDescent="0.25">
      <c r="A4" s="97"/>
      <c r="B4" s="98"/>
      <c r="C4" s="98"/>
      <c r="D4" s="98"/>
      <c r="E4" s="98"/>
      <c r="F4" s="98"/>
      <c r="G4" s="98"/>
      <c r="H4" s="98"/>
      <c r="I4" s="99"/>
    </row>
    <row r="5" spans="1:14" ht="15.75" customHeight="1" x14ac:dyDescent="0.25">
      <c r="A5" s="233" t="s">
        <v>424</v>
      </c>
      <c r="B5" s="234"/>
      <c r="C5" s="234"/>
      <c r="D5" s="234"/>
      <c r="E5" s="234"/>
      <c r="F5" s="234"/>
      <c r="G5" s="234"/>
      <c r="H5" s="234"/>
      <c r="I5" s="235"/>
      <c r="K5" s="250" t="s">
        <v>425</v>
      </c>
      <c r="L5" s="251"/>
      <c r="M5" s="251"/>
      <c r="N5" s="251"/>
    </row>
    <row r="6" spans="1:14" ht="50.25" customHeight="1" x14ac:dyDescent="0.25">
      <c r="A6" s="236"/>
      <c r="B6" s="237"/>
      <c r="C6" s="237"/>
      <c r="D6" s="237"/>
      <c r="E6" s="237"/>
      <c r="F6" s="237"/>
      <c r="G6" s="237"/>
      <c r="H6" s="237"/>
      <c r="I6" s="238"/>
      <c r="K6" s="251"/>
      <c r="L6" s="251"/>
      <c r="M6" s="251"/>
      <c r="N6" s="251"/>
    </row>
    <row r="7" spans="1:14" ht="63.75" customHeight="1" x14ac:dyDescent="0.25">
      <c r="A7" s="236"/>
      <c r="B7" s="237"/>
      <c r="C7" s="237"/>
      <c r="D7" s="237"/>
      <c r="E7" s="237"/>
      <c r="F7" s="237"/>
      <c r="G7" s="237"/>
      <c r="H7" s="237"/>
      <c r="I7" s="238"/>
      <c r="K7" s="251"/>
      <c r="L7" s="251"/>
      <c r="M7" s="251"/>
      <c r="N7" s="251"/>
    </row>
    <row r="8" spans="1:14" ht="63.75" customHeight="1" x14ac:dyDescent="0.25">
      <c r="A8" s="236"/>
      <c r="B8" s="237"/>
      <c r="C8" s="237"/>
      <c r="D8" s="237"/>
      <c r="E8" s="237"/>
      <c r="F8" s="237"/>
      <c r="G8" s="237"/>
      <c r="H8" s="237"/>
      <c r="I8" s="238"/>
      <c r="K8" s="251"/>
      <c r="L8" s="251"/>
      <c r="M8" s="251"/>
      <c r="N8" s="251"/>
    </row>
    <row r="9" spans="1:14" ht="63.75" customHeight="1" x14ac:dyDescent="0.25">
      <c r="A9" s="236"/>
      <c r="B9" s="237"/>
      <c r="C9" s="237"/>
      <c r="D9" s="237"/>
      <c r="E9" s="237"/>
      <c r="F9" s="237"/>
      <c r="G9" s="237"/>
      <c r="H9" s="237"/>
      <c r="I9" s="238"/>
      <c r="K9" s="251"/>
      <c r="L9" s="251"/>
      <c r="M9" s="251"/>
      <c r="N9" s="251"/>
    </row>
    <row r="10" spans="1:14" ht="63.75" customHeight="1" x14ac:dyDescent="0.25">
      <c r="A10" s="236"/>
      <c r="B10" s="237"/>
      <c r="C10" s="237"/>
      <c r="D10" s="237"/>
      <c r="E10" s="237"/>
      <c r="F10" s="237"/>
      <c r="G10" s="237"/>
      <c r="H10" s="237"/>
      <c r="I10" s="238"/>
      <c r="K10" s="251"/>
      <c r="L10" s="251"/>
      <c r="M10" s="251"/>
      <c r="N10" s="251"/>
    </row>
    <row r="11" spans="1:14" x14ac:dyDescent="0.25">
      <c r="A11" s="236"/>
      <c r="B11" s="237"/>
      <c r="C11" s="237"/>
      <c r="D11" s="237"/>
      <c r="E11" s="237"/>
      <c r="F11" s="237"/>
      <c r="G11" s="237"/>
      <c r="H11" s="237"/>
      <c r="I11" s="238"/>
      <c r="K11" s="251"/>
      <c r="L11" s="251"/>
      <c r="M11" s="251"/>
      <c r="N11" s="251"/>
    </row>
    <row r="12" spans="1:14" x14ac:dyDescent="0.25">
      <c r="A12" s="236"/>
      <c r="B12" s="237"/>
      <c r="C12" s="237"/>
      <c r="D12" s="237"/>
      <c r="E12" s="237"/>
      <c r="F12" s="237"/>
      <c r="G12" s="237"/>
      <c r="H12" s="237"/>
      <c r="I12" s="238"/>
      <c r="K12" s="251"/>
      <c r="L12" s="251"/>
      <c r="M12" s="251"/>
      <c r="N12" s="251"/>
    </row>
    <row r="13" spans="1:14" x14ac:dyDescent="0.25">
      <c r="A13" s="236"/>
      <c r="B13" s="237"/>
      <c r="C13" s="237"/>
      <c r="D13" s="237"/>
      <c r="E13" s="237"/>
      <c r="F13" s="237"/>
      <c r="G13" s="237"/>
      <c r="H13" s="237"/>
      <c r="I13" s="238"/>
      <c r="K13" s="251"/>
      <c r="L13" s="251"/>
      <c r="M13" s="251"/>
      <c r="N13" s="251"/>
    </row>
    <row r="14" spans="1:14" x14ac:dyDescent="0.25">
      <c r="A14" s="236"/>
      <c r="B14" s="237"/>
      <c r="C14" s="237"/>
      <c r="D14" s="237"/>
      <c r="E14" s="237"/>
      <c r="F14" s="237"/>
      <c r="G14" s="237"/>
      <c r="H14" s="237"/>
      <c r="I14" s="238"/>
      <c r="K14" s="251"/>
      <c r="L14" s="251"/>
      <c r="M14" s="251"/>
      <c r="N14" s="251"/>
    </row>
    <row r="15" spans="1:14" x14ac:dyDescent="0.25">
      <c r="A15" s="236"/>
      <c r="B15" s="237"/>
      <c r="C15" s="237"/>
      <c r="D15" s="237"/>
      <c r="E15" s="237"/>
      <c r="F15" s="237"/>
      <c r="G15" s="237"/>
      <c r="H15" s="237"/>
      <c r="I15" s="238"/>
    </row>
    <row r="16" spans="1:14" x14ac:dyDescent="0.25">
      <c r="A16" s="236"/>
      <c r="B16" s="237"/>
      <c r="C16" s="237"/>
      <c r="D16" s="237"/>
      <c r="E16" s="237"/>
      <c r="F16" s="237"/>
      <c r="G16" s="237"/>
      <c r="H16" s="237"/>
      <c r="I16" s="238"/>
    </row>
    <row r="17" spans="1:14" x14ac:dyDescent="0.25">
      <c r="A17" s="236"/>
      <c r="B17" s="237"/>
      <c r="C17" s="237"/>
      <c r="D17" s="237"/>
      <c r="E17" s="237"/>
      <c r="F17" s="237"/>
      <c r="G17" s="237"/>
      <c r="H17" s="237"/>
      <c r="I17" s="238"/>
    </row>
    <row r="18" spans="1:14" x14ac:dyDescent="0.25">
      <c r="A18" s="239"/>
      <c r="B18" s="240"/>
      <c r="C18" s="240"/>
      <c r="D18" s="240"/>
      <c r="E18" s="240"/>
      <c r="F18" s="240"/>
      <c r="G18" s="240"/>
      <c r="H18" s="240"/>
      <c r="I18" s="241"/>
    </row>
    <row r="20" spans="1:14" x14ac:dyDescent="0.25">
      <c r="A20" s="94" t="s">
        <v>24</v>
      </c>
      <c r="B20" s="95"/>
      <c r="C20" s="95"/>
      <c r="D20" s="95"/>
      <c r="E20" s="95"/>
      <c r="F20" s="95"/>
      <c r="G20" s="95"/>
      <c r="H20" s="95"/>
      <c r="I20" s="96"/>
    </row>
    <row r="21" spans="1:14" x14ac:dyDescent="0.25">
      <c r="A21" s="97"/>
      <c r="B21" s="98"/>
      <c r="C21" s="98"/>
      <c r="D21" s="98"/>
      <c r="E21" s="98"/>
      <c r="F21" s="98"/>
      <c r="G21" s="98"/>
      <c r="H21" s="98"/>
      <c r="I21" s="99"/>
    </row>
    <row r="22" spans="1:14" x14ac:dyDescent="0.25">
      <c r="A22" s="233" t="s">
        <v>455</v>
      </c>
      <c r="B22" s="242"/>
      <c r="C22" s="242"/>
      <c r="D22" s="242"/>
      <c r="E22" s="242"/>
      <c r="F22" s="242"/>
      <c r="G22" s="242"/>
      <c r="H22" s="242"/>
      <c r="I22" s="243"/>
      <c r="K22" s="250" t="s">
        <v>423</v>
      </c>
      <c r="L22" s="251"/>
      <c r="M22" s="251"/>
      <c r="N22" s="251"/>
    </row>
    <row r="23" spans="1:14" ht="57.75" customHeight="1" x14ac:dyDescent="0.25">
      <c r="A23" s="244"/>
      <c r="B23" s="245"/>
      <c r="C23" s="245"/>
      <c r="D23" s="245"/>
      <c r="E23" s="245"/>
      <c r="F23" s="245"/>
      <c r="G23" s="245"/>
      <c r="H23" s="245"/>
      <c r="I23" s="246"/>
      <c r="K23" s="251"/>
      <c r="L23" s="251"/>
      <c r="M23" s="251"/>
      <c r="N23" s="251"/>
    </row>
    <row r="24" spans="1:14" ht="48.75" customHeight="1" x14ac:dyDescent="0.25">
      <c r="A24" s="244"/>
      <c r="B24" s="245"/>
      <c r="C24" s="245"/>
      <c r="D24" s="245"/>
      <c r="E24" s="245"/>
      <c r="F24" s="245"/>
      <c r="G24" s="245"/>
      <c r="H24" s="245"/>
      <c r="I24" s="246"/>
      <c r="K24" s="251"/>
      <c r="L24" s="251"/>
      <c r="M24" s="251"/>
      <c r="N24" s="251"/>
    </row>
    <row r="25" spans="1:14" ht="66" customHeight="1" x14ac:dyDescent="0.25">
      <c r="A25" s="244"/>
      <c r="B25" s="245"/>
      <c r="C25" s="245"/>
      <c r="D25" s="245"/>
      <c r="E25" s="245"/>
      <c r="F25" s="245"/>
      <c r="G25" s="245"/>
      <c r="H25" s="245"/>
      <c r="I25" s="246"/>
      <c r="K25" s="251"/>
      <c r="L25" s="251"/>
      <c r="M25" s="251"/>
      <c r="N25" s="251"/>
    </row>
    <row r="26" spans="1:14" x14ac:dyDescent="0.25">
      <c r="A26" s="244"/>
      <c r="B26" s="245"/>
      <c r="C26" s="245"/>
      <c r="D26" s="245"/>
      <c r="E26" s="245"/>
      <c r="F26" s="245"/>
      <c r="G26" s="245"/>
      <c r="H26" s="245"/>
      <c r="I26" s="246"/>
      <c r="K26" s="251"/>
      <c r="L26" s="251"/>
      <c r="M26" s="251"/>
      <c r="N26" s="251"/>
    </row>
    <row r="27" spans="1:14" x14ac:dyDescent="0.25">
      <c r="A27" s="244"/>
      <c r="B27" s="245"/>
      <c r="C27" s="245"/>
      <c r="D27" s="245"/>
      <c r="E27" s="245"/>
      <c r="F27" s="245"/>
      <c r="G27" s="245"/>
      <c r="H27" s="245"/>
      <c r="I27" s="246"/>
      <c r="K27" s="251"/>
      <c r="L27" s="251"/>
      <c r="M27" s="251"/>
      <c r="N27" s="251"/>
    </row>
    <row r="28" spans="1:14" ht="63.75" customHeight="1" x14ac:dyDescent="0.25">
      <c r="A28" s="244"/>
      <c r="B28" s="245"/>
      <c r="C28" s="245"/>
      <c r="D28" s="245"/>
      <c r="E28" s="245"/>
      <c r="F28" s="245"/>
      <c r="G28" s="245"/>
      <c r="H28" s="245"/>
      <c r="I28" s="246"/>
      <c r="K28" s="251"/>
      <c r="L28" s="251"/>
      <c r="M28" s="251"/>
      <c r="N28" s="251"/>
    </row>
    <row r="29" spans="1:14" x14ac:dyDescent="0.25">
      <c r="A29" s="244"/>
      <c r="B29" s="245"/>
      <c r="C29" s="245"/>
      <c r="D29" s="245"/>
      <c r="E29" s="245"/>
      <c r="F29" s="245"/>
      <c r="G29" s="245"/>
      <c r="H29" s="245"/>
      <c r="I29" s="246"/>
      <c r="K29" s="251"/>
      <c r="L29" s="251"/>
      <c r="M29" s="251"/>
      <c r="N29" s="251"/>
    </row>
    <row r="30" spans="1:14" x14ac:dyDescent="0.25">
      <c r="A30" s="244"/>
      <c r="B30" s="245"/>
      <c r="C30" s="245"/>
      <c r="D30" s="245"/>
      <c r="E30" s="245"/>
      <c r="F30" s="245"/>
      <c r="G30" s="245"/>
      <c r="H30" s="245"/>
      <c r="I30" s="246"/>
      <c r="K30" s="251"/>
      <c r="L30" s="251"/>
      <c r="M30" s="251"/>
      <c r="N30" s="251"/>
    </row>
    <row r="31" spans="1:14" x14ac:dyDescent="0.25">
      <c r="A31" s="244"/>
      <c r="B31" s="245"/>
      <c r="C31" s="245"/>
      <c r="D31" s="245"/>
      <c r="E31" s="245"/>
      <c r="F31" s="245"/>
      <c r="G31" s="245"/>
      <c r="H31" s="245"/>
      <c r="I31" s="246"/>
      <c r="K31" s="251"/>
      <c r="L31" s="251"/>
      <c r="M31" s="251"/>
      <c r="N31" s="251"/>
    </row>
    <row r="32" spans="1:14" x14ac:dyDescent="0.25">
      <c r="A32" s="244"/>
      <c r="B32" s="245"/>
      <c r="C32" s="245"/>
      <c r="D32" s="245"/>
      <c r="E32" s="245"/>
      <c r="F32" s="245"/>
      <c r="G32" s="245"/>
      <c r="H32" s="245"/>
      <c r="I32" s="246"/>
    </row>
    <row r="33" spans="1:9" x14ac:dyDescent="0.25">
      <c r="A33" s="244"/>
      <c r="B33" s="245"/>
      <c r="C33" s="245"/>
      <c r="D33" s="245"/>
      <c r="E33" s="245"/>
      <c r="F33" s="245"/>
      <c r="G33" s="245"/>
      <c r="H33" s="245"/>
      <c r="I33" s="246"/>
    </row>
    <row r="34" spans="1:9" ht="90" customHeight="1" x14ac:dyDescent="0.25">
      <c r="A34" s="244"/>
      <c r="B34" s="245"/>
      <c r="C34" s="245"/>
      <c r="D34" s="245"/>
      <c r="E34" s="245"/>
      <c r="F34" s="245"/>
      <c r="G34" s="245"/>
      <c r="H34" s="245"/>
      <c r="I34" s="246"/>
    </row>
    <row r="35" spans="1:9" x14ac:dyDescent="0.25">
      <c r="A35" s="244"/>
      <c r="B35" s="245"/>
      <c r="C35" s="245"/>
      <c r="D35" s="245"/>
      <c r="E35" s="245"/>
      <c r="F35" s="245"/>
      <c r="G35" s="245"/>
      <c r="H35" s="245"/>
      <c r="I35" s="246"/>
    </row>
    <row r="36" spans="1:9" x14ac:dyDescent="0.25">
      <c r="A36" s="244"/>
      <c r="B36" s="245"/>
      <c r="C36" s="245"/>
      <c r="D36" s="245"/>
      <c r="E36" s="245"/>
      <c r="F36" s="245"/>
      <c r="G36" s="245"/>
      <c r="H36" s="245"/>
      <c r="I36" s="246"/>
    </row>
    <row r="37" spans="1:9" x14ac:dyDescent="0.25">
      <c r="A37" s="244"/>
      <c r="B37" s="245"/>
      <c r="C37" s="245"/>
      <c r="D37" s="245"/>
      <c r="E37" s="245"/>
      <c r="F37" s="245"/>
      <c r="G37" s="245"/>
      <c r="H37" s="245"/>
      <c r="I37" s="246"/>
    </row>
    <row r="38" spans="1:9" x14ac:dyDescent="0.25">
      <c r="A38" s="244"/>
      <c r="B38" s="245"/>
      <c r="C38" s="245"/>
      <c r="D38" s="245"/>
      <c r="E38" s="245"/>
      <c r="F38" s="245"/>
      <c r="G38" s="245"/>
      <c r="H38" s="245"/>
      <c r="I38" s="246"/>
    </row>
    <row r="39" spans="1:9" x14ac:dyDescent="0.25">
      <c r="A39" s="244"/>
      <c r="B39" s="245"/>
      <c r="C39" s="245"/>
      <c r="D39" s="245"/>
      <c r="E39" s="245"/>
      <c r="F39" s="245"/>
      <c r="G39" s="245"/>
      <c r="H39" s="245"/>
      <c r="I39" s="246"/>
    </row>
    <row r="40" spans="1:9" ht="77.25" customHeight="1" x14ac:dyDescent="0.25">
      <c r="A40" s="244"/>
      <c r="B40" s="245"/>
      <c r="C40" s="245"/>
      <c r="D40" s="245"/>
      <c r="E40" s="245"/>
      <c r="F40" s="245"/>
      <c r="G40" s="245"/>
      <c r="H40" s="245"/>
      <c r="I40" s="246"/>
    </row>
    <row r="41" spans="1:9" x14ac:dyDescent="0.25">
      <c r="A41" s="244"/>
      <c r="B41" s="245"/>
      <c r="C41" s="245"/>
      <c r="D41" s="245"/>
      <c r="E41" s="245"/>
      <c r="F41" s="245"/>
      <c r="G41" s="245"/>
      <c r="H41" s="245"/>
      <c r="I41" s="246"/>
    </row>
    <row r="42" spans="1:9" ht="84" customHeight="1" x14ac:dyDescent="0.25">
      <c r="A42" s="244"/>
      <c r="B42" s="245"/>
      <c r="C42" s="245"/>
      <c r="D42" s="245"/>
      <c r="E42" s="245"/>
      <c r="F42" s="245"/>
      <c r="G42" s="245"/>
      <c r="H42" s="245"/>
      <c r="I42" s="246"/>
    </row>
    <row r="43" spans="1:9" x14ac:dyDescent="0.25">
      <c r="A43" s="244"/>
      <c r="B43" s="245"/>
      <c r="C43" s="245"/>
      <c r="D43" s="245"/>
      <c r="E43" s="245"/>
      <c r="F43" s="245"/>
      <c r="G43" s="245"/>
      <c r="H43" s="245"/>
      <c r="I43" s="246"/>
    </row>
    <row r="44" spans="1:9" x14ac:dyDescent="0.25">
      <c r="A44" s="244"/>
      <c r="B44" s="245"/>
      <c r="C44" s="245"/>
      <c r="D44" s="245"/>
      <c r="E44" s="245"/>
      <c r="F44" s="245"/>
      <c r="G44" s="245"/>
      <c r="H44" s="245"/>
      <c r="I44" s="246"/>
    </row>
    <row r="45" spans="1:9" x14ac:dyDescent="0.25">
      <c r="A45" s="244"/>
      <c r="B45" s="245"/>
      <c r="C45" s="245"/>
      <c r="D45" s="245"/>
      <c r="E45" s="245"/>
      <c r="F45" s="245"/>
      <c r="G45" s="245"/>
      <c r="H45" s="245"/>
      <c r="I45" s="246"/>
    </row>
    <row r="46" spans="1:9" ht="69.75" customHeight="1" x14ac:dyDescent="0.25">
      <c r="A46" s="244"/>
      <c r="B46" s="245"/>
      <c r="C46" s="245"/>
      <c r="D46" s="245"/>
      <c r="E46" s="245"/>
      <c r="F46" s="245"/>
      <c r="G46" s="245"/>
      <c r="H46" s="245"/>
      <c r="I46" s="246"/>
    </row>
    <row r="47" spans="1:9" ht="76.5" customHeight="1" x14ac:dyDescent="0.25">
      <c r="A47" s="244"/>
      <c r="B47" s="245"/>
      <c r="C47" s="245"/>
      <c r="D47" s="245"/>
      <c r="E47" s="245"/>
      <c r="F47" s="245"/>
      <c r="G47" s="245"/>
      <c r="H47" s="245"/>
      <c r="I47" s="246"/>
    </row>
    <row r="48" spans="1:9" x14ac:dyDescent="0.25">
      <c r="A48" s="244"/>
      <c r="B48" s="245"/>
      <c r="C48" s="245"/>
      <c r="D48" s="245"/>
      <c r="E48" s="245"/>
      <c r="F48" s="245"/>
      <c r="G48" s="245"/>
      <c r="H48" s="245"/>
      <c r="I48" s="246"/>
    </row>
    <row r="49" spans="1:9" x14ac:dyDescent="0.25">
      <c r="A49" s="244"/>
      <c r="B49" s="245"/>
      <c r="C49" s="245"/>
      <c r="D49" s="245"/>
      <c r="E49" s="245"/>
      <c r="F49" s="245"/>
      <c r="G49" s="245"/>
      <c r="H49" s="245"/>
      <c r="I49" s="246"/>
    </row>
    <row r="50" spans="1:9" ht="105" customHeight="1" x14ac:dyDescent="0.25">
      <c r="A50" s="244"/>
      <c r="B50" s="245"/>
      <c r="C50" s="245"/>
      <c r="D50" s="245"/>
      <c r="E50" s="245"/>
      <c r="F50" s="245"/>
      <c r="G50" s="245"/>
      <c r="H50" s="245"/>
      <c r="I50" s="246"/>
    </row>
    <row r="51" spans="1:9" ht="70.5" customHeight="1" x14ac:dyDescent="0.25">
      <c r="A51" s="244"/>
      <c r="B51" s="245"/>
      <c r="C51" s="245"/>
      <c r="D51" s="245"/>
      <c r="E51" s="245"/>
      <c r="F51" s="245"/>
      <c r="G51" s="245"/>
      <c r="H51" s="245"/>
      <c r="I51" s="246"/>
    </row>
    <row r="52" spans="1:9" ht="82.5" customHeight="1" x14ac:dyDescent="0.25">
      <c r="A52" s="244"/>
      <c r="B52" s="245"/>
      <c r="C52" s="245"/>
      <c r="D52" s="245"/>
      <c r="E52" s="245"/>
      <c r="F52" s="245"/>
      <c r="G52" s="245"/>
      <c r="H52" s="245"/>
      <c r="I52" s="246"/>
    </row>
    <row r="53" spans="1:9" ht="76.5" customHeight="1" x14ac:dyDescent="0.25">
      <c r="A53" s="244"/>
      <c r="B53" s="245"/>
      <c r="C53" s="245"/>
      <c r="D53" s="245"/>
      <c r="E53" s="245"/>
      <c r="F53" s="245"/>
      <c r="G53" s="245"/>
      <c r="H53" s="245"/>
      <c r="I53" s="246"/>
    </row>
    <row r="54" spans="1:9" ht="168" customHeight="1" x14ac:dyDescent="0.25">
      <c r="A54" s="247"/>
      <c r="B54" s="248"/>
      <c r="C54" s="248"/>
      <c r="D54" s="248"/>
      <c r="E54" s="248"/>
      <c r="F54" s="248"/>
      <c r="G54" s="248"/>
      <c r="H54" s="248"/>
      <c r="I54" s="249"/>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view="pageBreakPreview" topLeftCell="A40" zoomScaleNormal="100" zoomScaleSheetLayoutView="100" workbookViewId="0">
      <selection activeCell="G54" sqref="G54"/>
    </sheetView>
  </sheetViews>
  <sheetFormatPr defaultColWidth="9.21875" defaultRowHeight="15" x14ac:dyDescent="0.25"/>
  <cols>
    <col min="1" max="1" width="28.44140625" style="2" customWidth="1"/>
    <col min="2" max="2" width="8.21875" style="15" customWidth="1"/>
    <col min="3" max="3" width="11.21875" style="15" bestFit="1" customWidth="1"/>
    <col min="4" max="4" width="11.44140625" style="15" customWidth="1"/>
    <col min="5" max="5" width="11.21875" style="15" customWidth="1"/>
    <col min="6" max="6" width="11.77734375" style="15" customWidth="1"/>
    <col min="7" max="7" width="11.21875" style="19" customWidth="1"/>
    <col min="8" max="8" width="11.5546875" style="20" customWidth="1"/>
    <col min="9" max="10" width="9.21875" style="2"/>
    <col min="11" max="11" width="38.44140625" style="2" customWidth="1"/>
    <col min="12" max="16384" width="9.21875" style="2"/>
  </cols>
  <sheetData>
    <row r="1" spans="1:11" x14ac:dyDescent="0.25">
      <c r="A1" s="2" t="str">
        <f>+'Cover Page'!$B$29</f>
        <v>Annual Performance Report 2022</v>
      </c>
      <c r="B1" s="2"/>
      <c r="C1" s="2"/>
      <c r="D1" s="2"/>
      <c r="E1" s="2" t="str">
        <f>+'Cover Page'!$B$33</f>
        <v>Severnside Energy Recovery Centre</v>
      </c>
      <c r="F1" s="2"/>
      <c r="G1" s="2"/>
      <c r="H1" s="2"/>
    </row>
    <row r="3" spans="1:11" ht="15.6" x14ac:dyDescent="0.3">
      <c r="A3" s="1" t="s">
        <v>273</v>
      </c>
      <c r="K3" s="137" t="s">
        <v>294</v>
      </c>
    </row>
    <row r="4" spans="1:11" x14ac:dyDescent="0.25">
      <c r="A4" s="22" t="s">
        <v>27</v>
      </c>
      <c r="B4" s="259">
        <v>467000</v>
      </c>
      <c r="C4" s="259"/>
      <c r="D4" s="24" t="s">
        <v>28</v>
      </c>
      <c r="E4" s="23">
        <v>131</v>
      </c>
      <c r="F4" s="24" t="s">
        <v>29</v>
      </c>
      <c r="G4" s="23">
        <v>36</v>
      </c>
      <c r="H4" s="124" t="s">
        <v>30</v>
      </c>
      <c r="K4" s="21" t="s">
        <v>345</v>
      </c>
    </row>
    <row r="5" spans="1:11" x14ac:dyDescent="0.25">
      <c r="A5" s="25" t="s">
        <v>31</v>
      </c>
      <c r="B5" s="26">
        <v>2</v>
      </c>
      <c r="C5" s="27"/>
      <c r="D5" s="27" t="s">
        <v>32</v>
      </c>
      <c r="E5" s="27"/>
      <c r="F5" s="28">
        <v>1</v>
      </c>
      <c r="G5" s="29"/>
      <c r="H5" s="30"/>
      <c r="K5" s="21" t="s">
        <v>346</v>
      </c>
    </row>
    <row r="6" spans="1:11" x14ac:dyDescent="0.25">
      <c r="A6" s="3"/>
      <c r="K6" s="254" t="s">
        <v>347</v>
      </c>
    </row>
    <row r="7" spans="1:11" x14ac:dyDescent="0.25">
      <c r="A7" s="10" t="s">
        <v>33</v>
      </c>
      <c r="B7" s="31" t="s">
        <v>34</v>
      </c>
      <c r="C7" s="32" t="s">
        <v>35</v>
      </c>
      <c r="D7" s="32" t="s">
        <v>36</v>
      </c>
      <c r="E7" s="32" t="s">
        <v>37</v>
      </c>
      <c r="F7" s="32" t="s">
        <v>38</v>
      </c>
      <c r="G7" s="33" t="s">
        <v>39</v>
      </c>
      <c r="H7" s="34" t="s">
        <v>40</v>
      </c>
      <c r="K7" s="254"/>
    </row>
    <row r="8" spans="1:11" ht="15.75" customHeight="1" x14ac:dyDescent="0.25">
      <c r="A8" s="35" t="s">
        <v>284</v>
      </c>
      <c r="B8" s="256" t="s">
        <v>41</v>
      </c>
      <c r="C8" s="36">
        <v>21757.64</v>
      </c>
      <c r="D8" s="36">
        <v>16625.62</v>
      </c>
      <c r="E8" s="36">
        <v>11483.898999999999</v>
      </c>
      <c r="F8" s="36">
        <v>14291.339</v>
      </c>
      <c r="G8" s="37">
        <f>SUM(C8:F8)</f>
        <v>64158.497999999992</v>
      </c>
      <c r="H8" s="57">
        <f t="shared" ref="H8:H15" si="0">IF(G8&gt;0,G8/$G$18,"-")</f>
        <v>0.16618724564674545</v>
      </c>
      <c r="K8" s="255" t="s">
        <v>427</v>
      </c>
    </row>
    <row r="9" spans="1:11" x14ac:dyDescent="0.25">
      <c r="A9" s="39" t="s">
        <v>42</v>
      </c>
      <c r="B9" s="257"/>
      <c r="C9" s="126">
        <v>9211</v>
      </c>
      <c r="D9" s="126">
        <v>6295</v>
      </c>
      <c r="E9" s="126">
        <v>8869</v>
      </c>
      <c r="F9" s="126">
        <v>12122</v>
      </c>
      <c r="G9" s="157">
        <f t="shared" ref="G9:G15" si="1">SUM(C9:F9)</f>
        <v>36497</v>
      </c>
      <c r="H9" s="38">
        <f t="shared" si="0"/>
        <v>9.453675028940467E-2</v>
      </c>
      <c r="K9" s="255"/>
    </row>
    <row r="10" spans="1:11" x14ac:dyDescent="0.25">
      <c r="A10" s="39" t="s">
        <v>43</v>
      </c>
      <c r="B10" s="257"/>
      <c r="C10" s="126"/>
      <c r="D10" s="126"/>
      <c r="E10" s="126"/>
      <c r="F10" s="126"/>
      <c r="G10" s="157">
        <f t="shared" si="1"/>
        <v>0</v>
      </c>
      <c r="H10" s="38" t="str">
        <f t="shared" si="0"/>
        <v>-</v>
      </c>
      <c r="K10" s="255"/>
    </row>
    <row r="11" spans="1:11" x14ac:dyDescent="0.25">
      <c r="A11" s="39" t="s">
        <v>44</v>
      </c>
      <c r="B11" s="257"/>
      <c r="C11" s="126"/>
      <c r="D11" s="126"/>
      <c r="E11" s="126"/>
      <c r="F11" s="126"/>
      <c r="G11" s="157">
        <f t="shared" si="1"/>
        <v>0</v>
      </c>
      <c r="H11" s="38" t="str">
        <f t="shared" si="0"/>
        <v>-</v>
      </c>
      <c r="K11" s="255"/>
    </row>
    <row r="12" spans="1:11" x14ac:dyDescent="0.25">
      <c r="A12" s="39" t="s">
        <v>45</v>
      </c>
      <c r="B12" s="257"/>
      <c r="C12" s="126"/>
      <c r="D12" s="126"/>
      <c r="E12" s="126"/>
      <c r="F12" s="126"/>
      <c r="G12" s="157">
        <f t="shared" si="1"/>
        <v>0</v>
      </c>
      <c r="H12" s="38" t="str">
        <f t="shared" si="0"/>
        <v>-</v>
      </c>
      <c r="K12" s="255"/>
    </row>
    <row r="13" spans="1:11" x14ac:dyDescent="0.25">
      <c r="A13" s="151" t="s">
        <v>342</v>
      </c>
      <c r="B13" s="257"/>
      <c r="C13" s="126">
        <v>68848.52</v>
      </c>
      <c r="D13" s="126">
        <v>69618.391000000003</v>
      </c>
      <c r="E13" s="126">
        <v>66621.445000000007</v>
      </c>
      <c r="F13" s="126">
        <v>79305.17</v>
      </c>
      <c r="G13" s="157">
        <f t="shared" ref="G13" si="2">SUM(C13:F13)</f>
        <v>284393.52600000001</v>
      </c>
      <c r="H13" s="38">
        <f t="shared" si="0"/>
        <v>0.73665341675713936</v>
      </c>
      <c r="K13" s="255"/>
    </row>
    <row r="14" spans="1:11" x14ac:dyDescent="0.25">
      <c r="A14" s="151" t="s">
        <v>341</v>
      </c>
      <c r="B14" s="257"/>
      <c r="C14" s="126"/>
      <c r="D14" s="126">
        <v>90.96</v>
      </c>
      <c r="E14" s="126"/>
      <c r="F14" s="126">
        <v>921.52</v>
      </c>
      <c r="G14" s="157">
        <f t="shared" si="1"/>
        <v>1012.48</v>
      </c>
      <c r="H14" s="38">
        <f t="shared" si="0"/>
        <v>2.6225873067105914E-3</v>
      </c>
      <c r="K14" s="255"/>
    </row>
    <row r="15" spans="1:11" x14ac:dyDescent="0.25">
      <c r="A15" s="127" t="s">
        <v>285</v>
      </c>
      <c r="B15" s="257"/>
      <c r="C15" s="126"/>
      <c r="D15" s="126"/>
      <c r="E15" s="126"/>
      <c r="F15" s="126"/>
      <c r="G15" s="157">
        <f t="shared" si="1"/>
        <v>0</v>
      </c>
      <c r="H15" s="38" t="str">
        <f t="shared" si="0"/>
        <v>-</v>
      </c>
      <c r="K15" s="255"/>
    </row>
    <row r="16" spans="1:11" x14ac:dyDescent="0.25">
      <c r="A16" s="127" t="s">
        <v>285</v>
      </c>
      <c r="B16" s="257"/>
      <c r="C16" s="126"/>
      <c r="D16" s="126"/>
      <c r="E16" s="126"/>
      <c r="F16" s="126"/>
      <c r="G16" s="157"/>
      <c r="H16" s="38"/>
      <c r="K16" s="255"/>
    </row>
    <row r="17" spans="1:12" x14ac:dyDescent="0.25">
      <c r="A17" s="127" t="s">
        <v>285</v>
      </c>
      <c r="B17" s="257"/>
      <c r="C17" s="126"/>
      <c r="D17" s="126"/>
      <c r="E17" s="126"/>
      <c r="F17" s="126"/>
      <c r="G17" s="157"/>
      <c r="H17" s="38"/>
      <c r="K17" s="255"/>
    </row>
    <row r="18" spans="1:12" x14ac:dyDescent="0.25">
      <c r="A18" s="160" t="s">
        <v>355</v>
      </c>
      <c r="B18" s="257"/>
      <c r="C18" s="157">
        <f>SUM(C8:C17)</f>
        <v>99817.16</v>
      </c>
      <c r="D18" s="157">
        <f>SUM(D8:D17)</f>
        <v>92629.971000000005</v>
      </c>
      <c r="E18" s="157">
        <f>SUM(E8:E17)</f>
        <v>86974.344000000012</v>
      </c>
      <c r="F18" s="157">
        <f>SUM(F8:F17)</f>
        <v>106640.02899999999</v>
      </c>
      <c r="G18" s="157">
        <f>SUM(G8:G17)</f>
        <v>386061.50399999996</v>
      </c>
      <c r="H18" s="159">
        <v>1</v>
      </c>
      <c r="K18" s="255"/>
    </row>
    <row r="19" spans="1:12" x14ac:dyDescent="0.25">
      <c r="A19" s="39" t="s">
        <v>46</v>
      </c>
      <c r="B19" s="257"/>
      <c r="C19" s="126"/>
      <c r="D19" s="126"/>
      <c r="E19" s="126"/>
      <c r="F19" s="126"/>
      <c r="G19" s="157">
        <f t="shared" ref="G19" si="3">SUM(C19:F19)</f>
        <v>0</v>
      </c>
      <c r="H19" s="38" t="str">
        <f t="shared" ref="H19" si="4">IF(G19&gt;0,G19/$G$18,"-")</f>
        <v>-</v>
      </c>
      <c r="K19" s="255"/>
    </row>
    <row r="20" spans="1:12" x14ac:dyDescent="0.25">
      <c r="A20" s="151" t="s">
        <v>336</v>
      </c>
      <c r="B20" s="257"/>
      <c r="C20" s="126">
        <v>31.89</v>
      </c>
      <c r="D20" s="126">
        <v>1293.03</v>
      </c>
      <c r="E20" s="126">
        <v>934</v>
      </c>
      <c r="F20" s="126">
        <v>577.99</v>
      </c>
      <c r="G20" s="157">
        <f t="shared" ref="G20" si="5">SUM(C20:F20)</f>
        <v>2836.91</v>
      </c>
      <c r="H20" s="38">
        <f>IF(G20&gt;0,G20/$G$18,"-")</f>
        <v>7.3483369116232843E-3</v>
      </c>
    </row>
    <row r="21" spans="1:12" x14ac:dyDescent="0.25">
      <c r="A21" s="161" t="s">
        <v>337</v>
      </c>
      <c r="B21" s="156"/>
      <c r="C21" s="158">
        <f>C18-SUM(C19:C20)</f>
        <v>99785.27</v>
      </c>
      <c r="D21" s="158">
        <f t="shared" ref="D21:F21" si="6">D18-SUM(D19:D20)</f>
        <v>91336.941000000006</v>
      </c>
      <c r="E21" s="158">
        <f t="shared" si="6"/>
        <v>86040.344000000012</v>
      </c>
      <c r="F21" s="158">
        <f t="shared" si="6"/>
        <v>106062.03899999999</v>
      </c>
      <c r="G21" s="43">
        <f>SUM(C21:F21)</f>
        <v>383224.59400000004</v>
      </c>
      <c r="H21" s="60">
        <f>IF(G21&gt;0,G21/$G$18,"-")</f>
        <v>0.99265166308837693</v>
      </c>
    </row>
    <row r="22" spans="1:12" x14ac:dyDescent="0.25">
      <c r="A22" s="3"/>
      <c r="C22" s="20"/>
      <c r="D22" s="20"/>
      <c r="E22" s="20"/>
      <c r="F22" s="20"/>
      <c r="G22" s="44"/>
    </row>
    <row r="23" spans="1:12" x14ac:dyDescent="0.25">
      <c r="A23" s="10" t="s">
        <v>428</v>
      </c>
      <c r="B23" s="31" t="s">
        <v>34</v>
      </c>
      <c r="C23" s="45" t="s">
        <v>35</v>
      </c>
      <c r="D23" s="45" t="s">
        <v>36</v>
      </c>
      <c r="E23" s="45" t="s">
        <v>37</v>
      </c>
      <c r="F23" s="45" t="s">
        <v>38</v>
      </c>
      <c r="G23" s="46" t="s">
        <v>39</v>
      </c>
      <c r="H23" s="47" t="s">
        <v>47</v>
      </c>
    </row>
    <row r="24" spans="1:12" ht="15" customHeight="1" x14ac:dyDescent="0.25">
      <c r="A24" s="48" t="s">
        <v>48</v>
      </c>
      <c r="B24" s="256" t="s">
        <v>49</v>
      </c>
      <c r="C24" s="36">
        <v>76257</v>
      </c>
      <c r="D24" s="36">
        <v>68596</v>
      </c>
      <c r="E24" s="36">
        <v>60889</v>
      </c>
      <c r="F24" s="36">
        <v>77876</v>
      </c>
      <c r="G24" s="37">
        <f t="shared" ref="G24:G27" si="7">SUM(C24:F24)</f>
        <v>283618</v>
      </c>
      <c r="H24" s="49">
        <f>IF(G24&gt;0,G24*1000/$G$21,"-")</f>
        <v>740.08298120866425</v>
      </c>
    </row>
    <row r="25" spans="1:12" x14ac:dyDescent="0.25">
      <c r="A25" s="50" t="s">
        <v>50</v>
      </c>
      <c r="B25" s="257"/>
      <c r="C25" s="40">
        <v>69421.12969999999</v>
      </c>
      <c r="D25" s="40">
        <v>61387.22849999999</v>
      </c>
      <c r="E25" s="40">
        <v>55425.759900000005</v>
      </c>
      <c r="F25" s="40">
        <v>70421.52410000001</v>
      </c>
      <c r="G25" s="41">
        <f>SUM(C25:F25)</f>
        <v>256655.6422</v>
      </c>
      <c r="H25" s="51">
        <f>IF(G25&gt;0,G25*1000/$G$21,"-")</f>
        <v>669.72643775571453</v>
      </c>
    </row>
    <row r="26" spans="1:12" x14ac:dyDescent="0.25">
      <c r="A26" s="50" t="s">
        <v>51</v>
      </c>
      <c r="B26" s="257"/>
      <c r="C26" s="40">
        <f>(C24+C27)-C25</f>
        <v>6892.1599000000133</v>
      </c>
      <c r="D26" s="40">
        <f t="shared" ref="D26:F26" si="8">(D24+D27)-D25</f>
        <v>7279.8518200000035</v>
      </c>
      <c r="E26" s="40">
        <f t="shared" si="8"/>
        <v>5951.8493799999924</v>
      </c>
      <c r="F26" s="40">
        <f t="shared" si="8"/>
        <v>7555.5557399999961</v>
      </c>
      <c r="G26" s="41">
        <f>SUM(C26:F26)</f>
        <v>27679.416840000005</v>
      </c>
      <c r="H26" s="51">
        <f>IF(G26&gt;0,G26*1000/$G$21,"-")</f>
        <v>72.22766302937228</v>
      </c>
    </row>
    <row r="27" spans="1:12" x14ac:dyDescent="0.25">
      <c r="A27" s="50" t="s">
        <v>52</v>
      </c>
      <c r="B27" s="257"/>
      <c r="C27" s="40">
        <v>56.2896</v>
      </c>
      <c r="D27" s="40">
        <v>71.08032</v>
      </c>
      <c r="E27" s="40">
        <v>488.6092799999999</v>
      </c>
      <c r="F27" s="40">
        <v>101.07983999999996</v>
      </c>
      <c r="G27" s="41">
        <f t="shared" si="7"/>
        <v>717.05903999999987</v>
      </c>
      <c r="H27" s="51">
        <f>IF(G27&gt;0,G27*1000/$G$21,"-")</f>
        <v>1.8711195764225921</v>
      </c>
    </row>
    <row r="28" spans="1:12" x14ac:dyDescent="0.25">
      <c r="A28" s="50" t="s">
        <v>53</v>
      </c>
      <c r="B28" s="52" t="s">
        <v>40</v>
      </c>
      <c r="C28" s="53">
        <f>IF(C24&gt;0,1-C25/(C24+C27),"-")</f>
        <v>9.0314019171832571E-2</v>
      </c>
      <c r="D28" s="53">
        <f>IF(D24&gt;0,1-D25/(D24+D27),"-")</f>
        <v>0.10601662086220476</v>
      </c>
      <c r="E28" s="53">
        <f>IF(E24&gt;0,1-E25/(E24+E27),"-")</f>
        <v>9.6971020048176038E-2</v>
      </c>
      <c r="F28" s="53">
        <f>IF(F24&gt;0,1-F25/(F24+F27),"-")</f>
        <v>9.6894571526699003E-2</v>
      </c>
      <c r="G28" s="53">
        <f>IF(G24&gt;0,1-G25/(G24+G27),"-")</f>
        <v>9.7347885742454676E-2</v>
      </c>
      <c r="H28" s="51"/>
    </row>
    <row r="29" spans="1:12" x14ac:dyDescent="0.25">
      <c r="A29" s="147" t="s">
        <v>343</v>
      </c>
      <c r="B29" s="260" t="s">
        <v>49</v>
      </c>
      <c r="C29" s="40"/>
      <c r="D29" s="40"/>
      <c r="E29" s="40"/>
      <c r="F29" s="40"/>
      <c r="G29" s="41">
        <f t="shared" ref="G29:G30" si="9">SUM(C29:F29)</f>
        <v>0</v>
      </c>
      <c r="H29" s="51" t="str">
        <f>IF(G29&gt;0,G29*1000/$G$21,"-")</f>
        <v>-</v>
      </c>
    </row>
    <row r="30" spans="1:12" x14ac:dyDescent="0.25">
      <c r="A30" s="147" t="s">
        <v>344</v>
      </c>
      <c r="B30" s="261"/>
      <c r="C30" s="40"/>
      <c r="D30" s="40"/>
      <c r="E30" s="40"/>
      <c r="F30" s="40"/>
      <c r="G30" s="41">
        <f t="shared" si="9"/>
        <v>0</v>
      </c>
      <c r="H30" s="51" t="str">
        <f>IF(G30&gt;0,G30*1000/$G$21,"-")</f>
        <v>-</v>
      </c>
      <c r="K30" s="21"/>
      <c r="L30" s="21"/>
    </row>
    <row r="31" spans="1:12" x14ac:dyDescent="0.25">
      <c r="A31" s="168" t="s">
        <v>367</v>
      </c>
      <c r="B31" s="55"/>
      <c r="C31" s="166"/>
      <c r="D31" s="166"/>
      <c r="E31" s="166"/>
      <c r="F31" s="166"/>
      <c r="G31" s="167"/>
      <c r="H31" s="182">
        <v>0.86</v>
      </c>
      <c r="L31" s="21"/>
    </row>
    <row r="32" spans="1:12" x14ac:dyDescent="0.25">
      <c r="A32" s="3"/>
      <c r="C32" s="20"/>
      <c r="D32" s="20"/>
      <c r="E32" s="20"/>
      <c r="F32" s="20"/>
      <c r="G32" s="44"/>
      <c r="L32" s="21"/>
    </row>
    <row r="33" spans="1:12" x14ac:dyDescent="0.25">
      <c r="A33" s="10" t="s">
        <v>55</v>
      </c>
      <c r="B33" s="56" t="s">
        <v>34</v>
      </c>
      <c r="C33" s="45" t="s">
        <v>35</v>
      </c>
      <c r="D33" s="45" t="s">
        <v>36</v>
      </c>
      <c r="E33" s="45" t="s">
        <v>37</v>
      </c>
      <c r="F33" s="45" t="s">
        <v>38</v>
      </c>
      <c r="G33" s="46" t="s">
        <v>39</v>
      </c>
      <c r="H33" s="186" t="s">
        <v>56</v>
      </c>
      <c r="L33" s="21"/>
    </row>
    <row r="34" spans="1:12" ht="15" customHeight="1" x14ac:dyDescent="0.25">
      <c r="A34" s="48" t="s">
        <v>57</v>
      </c>
      <c r="B34" s="256" t="s">
        <v>41</v>
      </c>
      <c r="C34" s="36">
        <v>2196.92</v>
      </c>
      <c r="D34" s="36">
        <v>2266.88</v>
      </c>
      <c r="E34" s="36">
        <v>2103.44</v>
      </c>
      <c r="F34" s="36">
        <v>2635.56</v>
      </c>
      <c r="G34" s="37">
        <f t="shared" ref="G34:G35" si="10">SUM(C34:F34)</f>
        <v>9202.7999999999993</v>
      </c>
      <c r="H34" s="57">
        <f>IF(G34&gt;0,G34/$G$21,"-")</f>
        <v>2.4014116380015001E-2</v>
      </c>
      <c r="K34" s="21"/>
      <c r="L34" s="21"/>
    </row>
    <row r="35" spans="1:12" ht="15" customHeight="1" x14ac:dyDescent="0.25">
      <c r="A35" s="50" t="s">
        <v>58</v>
      </c>
      <c r="B35" s="257"/>
      <c r="C35" s="40">
        <v>19973.259999999998</v>
      </c>
      <c r="D35" s="40">
        <v>13903.11</v>
      </c>
      <c r="E35" s="40">
        <v>9695.02</v>
      </c>
      <c r="F35" s="40">
        <v>16732.34</v>
      </c>
      <c r="G35" s="41">
        <f t="shared" si="10"/>
        <v>60303.729999999996</v>
      </c>
      <c r="H35" s="38">
        <f>IF(G35&gt;0,G35/$G$21,"-")</f>
        <v>0.15735871586571501</v>
      </c>
      <c r="K35" s="21"/>
      <c r="L35" s="21"/>
    </row>
    <row r="36" spans="1:12" ht="15" customHeight="1" x14ac:dyDescent="0.25">
      <c r="A36" s="50" t="s">
        <v>59</v>
      </c>
      <c r="B36" s="257"/>
      <c r="C36" s="40">
        <v>3103.48</v>
      </c>
      <c r="D36" s="40">
        <v>3234.18</v>
      </c>
      <c r="E36" s="40">
        <v>2051.6799999999998</v>
      </c>
      <c r="F36" s="40">
        <v>3099.26</v>
      </c>
      <c r="G36" s="41">
        <f t="shared" ref="G36:G39" si="11">SUM(C36:F36)</f>
        <v>11488.6</v>
      </c>
      <c r="H36" s="38">
        <f>IF(G36&gt;0,G36/$G$21,"-")</f>
        <v>2.9978764880627676E-2</v>
      </c>
    </row>
    <row r="37" spans="1:12" x14ac:dyDescent="0.25">
      <c r="A37" s="58" t="s">
        <v>60</v>
      </c>
      <c r="B37" s="257"/>
      <c r="C37" s="40">
        <v>0</v>
      </c>
      <c r="D37" s="40">
        <v>0</v>
      </c>
      <c r="E37" s="40">
        <v>0</v>
      </c>
      <c r="F37" s="40">
        <v>0</v>
      </c>
      <c r="G37" s="41">
        <f t="shared" ref="G37" si="12">SUM(C37:F37)</f>
        <v>0</v>
      </c>
      <c r="H37" s="38" t="str">
        <f t="shared" ref="H37:H39" si="13">IF(G37&gt;0,G37/$G$21,"-")</f>
        <v>-</v>
      </c>
    </row>
    <row r="38" spans="1:12" x14ac:dyDescent="0.25">
      <c r="A38" s="58" t="s">
        <v>60</v>
      </c>
      <c r="B38" s="257"/>
      <c r="C38" s="40">
        <v>0</v>
      </c>
      <c r="D38" s="40">
        <v>0</v>
      </c>
      <c r="E38" s="40">
        <v>0</v>
      </c>
      <c r="F38" s="40">
        <v>0</v>
      </c>
      <c r="G38" s="41">
        <f t="shared" si="11"/>
        <v>0</v>
      </c>
      <c r="H38" s="38" t="str">
        <f t="shared" si="13"/>
        <v>-</v>
      </c>
    </row>
    <row r="39" spans="1:12" x14ac:dyDescent="0.25">
      <c r="A39" s="59" t="s">
        <v>60</v>
      </c>
      <c r="B39" s="258"/>
      <c r="C39" s="42">
        <v>0</v>
      </c>
      <c r="D39" s="42">
        <v>0</v>
      </c>
      <c r="E39" s="42">
        <v>0</v>
      </c>
      <c r="F39" s="42">
        <v>0</v>
      </c>
      <c r="G39" s="43">
        <f t="shared" si="11"/>
        <v>0</v>
      </c>
      <c r="H39" s="60" t="str">
        <f t="shared" si="13"/>
        <v>-</v>
      </c>
    </row>
    <row r="40" spans="1:12" x14ac:dyDescent="0.25">
      <c r="A40" s="15"/>
      <c r="C40" s="20"/>
      <c r="D40" s="20"/>
      <c r="E40" s="20"/>
      <c r="F40" s="20"/>
      <c r="G40" s="44"/>
    </row>
    <row r="41" spans="1:12" x14ac:dyDescent="0.25">
      <c r="A41" s="10" t="s">
        <v>61</v>
      </c>
      <c r="B41" s="61" t="s">
        <v>34</v>
      </c>
      <c r="C41" s="32" t="s">
        <v>35</v>
      </c>
      <c r="D41" s="32" t="s">
        <v>36</v>
      </c>
      <c r="E41" s="32" t="s">
        <v>37</v>
      </c>
      <c r="F41" s="32" t="s">
        <v>38</v>
      </c>
      <c r="G41" s="33" t="s">
        <v>39</v>
      </c>
      <c r="H41" s="34" t="s">
        <v>62</v>
      </c>
    </row>
    <row r="42" spans="1:12" ht="15.6" customHeight="1" x14ac:dyDescent="0.25">
      <c r="A42" s="48" t="s">
        <v>63</v>
      </c>
      <c r="B42" s="52" t="s">
        <v>69</v>
      </c>
      <c r="C42" s="36">
        <v>16333000</v>
      </c>
      <c r="D42" s="36">
        <v>16511000</v>
      </c>
      <c r="E42" s="36">
        <v>16692000</v>
      </c>
      <c r="F42" s="36">
        <v>16692000</v>
      </c>
      <c r="G42" s="37">
        <f>SUM(C42:F42)</f>
        <v>66228000</v>
      </c>
      <c r="H42" s="62">
        <f>IF(G42&gt;0,G42/$G$21,"-")</f>
        <v>172.81771847868404</v>
      </c>
    </row>
    <row r="43" spans="1:12" x14ac:dyDescent="0.25">
      <c r="A43" s="50" t="s">
        <v>65</v>
      </c>
      <c r="B43" s="52" t="s">
        <v>69</v>
      </c>
      <c r="C43" s="40"/>
      <c r="D43" s="40"/>
      <c r="E43" s="40"/>
      <c r="F43" s="40"/>
      <c r="G43" s="41">
        <f t="shared" ref="G43:G50" si="14">SUM(C43:F43)</f>
        <v>0</v>
      </c>
      <c r="H43" s="62" t="str">
        <f t="shared" ref="H43:H45" si="15">IF(G43&gt;0,G43/$G$21,"-")</f>
        <v>-</v>
      </c>
    </row>
    <row r="44" spans="1:12" ht="15.6" customHeight="1" x14ac:dyDescent="0.25">
      <c r="A44" s="147" t="s">
        <v>331</v>
      </c>
      <c r="B44" s="52" t="s">
        <v>286</v>
      </c>
      <c r="C44" s="40">
        <v>196889.52</v>
      </c>
      <c r="D44" s="40">
        <v>211747</v>
      </c>
      <c r="E44" s="40">
        <v>212848</v>
      </c>
      <c r="F44" s="40">
        <v>227117</v>
      </c>
      <c r="G44" s="41">
        <f>SUM(C44:F44)</f>
        <v>848601.52</v>
      </c>
      <c r="H44" s="62">
        <f>IF(G44&gt;0,G44/$G$21,"-")</f>
        <v>2.2143712415284074</v>
      </c>
    </row>
    <row r="45" spans="1:12" ht="15.6" customHeight="1" x14ac:dyDescent="0.25">
      <c r="A45" s="147" t="s">
        <v>332</v>
      </c>
      <c r="B45" s="52" t="s">
        <v>286</v>
      </c>
      <c r="C45" s="40"/>
      <c r="D45" s="40"/>
      <c r="E45" s="40"/>
      <c r="F45" s="40"/>
      <c r="G45" s="41">
        <f t="shared" ref="G45" si="16">SUM(C45:F45)</f>
        <v>0</v>
      </c>
      <c r="H45" s="62" t="str">
        <f t="shared" si="15"/>
        <v>-</v>
      </c>
    </row>
    <row r="46" spans="1:12" x14ac:dyDescent="0.25">
      <c r="A46" s="50" t="s">
        <v>66</v>
      </c>
      <c r="B46" s="52" t="s">
        <v>286</v>
      </c>
      <c r="C46" s="40">
        <v>16228</v>
      </c>
      <c r="D46" s="40">
        <v>16022</v>
      </c>
      <c r="E46" s="40">
        <v>12949</v>
      </c>
      <c r="F46" s="40">
        <v>19121</v>
      </c>
      <c r="G46" s="41">
        <f>SUM(C46:F46)</f>
        <v>64320</v>
      </c>
      <c r="H46" s="62">
        <f>IF(G46&gt;0,G46/$G$21,"-")</f>
        <v>0.16783891484793378</v>
      </c>
    </row>
    <row r="47" spans="1:12" x14ac:dyDescent="0.25">
      <c r="A47" s="50" t="s">
        <v>67</v>
      </c>
      <c r="B47" s="52" t="s">
        <v>286</v>
      </c>
      <c r="C47" s="40">
        <v>744361</v>
      </c>
      <c r="D47" s="40">
        <v>792643</v>
      </c>
      <c r="E47" s="40">
        <v>734307</v>
      </c>
      <c r="F47" s="40">
        <v>922222</v>
      </c>
      <c r="G47" s="41">
        <f>SUM(C47:F47)</f>
        <v>3193533</v>
      </c>
      <c r="H47" s="62">
        <f>IF(G47&gt;0,G47/$G$21,"-")</f>
        <v>8.3333195468138452</v>
      </c>
    </row>
    <row r="48" spans="1:12" x14ac:dyDescent="0.25">
      <c r="A48" s="50" t="s">
        <v>68</v>
      </c>
      <c r="B48" s="52" t="s">
        <v>69</v>
      </c>
      <c r="C48" s="40">
        <v>208489</v>
      </c>
      <c r="D48" s="40">
        <v>341244</v>
      </c>
      <c r="E48" s="40">
        <v>305899</v>
      </c>
      <c r="F48" s="40">
        <v>258103</v>
      </c>
      <c r="G48" s="41">
        <f>SUM(C48:F48)</f>
        <v>1113735</v>
      </c>
      <c r="H48" s="62">
        <f>IF(G48&gt;0,G48/$G$21,"-")</f>
        <v>2.9062200532985623</v>
      </c>
    </row>
    <row r="49" spans="1:10" x14ac:dyDescent="0.25">
      <c r="A49" s="50" t="s">
        <v>70</v>
      </c>
      <c r="B49" s="52" t="s">
        <v>71</v>
      </c>
      <c r="C49" s="40">
        <v>0</v>
      </c>
      <c r="D49" s="40">
        <v>0</v>
      </c>
      <c r="E49" s="40">
        <v>0</v>
      </c>
      <c r="F49" s="40">
        <v>0</v>
      </c>
      <c r="G49" s="41">
        <f t="shared" si="14"/>
        <v>0</v>
      </c>
      <c r="H49" s="148"/>
    </row>
    <row r="50" spans="1:10" x14ac:dyDescent="0.25">
      <c r="A50" s="54" t="s">
        <v>60</v>
      </c>
      <c r="B50" s="63"/>
      <c r="C50" s="42">
        <v>0</v>
      </c>
      <c r="D50" s="42">
        <v>0</v>
      </c>
      <c r="E50" s="42">
        <v>0</v>
      </c>
      <c r="F50" s="42">
        <v>0</v>
      </c>
      <c r="G50" s="43">
        <f t="shared" si="14"/>
        <v>0</v>
      </c>
      <c r="H50" s="149"/>
    </row>
    <row r="51" spans="1:10" x14ac:dyDescent="0.25">
      <c r="A51" s="15"/>
      <c r="C51" s="20"/>
      <c r="D51" s="20"/>
      <c r="E51" s="20"/>
      <c r="F51" s="20"/>
      <c r="G51" s="44"/>
    </row>
    <row r="52" spans="1:10" x14ac:dyDescent="0.25">
      <c r="A52" s="10" t="s">
        <v>338</v>
      </c>
      <c r="B52" s="64" t="s">
        <v>290</v>
      </c>
      <c r="C52" s="45">
        <v>2</v>
      </c>
      <c r="D52" s="45" t="s">
        <v>36</v>
      </c>
      <c r="E52" s="45" t="s">
        <v>37</v>
      </c>
      <c r="F52" s="45" t="s">
        <v>38</v>
      </c>
      <c r="G52" s="46" t="s">
        <v>39</v>
      </c>
      <c r="H52" s="47"/>
      <c r="J52" s="152" t="s">
        <v>351</v>
      </c>
    </row>
    <row r="53" spans="1:10" ht="14.25" customHeight="1" x14ac:dyDescent="0.25">
      <c r="A53" s="252" t="s">
        <v>348</v>
      </c>
      <c r="B53" s="45">
        <f>+B5</f>
        <v>2</v>
      </c>
      <c r="C53" s="36">
        <v>2072.8000000000002</v>
      </c>
      <c r="D53" s="36">
        <v>2004.6</v>
      </c>
      <c r="E53" s="36">
        <v>1586.7</v>
      </c>
      <c r="F53" s="36">
        <v>2093.5</v>
      </c>
      <c r="G53" s="37">
        <f>SUM(C53:F53)</f>
        <v>7757.6</v>
      </c>
      <c r="H53" s="180">
        <f>G53/J53</f>
        <v>0.88557077625570779</v>
      </c>
      <c r="J53" s="187">
        <v>8760</v>
      </c>
    </row>
    <row r="54" spans="1:10" ht="14.25" customHeight="1" x14ac:dyDescent="0.25">
      <c r="A54" s="253"/>
      <c r="B54" s="20">
        <v>2</v>
      </c>
      <c r="C54" s="126">
        <v>2057.5</v>
      </c>
      <c r="D54" s="126">
        <v>1867</v>
      </c>
      <c r="E54" s="126">
        <v>1787.2</v>
      </c>
      <c r="F54" s="126">
        <v>2108.5</v>
      </c>
      <c r="G54" s="41">
        <f>SUM(C54:F54)</f>
        <v>7820.2</v>
      </c>
      <c r="H54" s="38">
        <f>G54/J53</f>
        <v>0.89271689497716888</v>
      </c>
    </row>
    <row r="55" spans="1:10" ht="14.25" customHeight="1" x14ac:dyDescent="0.25">
      <c r="A55" s="253"/>
      <c r="B55" s="20">
        <v>3</v>
      </c>
      <c r="C55" s="126"/>
      <c r="D55" s="126"/>
      <c r="E55" s="126"/>
      <c r="F55" s="126"/>
      <c r="G55" s="41">
        <f t="shared" ref="G55:G65" si="17">SUM(C55:F55)</f>
        <v>0</v>
      </c>
      <c r="H55" s="38" t="s">
        <v>289</v>
      </c>
    </row>
    <row r="56" spans="1:10" ht="14.25" customHeight="1" x14ac:dyDescent="0.25">
      <c r="A56" s="253"/>
      <c r="B56" s="20">
        <v>4</v>
      </c>
      <c r="C56" s="126"/>
      <c r="D56" s="126"/>
      <c r="E56" s="126"/>
      <c r="F56" s="126"/>
      <c r="G56" s="41">
        <f t="shared" si="17"/>
        <v>0</v>
      </c>
      <c r="H56" s="38" t="s">
        <v>289</v>
      </c>
    </row>
    <row r="57" spans="1:10" ht="14.25" customHeight="1" x14ac:dyDescent="0.25">
      <c r="A57" s="253"/>
      <c r="B57" s="20">
        <v>5</v>
      </c>
      <c r="C57" s="126"/>
      <c r="D57" s="126"/>
      <c r="E57" s="126"/>
      <c r="F57" s="126"/>
      <c r="G57" s="41">
        <f t="shared" ref="G57" si="18">SUM(C57:F57)</f>
        <v>0</v>
      </c>
      <c r="H57" s="38" t="s">
        <v>289</v>
      </c>
    </row>
    <row r="58" spans="1:10" ht="14.25" customHeight="1" x14ac:dyDescent="0.25">
      <c r="A58" s="153" t="s">
        <v>349</v>
      </c>
      <c r="B58" s="20"/>
      <c r="C58" s="126"/>
      <c r="D58" s="126"/>
      <c r="E58" s="126"/>
      <c r="F58" s="126"/>
      <c r="G58" s="41">
        <f>AVERAGE(G53:G54)</f>
        <v>7788.9</v>
      </c>
      <c r="H58" s="154">
        <f>G58/J53</f>
        <v>0.88914383561643828</v>
      </c>
    </row>
    <row r="59" spans="1:10" ht="14.25" customHeight="1" x14ac:dyDescent="0.25">
      <c r="A59" s="153" t="s">
        <v>350</v>
      </c>
      <c r="B59" s="20">
        <v>1</v>
      </c>
      <c r="C59" s="126">
        <v>2134.91</v>
      </c>
      <c r="D59" s="126">
        <v>2054.41</v>
      </c>
      <c r="E59" s="126">
        <v>1870.5</v>
      </c>
      <c r="F59" s="126">
        <v>2166</v>
      </c>
      <c r="G59" s="41">
        <f t="shared" si="17"/>
        <v>8225.82</v>
      </c>
      <c r="H59" s="38">
        <f>G59/J53</f>
        <v>0.9390205479452054</v>
      </c>
    </row>
    <row r="60" spans="1:10" x14ac:dyDescent="0.25">
      <c r="A60" s="153" t="s">
        <v>350</v>
      </c>
      <c r="B60" s="20">
        <v>2</v>
      </c>
      <c r="C60" s="40"/>
      <c r="D60" s="40"/>
      <c r="E60" s="40"/>
      <c r="F60" s="40"/>
      <c r="G60" s="41">
        <f t="shared" si="17"/>
        <v>0</v>
      </c>
      <c r="H60" s="38" t="s">
        <v>289</v>
      </c>
    </row>
    <row r="61" spans="1:10" x14ac:dyDescent="0.25">
      <c r="A61" s="50" t="s">
        <v>72</v>
      </c>
      <c r="B61" s="20"/>
      <c r="C61" s="40"/>
      <c r="D61" s="40"/>
      <c r="E61" s="40"/>
      <c r="F61" s="40"/>
      <c r="G61" s="41">
        <f t="shared" si="17"/>
        <v>0</v>
      </c>
      <c r="H61" s="38" t="str">
        <f>IF(B61&gt;0,G60/J53,"n/a")</f>
        <v>n/a</v>
      </c>
    </row>
    <row r="62" spans="1:10" x14ac:dyDescent="0.25">
      <c r="A62" s="147" t="s">
        <v>339</v>
      </c>
      <c r="B62" s="150" t="s">
        <v>340</v>
      </c>
      <c r="C62" s="183">
        <v>9.1999999999999993</v>
      </c>
      <c r="D62" s="183">
        <v>9</v>
      </c>
      <c r="E62" s="183">
        <v>9.1</v>
      </c>
      <c r="F62" s="183"/>
      <c r="G62" s="41"/>
      <c r="H62" s="155" t="s">
        <v>352</v>
      </c>
    </row>
    <row r="63" spans="1:10" x14ac:dyDescent="0.25">
      <c r="A63" s="50" t="s">
        <v>73</v>
      </c>
      <c r="B63" s="20" t="s">
        <v>74</v>
      </c>
      <c r="C63" s="184">
        <v>1</v>
      </c>
      <c r="D63" s="184">
        <v>1</v>
      </c>
      <c r="E63" s="184">
        <v>1</v>
      </c>
      <c r="F63" s="184">
        <v>0</v>
      </c>
      <c r="G63" s="41">
        <f>SUM(C63:F63)</f>
        <v>3</v>
      </c>
      <c r="H63" s="51" t="str">
        <f>IF(G63&gt;0,"yes","no")</f>
        <v>yes</v>
      </c>
    </row>
    <row r="64" spans="1:10" x14ac:dyDescent="0.25">
      <c r="A64" s="50" t="s">
        <v>75</v>
      </c>
      <c r="B64" s="20" t="s">
        <v>76</v>
      </c>
      <c r="C64" s="183">
        <v>0.5</v>
      </c>
      <c r="D64" s="183">
        <v>1.5</v>
      </c>
      <c r="E64" s="183">
        <v>6.5</v>
      </c>
      <c r="F64" s="184">
        <v>0</v>
      </c>
      <c r="G64" s="41">
        <f>SUM(C64:F64)</f>
        <v>8.5</v>
      </c>
      <c r="H64" s="65">
        <f>+(G64)/J53</f>
        <v>9.7031963470319634E-4</v>
      </c>
    </row>
    <row r="65" spans="1:8" x14ac:dyDescent="0.25">
      <c r="A65" s="54" t="s">
        <v>77</v>
      </c>
      <c r="B65" s="66" t="s">
        <v>74</v>
      </c>
      <c r="C65" s="185">
        <v>1</v>
      </c>
      <c r="D65" s="185">
        <v>0</v>
      </c>
      <c r="E65" s="185">
        <v>0</v>
      </c>
      <c r="F65" s="185">
        <v>0</v>
      </c>
      <c r="G65" s="43">
        <f t="shared" si="17"/>
        <v>1</v>
      </c>
      <c r="H65" s="67" t="str">
        <f>IF(G65&gt;0,"yes","no")</f>
        <v>yes</v>
      </c>
    </row>
    <row r="78" spans="1:8" x14ac:dyDescent="0.25">
      <c r="F78" s="3"/>
    </row>
  </sheetData>
  <mergeCells count="8">
    <mergeCell ref="A53:A57"/>
    <mergeCell ref="K6:K7"/>
    <mergeCell ref="K8:K19"/>
    <mergeCell ref="B34:B39"/>
    <mergeCell ref="B4:C4"/>
    <mergeCell ref="B8:B20"/>
    <mergeCell ref="B24:B27"/>
    <mergeCell ref="B29:B30"/>
  </mergeCells>
  <phoneticPr fontId="30" type="noConversion"/>
  <pageMargins left="0.7" right="0.7" top="0.75" bottom="0.75" header="0.3" footer="0.3"/>
  <pageSetup paperSize="9" scale="83" orientation="portrait" r:id="rId1"/>
  <headerFooter scaleWithDoc="0">
    <oddFooter>&amp;C&amp;"Arial,Regular"Page &amp;P</oddFooter>
  </headerFooter>
  <rowBreaks count="1" manualBreakCount="1">
    <brk id="50" max="16383" man="1"/>
  </rowBreaks>
  <ignoredErrors>
    <ignoredError sqref="G59:G60 G55: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view="pageBreakPreview" zoomScale="115" zoomScaleNormal="100" zoomScaleSheetLayoutView="115" workbookViewId="0">
      <selection activeCell="A31" sqref="A31:I52"/>
    </sheetView>
  </sheetViews>
  <sheetFormatPr defaultColWidth="9.21875" defaultRowHeight="15" x14ac:dyDescent="0.25"/>
  <cols>
    <col min="1" max="1" width="9.21875" style="2" customWidth="1"/>
    <col min="2" max="2" width="14.5546875" style="2" bestFit="1" customWidth="1"/>
    <col min="3" max="9" width="9.21875" style="2"/>
    <col min="10" max="10" width="11.5546875" style="2" customWidth="1"/>
    <col min="11" max="16384" width="9.21875" style="2"/>
  </cols>
  <sheetData>
    <row r="1" spans="1:14" x14ac:dyDescent="0.25">
      <c r="A1" s="2" t="str">
        <f>+'Cover Page'!$B$29</f>
        <v>Annual Performance Report 2022</v>
      </c>
      <c r="E1" s="2" t="str">
        <f>+'Cover Page'!$B$33</f>
        <v>Severnside Energy Recovery Centre</v>
      </c>
    </row>
    <row r="3" spans="1:14" ht="15.6" x14ac:dyDescent="0.3">
      <c r="A3" s="94" t="s">
        <v>25</v>
      </c>
      <c r="B3" s="95"/>
      <c r="C3" s="95"/>
      <c r="D3" s="95"/>
      <c r="E3" s="95"/>
      <c r="F3" s="95"/>
      <c r="G3" s="95"/>
      <c r="H3" s="95"/>
      <c r="I3" s="96"/>
      <c r="K3" s="137" t="s">
        <v>294</v>
      </c>
    </row>
    <row r="4" spans="1:14" x14ac:dyDescent="0.25">
      <c r="A4" s="97"/>
      <c r="B4" s="98"/>
      <c r="C4" s="98"/>
      <c r="D4" s="98"/>
      <c r="E4" s="98"/>
      <c r="F4" s="98"/>
      <c r="G4" s="98"/>
      <c r="H4" s="98"/>
      <c r="I4" s="99"/>
    </row>
    <row r="5" spans="1:14" ht="15.75" customHeight="1" x14ac:dyDescent="0.25">
      <c r="A5" s="233" t="s">
        <v>460</v>
      </c>
      <c r="B5" s="234"/>
      <c r="C5" s="234"/>
      <c r="D5" s="234"/>
      <c r="E5" s="234"/>
      <c r="F5" s="234"/>
      <c r="G5" s="234"/>
      <c r="H5" s="234"/>
      <c r="I5" s="235"/>
      <c r="K5" s="250" t="s">
        <v>429</v>
      </c>
      <c r="L5" s="251"/>
      <c r="M5" s="251"/>
      <c r="N5" s="251"/>
    </row>
    <row r="6" spans="1:14" x14ac:dyDescent="0.25">
      <c r="A6" s="236"/>
      <c r="B6" s="237"/>
      <c r="C6" s="237"/>
      <c r="D6" s="237"/>
      <c r="E6" s="237"/>
      <c r="F6" s="237"/>
      <c r="G6" s="237"/>
      <c r="H6" s="237"/>
      <c r="I6" s="238"/>
      <c r="K6" s="251"/>
      <c r="L6" s="251"/>
      <c r="M6" s="251"/>
      <c r="N6" s="251"/>
    </row>
    <row r="7" spans="1:14" x14ac:dyDescent="0.25">
      <c r="A7" s="236"/>
      <c r="B7" s="237"/>
      <c r="C7" s="237"/>
      <c r="D7" s="237"/>
      <c r="E7" s="237"/>
      <c r="F7" s="237"/>
      <c r="G7" s="237"/>
      <c r="H7" s="237"/>
      <c r="I7" s="238"/>
      <c r="K7" s="251"/>
      <c r="L7" s="251"/>
      <c r="M7" s="251"/>
      <c r="N7" s="251"/>
    </row>
    <row r="8" spans="1:14" ht="15.75" customHeight="1" x14ac:dyDescent="0.25">
      <c r="A8" s="236"/>
      <c r="B8" s="237"/>
      <c r="C8" s="237"/>
      <c r="D8" s="237"/>
      <c r="E8" s="237"/>
      <c r="F8" s="237"/>
      <c r="G8" s="237"/>
      <c r="H8" s="237"/>
      <c r="I8" s="238"/>
      <c r="K8" s="251"/>
      <c r="L8" s="251"/>
      <c r="M8" s="251"/>
      <c r="N8" s="251"/>
    </row>
    <row r="9" spans="1:14" ht="15.75" customHeight="1" x14ac:dyDescent="0.25">
      <c r="A9" s="236"/>
      <c r="B9" s="237"/>
      <c r="C9" s="237"/>
      <c r="D9" s="237"/>
      <c r="E9" s="237"/>
      <c r="F9" s="237"/>
      <c r="G9" s="237"/>
      <c r="H9" s="237"/>
      <c r="I9" s="238"/>
      <c r="K9" s="251"/>
      <c r="L9" s="251"/>
      <c r="M9" s="251"/>
      <c r="N9" s="251"/>
    </row>
    <row r="10" spans="1:14" ht="15.75" customHeight="1" x14ac:dyDescent="0.25">
      <c r="A10" s="236"/>
      <c r="B10" s="237"/>
      <c r="C10" s="237"/>
      <c r="D10" s="237"/>
      <c r="E10" s="237"/>
      <c r="F10" s="237"/>
      <c r="G10" s="237"/>
      <c r="H10" s="237"/>
      <c r="I10" s="238"/>
      <c r="K10" s="251"/>
      <c r="L10" s="251"/>
      <c r="M10" s="251"/>
      <c r="N10" s="251"/>
    </row>
    <row r="11" spans="1:14" ht="15.75" customHeight="1" x14ac:dyDescent="0.25">
      <c r="A11" s="236"/>
      <c r="B11" s="237"/>
      <c r="C11" s="237"/>
      <c r="D11" s="237"/>
      <c r="E11" s="237"/>
      <c r="F11" s="237"/>
      <c r="G11" s="237"/>
      <c r="H11" s="237"/>
      <c r="I11" s="238"/>
      <c r="K11" s="251"/>
      <c r="L11" s="251"/>
      <c r="M11" s="251"/>
      <c r="N11" s="251"/>
    </row>
    <row r="12" spans="1:14" ht="15.75" customHeight="1" x14ac:dyDescent="0.25">
      <c r="A12" s="236"/>
      <c r="B12" s="237"/>
      <c r="C12" s="237"/>
      <c r="D12" s="237"/>
      <c r="E12" s="237"/>
      <c r="F12" s="237"/>
      <c r="G12" s="237"/>
      <c r="H12" s="237"/>
      <c r="I12" s="238"/>
      <c r="K12" s="251"/>
      <c r="L12" s="251"/>
      <c r="M12" s="251"/>
      <c r="N12" s="251"/>
    </row>
    <row r="13" spans="1:14" ht="15.75" customHeight="1" x14ac:dyDescent="0.25">
      <c r="A13" s="236"/>
      <c r="B13" s="237"/>
      <c r="C13" s="237"/>
      <c r="D13" s="237"/>
      <c r="E13" s="237"/>
      <c r="F13" s="237"/>
      <c r="G13" s="237"/>
      <c r="H13" s="237"/>
      <c r="I13" s="238"/>
      <c r="K13" s="251"/>
      <c r="L13" s="251"/>
      <c r="M13" s="251"/>
      <c r="N13" s="251"/>
    </row>
    <row r="14" spans="1:14" ht="15.75" customHeight="1" x14ac:dyDescent="0.25">
      <c r="A14" s="236"/>
      <c r="B14" s="237"/>
      <c r="C14" s="237"/>
      <c r="D14" s="237"/>
      <c r="E14" s="237"/>
      <c r="F14" s="237"/>
      <c r="G14" s="237"/>
      <c r="H14" s="237"/>
      <c r="I14" s="238"/>
      <c r="K14" s="251"/>
      <c r="L14" s="251"/>
      <c r="M14" s="251"/>
      <c r="N14" s="251"/>
    </row>
    <row r="15" spans="1:14" ht="15.75" customHeight="1" x14ac:dyDescent="0.25">
      <c r="A15" s="236"/>
      <c r="B15" s="237"/>
      <c r="C15" s="237"/>
      <c r="D15" s="237"/>
      <c r="E15" s="237"/>
      <c r="F15" s="237"/>
      <c r="G15" s="237"/>
      <c r="H15" s="237"/>
      <c r="I15" s="238"/>
    </row>
    <row r="16" spans="1:14" ht="15.75" customHeight="1" x14ac:dyDescent="0.25">
      <c r="A16" s="236"/>
      <c r="B16" s="237"/>
      <c r="C16" s="237"/>
      <c r="D16" s="237"/>
      <c r="E16" s="237"/>
      <c r="F16" s="237"/>
      <c r="G16" s="237"/>
      <c r="H16" s="237"/>
      <c r="I16" s="238"/>
    </row>
    <row r="17" spans="1:14" ht="15.75" customHeight="1" x14ac:dyDescent="0.25">
      <c r="A17" s="236"/>
      <c r="B17" s="237"/>
      <c r="C17" s="237"/>
      <c r="D17" s="237"/>
      <c r="E17" s="237"/>
      <c r="F17" s="237"/>
      <c r="G17" s="237"/>
      <c r="H17" s="237"/>
      <c r="I17" s="238"/>
    </row>
    <row r="18" spans="1:14" x14ac:dyDescent="0.25">
      <c r="A18" s="236"/>
      <c r="B18" s="237"/>
      <c r="C18" s="237"/>
      <c r="D18" s="237"/>
      <c r="E18" s="237"/>
      <c r="F18" s="237"/>
      <c r="G18" s="237"/>
      <c r="H18" s="237"/>
      <c r="I18" s="238"/>
    </row>
    <row r="19" spans="1:14" x14ac:dyDescent="0.25">
      <c r="A19" s="236"/>
      <c r="B19" s="237"/>
      <c r="C19" s="237"/>
      <c r="D19" s="237"/>
      <c r="E19" s="237"/>
      <c r="F19" s="237"/>
      <c r="G19" s="237"/>
      <c r="H19" s="237"/>
      <c r="I19" s="238"/>
    </row>
    <row r="20" spans="1:14" x14ac:dyDescent="0.25">
      <c r="A20" s="236"/>
      <c r="B20" s="237"/>
      <c r="C20" s="237"/>
      <c r="D20" s="237"/>
      <c r="E20" s="237"/>
      <c r="F20" s="237"/>
      <c r="G20" s="237"/>
      <c r="H20" s="237"/>
      <c r="I20" s="238"/>
    </row>
    <row r="21" spans="1:14" x14ac:dyDescent="0.25">
      <c r="A21" s="236"/>
      <c r="B21" s="237"/>
      <c r="C21" s="237"/>
      <c r="D21" s="237"/>
      <c r="E21" s="237"/>
      <c r="F21" s="237"/>
      <c r="G21" s="237"/>
      <c r="H21" s="237"/>
      <c r="I21" s="238"/>
    </row>
    <row r="22" spans="1:14" ht="15.45" customHeight="1" x14ac:dyDescent="0.25">
      <c r="A22" s="236"/>
      <c r="B22" s="237"/>
      <c r="C22" s="237"/>
      <c r="D22" s="237"/>
      <c r="E22" s="237"/>
      <c r="F22" s="237"/>
      <c r="G22" s="237"/>
      <c r="H22" s="237"/>
      <c r="I22" s="238"/>
      <c r="K22" s="138"/>
      <c r="L22" s="138"/>
      <c r="M22" s="138"/>
      <c r="N22" s="138"/>
    </row>
    <row r="23" spans="1:14" x14ac:dyDescent="0.25">
      <c r="A23" s="236"/>
      <c r="B23" s="237"/>
      <c r="C23" s="237"/>
      <c r="D23" s="237"/>
      <c r="E23" s="237"/>
      <c r="F23" s="237"/>
      <c r="G23" s="237"/>
      <c r="H23" s="237"/>
      <c r="I23" s="238"/>
      <c r="K23" s="138"/>
      <c r="L23" s="138"/>
      <c r="M23" s="138"/>
      <c r="N23" s="138"/>
    </row>
    <row r="24" spans="1:14" x14ac:dyDescent="0.25">
      <c r="A24" s="236"/>
      <c r="B24" s="237"/>
      <c r="C24" s="237"/>
      <c r="D24" s="237"/>
      <c r="E24" s="237"/>
      <c r="F24" s="237"/>
      <c r="G24" s="237"/>
      <c r="H24" s="237"/>
      <c r="I24" s="238"/>
      <c r="K24" s="138"/>
      <c r="L24" s="138"/>
      <c r="M24" s="138"/>
      <c r="N24" s="138"/>
    </row>
    <row r="25" spans="1:14" x14ac:dyDescent="0.25">
      <c r="A25" s="236"/>
      <c r="B25" s="237"/>
      <c r="C25" s="237"/>
      <c r="D25" s="237"/>
      <c r="E25" s="237"/>
      <c r="F25" s="237"/>
      <c r="G25" s="237"/>
      <c r="H25" s="237"/>
      <c r="I25" s="238"/>
      <c r="K25" s="138"/>
      <c r="L25" s="138"/>
      <c r="M25" s="138"/>
      <c r="N25" s="138"/>
    </row>
    <row r="26" spans="1:14" x14ac:dyDescent="0.25">
      <c r="A26" s="236"/>
      <c r="B26" s="237"/>
      <c r="C26" s="237"/>
      <c r="D26" s="237"/>
      <c r="E26" s="237"/>
      <c r="F26" s="237"/>
      <c r="G26" s="237"/>
      <c r="H26" s="237"/>
      <c r="I26" s="238"/>
      <c r="K26" s="138"/>
      <c r="L26" s="138"/>
      <c r="M26" s="138"/>
      <c r="N26" s="138"/>
    </row>
    <row r="27" spans="1:14" x14ac:dyDescent="0.25">
      <c r="A27" s="239"/>
      <c r="B27" s="240"/>
      <c r="C27" s="240"/>
      <c r="D27" s="240"/>
      <c r="E27" s="240"/>
      <c r="F27" s="240"/>
      <c r="G27" s="240"/>
      <c r="H27" s="240"/>
      <c r="I27" s="241"/>
      <c r="K27" s="138"/>
      <c r="L27" s="138"/>
      <c r="M27" s="138"/>
      <c r="N27" s="138"/>
    </row>
    <row r="28" spans="1:14" x14ac:dyDescent="0.25">
      <c r="K28" s="138"/>
      <c r="L28" s="138"/>
      <c r="M28" s="138"/>
      <c r="N28" s="138"/>
    </row>
    <row r="29" spans="1:14" x14ac:dyDescent="0.25">
      <c r="A29" s="94" t="s">
        <v>191</v>
      </c>
      <c r="B29" s="95"/>
      <c r="C29" s="95"/>
      <c r="D29" s="95"/>
      <c r="E29" s="95"/>
      <c r="F29" s="95"/>
      <c r="G29" s="95"/>
      <c r="H29" s="95"/>
      <c r="I29" s="96"/>
      <c r="K29" s="138"/>
      <c r="L29" s="138"/>
      <c r="M29" s="138"/>
      <c r="N29" s="138"/>
    </row>
    <row r="30" spans="1:14" x14ac:dyDescent="0.25">
      <c r="A30" s="97"/>
      <c r="B30" s="98"/>
      <c r="C30" s="98"/>
      <c r="D30" s="98"/>
      <c r="E30" s="98"/>
      <c r="F30" s="98"/>
      <c r="G30" s="98"/>
      <c r="H30" s="98"/>
      <c r="I30" s="99"/>
      <c r="K30" s="138"/>
      <c r="L30" s="138"/>
      <c r="M30" s="138"/>
      <c r="N30" s="138"/>
    </row>
    <row r="31" spans="1:14" x14ac:dyDescent="0.25">
      <c r="A31" s="233" t="s">
        <v>458</v>
      </c>
      <c r="B31" s="242"/>
      <c r="C31" s="242"/>
      <c r="D31" s="242"/>
      <c r="E31" s="242"/>
      <c r="F31" s="242"/>
      <c r="G31" s="242"/>
      <c r="H31" s="242"/>
      <c r="I31" s="243"/>
      <c r="K31" s="251" t="s">
        <v>310</v>
      </c>
      <c r="L31" s="251"/>
      <c r="M31" s="251"/>
      <c r="N31" s="251"/>
    </row>
    <row r="32" spans="1:14" x14ac:dyDescent="0.25">
      <c r="A32" s="244"/>
      <c r="B32" s="245"/>
      <c r="C32" s="245"/>
      <c r="D32" s="245"/>
      <c r="E32" s="245"/>
      <c r="F32" s="245"/>
      <c r="G32" s="245"/>
      <c r="H32" s="245"/>
      <c r="I32" s="246"/>
      <c r="K32" s="251"/>
      <c r="L32" s="251"/>
      <c r="M32" s="251"/>
      <c r="N32" s="251"/>
    </row>
    <row r="33" spans="1:14" x14ac:dyDescent="0.25">
      <c r="A33" s="244"/>
      <c r="B33" s="245"/>
      <c r="C33" s="245"/>
      <c r="D33" s="245"/>
      <c r="E33" s="245"/>
      <c r="F33" s="245"/>
      <c r="G33" s="245"/>
      <c r="H33" s="245"/>
      <c r="I33" s="246"/>
      <c r="K33" s="251"/>
      <c r="L33" s="251"/>
      <c r="M33" s="251"/>
      <c r="N33" s="251"/>
    </row>
    <row r="34" spans="1:14" x14ac:dyDescent="0.25">
      <c r="A34" s="244"/>
      <c r="B34" s="245"/>
      <c r="C34" s="245"/>
      <c r="D34" s="245"/>
      <c r="E34" s="245"/>
      <c r="F34" s="245"/>
      <c r="G34" s="245"/>
      <c r="H34" s="245"/>
      <c r="I34" s="246"/>
      <c r="K34" s="251"/>
      <c r="L34" s="251"/>
      <c r="M34" s="251"/>
      <c r="N34" s="251"/>
    </row>
    <row r="35" spans="1:14" x14ac:dyDescent="0.25">
      <c r="A35" s="244"/>
      <c r="B35" s="245"/>
      <c r="C35" s="245"/>
      <c r="D35" s="245"/>
      <c r="E35" s="245"/>
      <c r="F35" s="245"/>
      <c r="G35" s="245"/>
      <c r="H35" s="245"/>
      <c r="I35" s="246"/>
      <c r="K35" s="251"/>
      <c r="L35" s="251"/>
      <c r="M35" s="251"/>
      <c r="N35" s="251"/>
    </row>
    <row r="36" spans="1:14" x14ac:dyDescent="0.25">
      <c r="A36" s="244"/>
      <c r="B36" s="245"/>
      <c r="C36" s="245"/>
      <c r="D36" s="245"/>
      <c r="E36" s="245"/>
      <c r="F36" s="245"/>
      <c r="G36" s="245"/>
      <c r="H36" s="245"/>
      <c r="I36" s="246"/>
      <c r="K36" s="251"/>
      <c r="L36" s="251"/>
      <c r="M36" s="251"/>
      <c r="N36" s="251"/>
    </row>
    <row r="37" spans="1:14" x14ac:dyDescent="0.25">
      <c r="A37" s="244"/>
      <c r="B37" s="245"/>
      <c r="C37" s="245"/>
      <c r="D37" s="245"/>
      <c r="E37" s="245"/>
      <c r="F37" s="245"/>
      <c r="G37" s="245"/>
      <c r="H37" s="245"/>
      <c r="I37" s="246"/>
      <c r="K37" s="251"/>
      <c r="L37" s="251"/>
      <c r="M37" s="251"/>
      <c r="N37" s="251"/>
    </row>
    <row r="38" spans="1:14" ht="14.25" customHeight="1" x14ac:dyDescent="0.25">
      <c r="A38" s="244"/>
      <c r="B38" s="245"/>
      <c r="C38" s="245"/>
      <c r="D38" s="245"/>
      <c r="E38" s="245"/>
      <c r="F38" s="245"/>
      <c r="G38" s="245"/>
      <c r="H38" s="245"/>
      <c r="I38" s="246"/>
      <c r="K38" s="251"/>
      <c r="L38" s="251"/>
      <c r="M38" s="251"/>
      <c r="N38" s="251"/>
    </row>
    <row r="39" spans="1:14" x14ac:dyDescent="0.25">
      <c r="A39" s="244"/>
      <c r="B39" s="245"/>
      <c r="C39" s="245"/>
      <c r="D39" s="245"/>
      <c r="E39" s="245"/>
      <c r="F39" s="245"/>
      <c r="G39" s="245"/>
      <c r="H39" s="245"/>
      <c r="I39" s="246"/>
      <c r="K39" s="251"/>
      <c r="L39" s="251"/>
      <c r="M39" s="251"/>
      <c r="N39" s="251"/>
    </row>
    <row r="40" spans="1:14" x14ac:dyDescent="0.25">
      <c r="A40" s="244"/>
      <c r="B40" s="245"/>
      <c r="C40" s="245"/>
      <c r="D40" s="245"/>
      <c r="E40" s="245"/>
      <c r="F40" s="245"/>
      <c r="G40" s="245"/>
      <c r="H40" s="245"/>
      <c r="I40" s="246"/>
      <c r="K40" s="251"/>
      <c r="L40" s="251"/>
      <c r="M40" s="251"/>
      <c r="N40" s="251"/>
    </row>
    <row r="41" spans="1:14" x14ac:dyDescent="0.25">
      <c r="A41" s="244"/>
      <c r="B41" s="245"/>
      <c r="C41" s="245"/>
      <c r="D41" s="245"/>
      <c r="E41" s="245"/>
      <c r="F41" s="245"/>
      <c r="G41" s="245"/>
      <c r="H41" s="245"/>
      <c r="I41" s="246"/>
    </row>
    <row r="42" spans="1:14" x14ac:dyDescent="0.25">
      <c r="A42" s="244"/>
      <c r="B42" s="245"/>
      <c r="C42" s="245"/>
      <c r="D42" s="245"/>
      <c r="E42" s="245"/>
      <c r="F42" s="245"/>
      <c r="G42" s="245"/>
      <c r="H42" s="245"/>
      <c r="I42" s="246"/>
    </row>
    <row r="43" spans="1:14" x14ac:dyDescent="0.25">
      <c r="A43" s="244"/>
      <c r="B43" s="245"/>
      <c r="C43" s="245"/>
      <c r="D43" s="245"/>
      <c r="E43" s="245"/>
      <c r="F43" s="245"/>
      <c r="G43" s="245"/>
      <c r="H43" s="245"/>
      <c r="I43" s="246"/>
    </row>
    <row r="44" spans="1:14" x14ac:dyDescent="0.25">
      <c r="A44" s="244"/>
      <c r="B44" s="245"/>
      <c r="C44" s="245"/>
      <c r="D44" s="245"/>
      <c r="E44" s="245"/>
      <c r="F44" s="245"/>
      <c r="G44" s="245"/>
      <c r="H44" s="245"/>
      <c r="I44" s="246"/>
    </row>
    <row r="45" spans="1:14" x14ac:dyDescent="0.25">
      <c r="A45" s="244"/>
      <c r="B45" s="245"/>
      <c r="C45" s="245"/>
      <c r="D45" s="245"/>
      <c r="E45" s="245"/>
      <c r="F45" s="245"/>
      <c r="G45" s="245"/>
      <c r="H45" s="245"/>
      <c r="I45" s="246"/>
    </row>
    <row r="46" spans="1:14" x14ac:dyDescent="0.25">
      <c r="A46" s="244"/>
      <c r="B46" s="245"/>
      <c r="C46" s="245"/>
      <c r="D46" s="245"/>
      <c r="E46" s="245"/>
      <c r="F46" s="245"/>
      <c r="G46" s="245"/>
      <c r="H46" s="245"/>
      <c r="I46" s="246"/>
    </row>
    <row r="47" spans="1:14" x14ac:dyDescent="0.25">
      <c r="A47" s="244"/>
      <c r="B47" s="245"/>
      <c r="C47" s="245"/>
      <c r="D47" s="245"/>
      <c r="E47" s="245"/>
      <c r="F47" s="245"/>
      <c r="G47" s="245"/>
      <c r="H47" s="245"/>
      <c r="I47" s="246"/>
    </row>
    <row r="48" spans="1:14" x14ac:dyDescent="0.25">
      <c r="A48" s="244"/>
      <c r="B48" s="245"/>
      <c r="C48" s="245"/>
      <c r="D48" s="245"/>
      <c r="E48" s="245"/>
      <c r="F48" s="245"/>
      <c r="G48" s="245"/>
      <c r="H48" s="245"/>
      <c r="I48" s="246"/>
    </row>
    <row r="49" spans="1:9" x14ac:dyDescent="0.25">
      <c r="A49" s="244"/>
      <c r="B49" s="245"/>
      <c r="C49" s="245"/>
      <c r="D49" s="245"/>
      <c r="E49" s="245"/>
      <c r="F49" s="245"/>
      <c r="G49" s="245"/>
      <c r="H49" s="245"/>
      <c r="I49" s="246"/>
    </row>
    <row r="50" spans="1:9" x14ac:dyDescent="0.25">
      <c r="A50" s="244"/>
      <c r="B50" s="245"/>
      <c r="C50" s="245"/>
      <c r="D50" s="245"/>
      <c r="E50" s="245"/>
      <c r="F50" s="245"/>
      <c r="G50" s="245"/>
      <c r="H50" s="245"/>
      <c r="I50" s="246"/>
    </row>
    <row r="51" spans="1:9" x14ac:dyDescent="0.25">
      <c r="A51" s="244"/>
      <c r="B51" s="245"/>
      <c r="C51" s="245"/>
      <c r="D51" s="245"/>
      <c r="E51" s="245"/>
      <c r="F51" s="245"/>
      <c r="G51" s="245"/>
      <c r="H51" s="245"/>
      <c r="I51" s="246"/>
    </row>
    <row r="52" spans="1:9" x14ac:dyDescent="0.25">
      <c r="A52" s="247"/>
      <c r="B52" s="248"/>
      <c r="C52" s="248"/>
      <c r="D52" s="248"/>
      <c r="E52" s="248"/>
      <c r="F52" s="248"/>
      <c r="G52" s="248"/>
      <c r="H52" s="248"/>
      <c r="I52" s="249"/>
    </row>
    <row r="54" spans="1:9" x14ac:dyDescent="0.25">
      <c r="C54" s="198">
        <v>44981</v>
      </c>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view="pageBreakPreview" zoomScale="115" zoomScaleNormal="100" zoomScaleSheetLayoutView="115" workbookViewId="0">
      <selection activeCell="C52" sqref="C52"/>
    </sheetView>
  </sheetViews>
  <sheetFormatPr defaultColWidth="9.21875" defaultRowHeight="15" x14ac:dyDescent="0.25"/>
  <cols>
    <col min="1" max="7" width="9.21875" style="2"/>
    <col min="8" max="8" width="11.21875" style="2" bestFit="1" customWidth="1"/>
    <col min="9" max="16384" width="9.21875" style="2"/>
  </cols>
  <sheetData>
    <row r="1" spans="1:10" ht="15.6" x14ac:dyDescent="0.3">
      <c r="A1" s="68">
        <f>+'Cover Page'!C39</f>
        <v>2022</v>
      </c>
      <c r="B1" s="69" t="s">
        <v>78</v>
      </c>
      <c r="C1" s="69"/>
      <c r="D1" s="69"/>
      <c r="E1" s="69"/>
      <c r="F1" s="69"/>
      <c r="G1" s="69"/>
      <c r="H1" s="69"/>
      <c r="I1" s="69"/>
      <c r="J1" s="69"/>
    </row>
    <row r="2" spans="1:10" ht="8.25" customHeight="1" x14ac:dyDescent="0.25"/>
    <row r="3" spans="1:10" s="3" customFormat="1" ht="13.8" x14ac:dyDescent="0.25">
      <c r="A3" s="302" t="str">
        <f>+'Cover Page'!B31</f>
        <v>Permit EPR/ZP3937KL</v>
      </c>
      <c r="B3" s="302"/>
      <c r="C3" s="302"/>
      <c r="D3" s="302"/>
      <c r="E3" s="302"/>
      <c r="F3" s="3" t="s">
        <v>79</v>
      </c>
      <c r="G3" s="303" t="str">
        <f>+'Cover Page'!B37:B37</f>
        <v>SUEZ Recycling and Recovery UK Ltd</v>
      </c>
      <c r="H3" s="303"/>
      <c r="I3" s="303"/>
    </row>
    <row r="4" spans="1:10" s="3" customFormat="1" ht="13.8" x14ac:dyDescent="0.25">
      <c r="A4" s="3" t="s">
        <v>80</v>
      </c>
      <c r="B4" s="302" t="str">
        <f>+'Cover Page'!B33:I33</f>
        <v>Severnside Energy Recovery Centre</v>
      </c>
      <c r="C4" s="302"/>
      <c r="D4" s="302"/>
      <c r="E4" s="302"/>
      <c r="F4" s="3" t="s">
        <v>81</v>
      </c>
      <c r="G4" s="3" t="s">
        <v>82</v>
      </c>
    </row>
    <row r="5" spans="1:10" s="3" customFormat="1" ht="6.75" customHeight="1" x14ac:dyDescent="0.25"/>
    <row r="6" spans="1:10" s="3" customFormat="1" ht="15.75" customHeight="1" x14ac:dyDescent="0.25">
      <c r="A6" s="3" t="s">
        <v>83</v>
      </c>
      <c r="D6" s="304">
        <v>44562</v>
      </c>
      <c r="E6" s="304"/>
      <c r="F6" s="70" t="s">
        <v>84</v>
      </c>
      <c r="G6" s="304">
        <v>44926</v>
      </c>
      <c r="H6" s="304"/>
    </row>
    <row r="7" spans="1:10" s="3" customFormat="1" ht="7.5" customHeight="1" x14ac:dyDescent="0.25"/>
    <row r="8" spans="1:10" s="3" customFormat="1" ht="15.6" x14ac:dyDescent="0.3">
      <c r="A8" s="10">
        <f>+A1</f>
        <v>2022</v>
      </c>
      <c r="B8" s="69" t="s">
        <v>85</v>
      </c>
      <c r="C8"/>
      <c r="D8"/>
      <c r="E8"/>
      <c r="F8"/>
      <c r="G8"/>
    </row>
    <row r="9" spans="1:10" s="3" customFormat="1" ht="28.5" customHeight="1" x14ac:dyDescent="0.25">
      <c r="A9" s="305" t="s">
        <v>86</v>
      </c>
      <c r="B9" s="305"/>
      <c r="C9" s="305" t="s">
        <v>87</v>
      </c>
      <c r="D9" s="305"/>
      <c r="E9" s="305" t="s">
        <v>88</v>
      </c>
      <c r="F9" s="305"/>
      <c r="G9" s="305" t="s">
        <v>89</v>
      </c>
      <c r="H9" s="305"/>
      <c r="I9" s="305" t="s">
        <v>90</v>
      </c>
      <c r="J9" s="305"/>
    </row>
    <row r="10" spans="1:10" s="3" customFormat="1" ht="14.25" customHeight="1" x14ac:dyDescent="0.25">
      <c r="A10" s="262" t="s">
        <v>91</v>
      </c>
      <c r="B10" s="262"/>
      <c r="C10" s="262"/>
      <c r="D10" s="262"/>
      <c r="E10" s="262"/>
      <c r="F10" s="262"/>
      <c r="G10" s="262"/>
      <c r="H10" s="262"/>
      <c r="I10" s="262"/>
      <c r="J10" s="262"/>
    </row>
    <row r="11" spans="1:10" s="3" customFormat="1" ht="14.25" customHeight="1" x14ac:dyDescent="0.25">
      <c r="A11" s="262" t="s">
        <v>92</v>
      </c>
      <c r="B11" s="262"/>
      <c r="C11" s="295" t="s">
        <v>439</v>
      </c>
      <c r="D11" s="289"/>
      <c r="E11" s="290">
        <v>80.5</v>
      </c>
      <c r="F11" s="290"/>
      <c r="G11" s="290">
        <v>9119.2999999999993</v>
      </c>
      <c r="H11" s="290"/>
      <c r="I11" s="291">
        <f>IF((E11+G11)&gt;0,(E11+G11)/'Operational Data'!$G$21, "-")</f>
        <v>2.4006288072419481E-2</v>
      </c>
      <c r="J11" s="291"/>
    </row>
    <row r="12" spans="1:10" s="3" customFormat="1" ht="14.25" customHeight="1" x14ac:dyDescent="0.25">
      <c r="A12" s="262" t="s">
        <v>93</v>
      </c>
      <c r="B12" s="262"/>
      <c r="C12" s="289"/>
      <c r="D12" s="289"/>
      <c r="E12" s="290"/>
      <c r="F12" s="290"/>
      <c r="G12" s="290"/>
      <c r="H12" s="290"/>
      <c r="I12" s="291" t="str">
        <f>IF((E12+G12)&gt;0,(E12+G12)/'Operational Data'!$G$21, "-")</f>
        <v>-</v>
      </c>
      <c r="J12" s="291"/>
    </row>
    <row r="13" spans="1:10" s="3" customFormat="1" ht="14.25" customHeight="1" x14ac:dyDescent="0.25">
      <c r="A13" s="300"/>
      <c r="B13" s="300"/>
      <c r="C13" s="289"/>
      <c r="D13" s="289"/>
      <c r="E13" s="290"/>
      <c r="F13" s="290"/>
      <c r="G13" s="290"/>
      <c r="H13" s="290"/>
      <c r="I13" s="291" t="str">
        <f>IF((E13+G13)&gt;0,(E13+G13)/'Operational Data'!$G$21, "-")</f>
        <v>-</v>
      </c>
      <c r="J13" s="291"/>
    </row>
    <row r="14" spans="1:10" s="3" customFormat="1" ht="14.25" customHeight="1" x14ac:dyDescent="0.25">
      <c r="A14" s="300"/>
      <c r="B14" s="300"/>
      <c r="C14" s="289"/>
      <c r="D14" s="289"/>
      <c r="E14" s="290"/>
      <c r="F14" s="290"/>
      <c r="G14" s="290"/>
      <c r="H14" s="290"/>
      <c r="I14" s="291" t="str">
        <f>IF((E14+G14)&gt;0,(E14+G14)/'Operational Data'!$G$21, "-")</f>
        <v>-</v>
      </c>
      <c r="J14" s="291"/>
    </row>
    <row r="15" spans="1:10" s="3" customFormat="1" ht="14.25" customHeight="1" x14ac:dyDescent="0.25">
      <c r="A15" s="301" t="s">
        <v>94</v>
      </c>
      <c r="B15" s="301"/>
      <c r="C15" s="301"/>
      <c r="D15" s="301"/>
      <c r="E15" s="293">
        <f>SUM(E11:F14)</f>
        <v>80.5</v>
      </c>
      <c r="F15" s="293"/>
      <c r="G15" s="293">
        <f>SUM(G11:H14)</f>
        <v>9119.2999999999993</v>
      </c>
      <c r="H15" s="293"/>
      <c r="I15" s="291">
        <f>IF((E15+G15)&gt;0,(E15+G15)/'Operational Data'!$G$21, "-")</f>
        <v>2.4006288072419481E-2</v>
      </c>
      <c r="J15" s="291"/>
    </row>
    <row r="16" spans="1:10" s="3" customFormat="1" ht="14.25" customHeight="1" x14ac:dyDescent="0.25">
      <c r="A16" s="266"/>
      <c r="B16" s="267"/>
      <c r="C16" s="267"/>
      <c r="D16" s="267"/>
      <c r="E16" s="296"/>
      <c r="F16" s="296"/>
      <c r="G16" s="296"/>
      <c r="H16" s="296"/>
      <c r="I16" s="297"/>
      <c r="J16" s="298"/>
    </row>
    <row r="17" spans="1:10" s="3" customFormat="1" ht="14.25" customHeight="1" x14ac:dyDescent="0.25">
      <c r="A17" s="299" t="s">
        <v>95</v>
      </c>
      <c r="B17" s="299"/>
      <c r="C17" s="299"/>
      <c r="D17" s="299"/>
      <c r="E17" s="299"/>
      <c r="F17" s="299"/>
      <c r="G17" s="299"/>
      <c r="H17" s="299"/>
      <c r="I17" s="299"/>
      <c r="J17" s="299"/>
    </row>
    <row r="18" spans="1:10" ht="14.25" customHeight="1" x14ac:dyDescent="0.25">
      <c r="A18" s="262" t="s">
        <v>93</v>
      </c>
      <c r="B18" s="262"/>
      <c r="C18" s="295" t="s">
        <v>440</v>
      </c>
      <c r="D18" s="289"/>
      <c r="E18" s="290"/>
      <c r="F18" s="290"/>
      <c r="G18" s="290">
        <v>60336</v>
      </c>
      <c r="H18" s="290"/>
      <c r="I18" s="291">
        <f>IF((E18+G18)&gt;0,(E18+G18)/'Operational Data'!$G$21, "-")</f>
        <v>0.15744292236108415</v>
      </c>
      <c r="J18" s="291"/>
    </row>
    <row r="19" spans="1:10" s="3" customFormat="1" ht="14.25" customHeight="1" x14ac:dyDescent="0.25">
      <c r="A19" s="262" t="s">
        <v>96</v>
      </c>
      <c r="B19" s="262"/>
      <c r="C19" s="295" t="s">
        <v>441</v>
      </c>
      <c r="D19" s="289"/>
      <c r="E19" s="290"/>
      <c r="F19" s="290"/>
      <c r="G19" s="290">
        <v>7180</v>
      </c>
      <c r="H19" s="290"/>
      <c r="I19" s="291">
        <f>IF((E19+G19)&gt;0,(E19+G19)/'Operational Data'!$G$21, "-")</f>
        <v>1.8735749511942856E-2</v>
      </c>
      <c r="J19" s="291"/>
    </row>
    <row r="20" spans="1:10" s="3" customFormat="1" ht="14.25" customHeight="1" x14ac:dyDescent="0.25">
      <c r="A20" s="262" t="s">
        <v>97</v>
      </c>
      <c r="B20" s="262"/>
      <c r="C20" s="289"/>
      <c r="D20" s="289"/>
      <c r="E20" s="290"/>
      <c r="F20" s="290"/>
      <c r="G20" s="290"/>
      <c r="H20" s="290"/>
      <c r="I20" s="291" t="str">
        <f>IF((E20+G20)&gt;0,(E20+G20)/'Operational Data'!$G$21, "-")</f>
        <v>-</v>
      </c>
      <c r="J20" s="291"/>
    </row>
    <row r="21" spans="1:10" s="3" customFormat="1" ht="14.25" customHeight="1" x14ac:dyDescent="0.25">
      <c r="A21" s="294" t="s">
        <v>442</v>
      </c>
      <c r="B21" s="288"/>
      <c r="C21" s="295" t="s">
        <v>441</v>
      </c>
      <c r="D21" s="289"/>
      <c r="E21" s="290"/>
      <c r="F21" s="290"/>
      <c r="G21" s="290">
        <v>4312</v>
      </c>
      <c r="H21" s="290"/>
      <c r="I21" s="291">
        <f>IF((E21+G21)&gt;0,(E21+G21)/'Operational Data'!$G$21, "-")</f>
        <v>1.1251887450626406E-2</v>
      </c>
      <c r="J21" s="291"/>
    </row>
    <row r="22" spans="1:10" s="3" customFormat="1" ht="14.25" customHeight="1" x14ac:dyDescent="0.25">
      <c r="A22" s="288"/>
      <c r="B22" s="288"/>
      <c r="C22" s="289"/>
      <c r="D22" s="289"/>
      <c r="E22" s="290"/>
      <c r="F22" s="290"/>
      <c r="G22" s="290"/>
      <c r="H22" s="290"/>
      <c r="I22" s="291" t="str">
        <f>IF((E22+G22)&gt;0,(E22+G22)/'Operational Data'!$G$21, "-")</f>
        <v>-</v>
      </c>
      <c r="J22" s="291"/>
    </row>
    <row r="23" spans="1:10" s="3" customFormat="1" ht="14.25" customHeight="1" x14ac:dyDescent="0.25">
      <c r="A23" s="292" t="s">
        <v>98</v>
      </c>
      <c r="B23" s="292"/>
      <c r="C23" s="292"/>
      <c r="D23" s="292"/>
      <c r="E23" s="293">
        <f>SUM(E18:F22)</f>
        <v>0</v>
      </c>
      <c r="F23" s="293"/>
      <c r="G23" s="293">
        <f>SUM(G18:H22)</f>
        <v>71828</v>
      </c>
      <c r="H23" s="293"/>
      <c r="I23" s="291">
        <f>IF((E23+G23)&gt;0,(E23+G23)/'Operational Data'!$G$21, "-")</f>
        <v>0.18743055932365341</v>
      </c>
      <c r="J23" s="291"/>
    </row>
    <row r="24" spans="1:10" s="3" customFormat="1" ht="14.25" customHeight="1" x14ac:dyDescent="0.25">
      <c r="A24" s="285" t="s">
        <v>99</v>
      </c>
      <c r="B24" s="285"/>
      <c r="C24" s="285"/>
      <c r="D24" s="285"/>
      <c r="E24" s="286">
        <f>+E23+E15</f>
        <v>80.5</v>
      </c>
      <c r="F24" s="286"/>
      <c r="G24" s="286">
        <f>+G23+G15</f>
        <v>80947.3</v>
      </c>
      <c r="H24" s="286"/>
      <c r="I24" s="287">
        <f>IF((E24+G24)&gt;0,(E24+G24)/'Operational Data'!$G$21, "-")</f>
        <v>0.21143684739607291</v>
      </c>
      <c r="J24" s="287"/>
    </row>
    <row r="25" spans="1:10" s="3" customFormat="1" ht="8.25" customHeight="1" x14ac:dyDescent="0.3">
      <c r="A25" s="76"/>
      <c r="B25"/>
      <c r="C25"/>
      <c r="D25"/>
      <c r="E25"/>
      <c r="F25"/>
      <c r="G25"/>
    </row>
    <row r="26" spans="1:10" s="3" customFormat="1" ht="14.25" customHeight="1" x14ac:dyDescent="0.25">
      <c r="A26" s="263" t="s">
        <v>100</v>
      </c>
      <c r="B26" s="263"/>
      <c r="C26" s="263"/>
      <c r="D26" s="263"/>
      <c r="E26" s="263"/>
      <c r="F26" s="263"/>
      <c r="G26" s="263"/>
      <c r="H26" s="263"/>
      <c r="I26" s="263"/>
      <c r="J26" s="263"/>
    </row>
    <row r="27" spans="1:10" s="3" customFormat="1" ht="14.25" customHeight="1" x14ac:dyDescent="0.25">
      <c r="A27" s="264"/>
      <c r="B27" s="264"/>
      <c r="C27" s="264"/>
      <c r="D27" s="264"/>
      <c r="E27" s="264"/>
      <c r="F27" s="264"/>
      <c r="G27" s="264"/>
      <c r="H27" s="264"/>
      <c r="I27" s="264"/>
      <c r="J27" s="264"/>
    </row>
    <row r="28" spans="1:10" s="3" customFormat="1" ht="14.25" customHeight="1" x14ac:dyDescent="0.25">
      <c r="A28" s="264"/>
      <c r="B28" s="264"/>
      <c r="C28" s="264"/>
      <c r="D28" s="264"/>
      <c r="E28" s="264"/>
      <c r="F28" s="264"/>
      <c r="G28" s="264"/>
      <c r="H28" s="264"/>
      <c r="I28" s="264"/>
      <c r="J28" s="264"/>
    </row>
    <row r="29" spans="1:10" s="3" customFormat="1" ht="14.25" customHeight="1" x14ac:dyDescent="0.25">
      <c r="A29" s="264"/>
      <c r="B29" s="264"/>
      <c r="C29" s="264"/>
      <c r="D29" s="264"/>
      <c r="E29" s="264"/>
      <c r="F29" s="264"/>
      <c r="G29" s="264"/>
      <c r="H29" s="264"/>
      <c r="I29" s="264"/>
      <c r="J29" s="264"/>
    </row>
    <row r="30" spans="1:10" s="3" customFormat="1" ht="14.25" customHeight="1" x14ac:dyDescent="0.3">
      <c r="A30" s="76"/>
      <c r="B30"/>
      <c r="C30"/>
      <c r="D30"/>
      <c r="E30"/>
      <c r="F30"/>
      <c r="G30"/>
    </row>
    <row r="31" spans="1:10" s="3" customFormat="1" ht="14.25" customHeight="1" x14ac:dyDescent="0.3">
      <c r="A31" s="1">
        <f>+A1</f>
        <v>2022</v>
      </c>
      <c r="B31" s="69" t="s">
        <v>101</v>
      </c>
      <c r="C31" s="69"/>
      <c r="D31" s="69"/>
      <c r="E31" s="69"/>
      <c r="F31" s="69"/>
    </row>
    <row r="32" spans="1:10" s="3" customFormat="1" ht="24.75" customHeight="1" x14ac:dyDescent="0.25">
      <c r="A32" s="280" t="s">
        <v>102</v>
      </c>
      <c r="B32" s="281"/>
      <c r="C32" s="281"/>
      <c r="D32" s="282"/>
      <c r="E32" s="77" t="s">
        <v>103</v>
      </c>
      <c r="F32" s="78"/>
      <c r="G32" s="79" t="s">
        <v>34</v>
      </c>
      <c r="H32" s="283" t="s">
        <v>430</v>
      </c>
      <c r="I32" s="284"/>
      <c r="J32" s="80" t="s">
        <v>34</v>
      </c>
    </row>
    <row r="33" spans="1:10" s="3" customFormat="1" ht="14.25" customHeight="1" x14ac:dyDescent="0.25">
      <c r="A33" s="266" t="s">
        <v>63</v>
      </c>
      <c r="B33" s="267"/>
      <c r="C33" s="267"/>
      <c r="D33" s="268"/>
      <c r="E33" s="269">
        <f>'Operational Data'!G42/1000</f>
        <v>66228</v>
      </c>
      <c r="F33" s="270"/>
      <c r="G33" s="81" t="s">
        <v>64</v>
      </c>
      <c r="H33" s="271">
        <f>IF(E33&gt;0,E33/'Operational Data'!$G$21,"-")</f>
        <v>0.17281771847868405</v>
      </c>
      <c r="I33" s="272"/>
      <c r="J33" s="81" t="s">
        <v>104</v>
      </c>
    </row>
    <row r="34" spans="1:10" s="3" customFormat="1" ht="14.25" customHeight="1" x14ac:dyDescent="0.25">
      <c r="A34" s="266" t="s">
        <v>105</v>
      </c>
      <c r="B34" s="267"/>
      <c r="C34" s="267"/>
      <c r="D34" s="268"/>
      <c r="E34" s="269">
        <f>('Operational Data'!G42+'Operational Data'!G43)/1000</f>
        <v>66228</v>
      </c>
      <c r="F34" s="270"/>
      <c r="G34" s="81" t="s">
        <v>64</v>
      </c>
      <c r="H34" s="271">
        <f>IF(E34&gt;0,E34/'Operational Data'!$G$21,"-")</f>
        <v>0.17281771847868405</v>
      </c>
      <c r="I34" s="272"/>
      <c r="J34" s="81" t="s">
        <v>104</v>
      </c>
    </row>
    <row r="35" spans="1:10" s="3" customFormat="1" ht="14.25" customHeight="1" x14ac:dyDescent="0.25">
      <c r="A35" s="266" t="s">
        <v>106</v>
      </c>
      <c r="B35" s="267"/>
      <c r="C35" s="267"/>
      <c r="D35" s="268"/>
      <c r="E35" s="269">
        <f>+'Operational Data'!G44</f>
        <v>848601.52</v>
      </c>
      <c r="F35" s="270"/>
      <c r="G35" s="81" t="s">
        <v>107</v>
      </c>
      <c r="H35" s="271">
        <f>IF(E35&gt;0,E35/'Operational Data'!$G$21,"-")</f>
        <v>2.2143712415284074</v>
      </c>
      <c r="I35" s="272"/>
      <c r="J35" s="81" t="s">
        <v>108</v>
      </c>
    </row>
    <row r="36" spans="1:10" s="3" customFormat="1" ht="14.25" customHeight="1" x14ac:dyDescent="0.25">
      <c r="A36" s="266" t="s">
        <v>66</v>
      </c>
      <c r="B36" s="267"/>
      <c r="C36" s="267"/>
      <c r="D36" s="268"/>
      <c r="E36" s="269">
        <f>+'Operational Data'!G46</f>
        <v>64320</v>
      </c>
      <c r="F36" s="270"/>
      <c r="G36" s="81" t="s">
        <v>107</v>
      </c>
      <c r="H36" s="271">
        <f>IF(E36&gt;0,E36/'Operational Data'!$G$21,"-")</f>
        <v>0.16783891484793378</v>
      </c>
      <c r="I36" s="272"/>
      <c r="J36" s="81" t="s">
        <v>108</v>
      </c>
    </row>
    <row r="37" spans="1:10" s="3" customFormat="1" ht="14.25" customHeight="1" x14ac:dyDescent="0.25">
      <c r="A37" s="266" t="s">
        <v>109</v>
      </c>
      <c r="B37" s="267"/>
      <c r="C37" s="267"/>
      <c r="D37" s="268"/>
      <c r="E37" s="269">
        <f>+'Operational Data'!G47</f>
        <v>3193533</v>
      </c>
      <c r="F37" s="270"/>
      <c r="G37" s="81" t="s">
        <v>107</v>
      </c>
      <c r="H37" s="271">
        <f>IF(E37&gt;0,E37/'Operational Data'!$G$21,"-")</f>
        <v>8.3333195468138452</v>
      </c>
      <c r="I37" s="272"/>
      <c r="J37" s="81" t="s">
        <v>108</v>
      </c>
    </row>
    <row r="38" spans="1:10" s="3" customFormat="1" ht="14.25" customHeight="1" x14ac:dyDescent="0.25">
      <c r="A38" s="273"/>
      <c r="B38" s="274"/>
      <c r="C38" s="274"/>
      <c r="D38" s="275"/>
      <c r="E38" s="276"/>
      <c r="F38" s="277"/>
      <c r="G38" s="82"/>
      <c r="H38" s="278"/>
      <c r="I38" s="279"/>
      <c r="J38" s="82"/>
    </row>
    <row r="39" spans="1:10" s="3" customFormat="1" ht="14.25" customHeight="1" x14ac:dyDescent="0.25">
      <c r="A39" s="263" t="s">
        <v>100</v>
      </c>
      <c r="B39" s="263"/>
      <c r="C39" s="263"/>
      <c r="D39" s="263"/>
      <c r="E39" s="263"/>
      <c r="F39" s="263"/>
      <c r="G39" s="263"/>
      <c r="H39" s="263"/>
      <c r="I39" s="263"/>
      <c r="J39" s="263"/>
    </row>
    <row r="40" spans="1:10" s="3" customFormat="1" ht="14.25" customHeight="1" x14ac:dyDescent="0.25">
      <c r="A40" s="264"/>
      <c r="B40" s="264"/>
      <c r="C40" s="264"/>
      <c r="D40" s="264"/>
      <c r="E40" s="264"/>
      <c r="F40" s="264"/>
      <c r="G40" s="264"/>
      <c r="H40" s="264"/>
      <c r="I40" s="264"/>
      <c r="J40" s="264"/>
    </row>
    <row r="41" spans="1:10" s="3" customFormat="1" ht="14.25" customHeight="1" x14ac:dyDescent="0.25">
      <c r="A41" s="264"/>
      <c r="B41" s="264"/>
      <c r="C41" s="264"/>
      <c r="D41" s="264"/>
      <c r="E41" s="264"/>
      <c r="F41" s="264"/>
      <c r="G41" s="264"/>
      <c r="H41" s="264"/>
      <c r="I41" s="264"/>
      <c r="J41" s="264"/>
    </row>
    <row r="42" spans="1:10" s="3" customFormat="1" ht="14.25" customHeight="1" x14ac:dyDescent="0.25">
      <c r="A42" s="83"/>
      <c r="B42" s="83"/>
      <c r="C42" s="83"/>
      <c r="D42" s="83"/>
      <c r="E42" s="83"/>
      <c r="F42" s="83"/>
      <c r="G42" s="83"/>
      <c r="H42" s="83"/>
      <c r="I42" s="83"/>
      <c r="J42" s="83"/>
    </row>
    <row r="43" spans="1:10" s="3" customFormat="1" ht="14.25" customHeight="1" x14ac:dyDescent="0.25">
      <c r="A43" s="69">
        <f>+A31</f>
        <v>2022</v>
      </c>
      <c r="B43" s="69" t="s">
        <v>110</v>
      </c>
      <c r="C43" s="69"/>
      <c r="D43" s="69"/>
      <c r="E43" s="69"/>
      <c r="F43" s="69"/>
      <c r="G43" s="2"/>
    </row>
    <row r="44" spans="1:10" ht="14.25" customHeight="1" x14ac:dyDescent="0.25">
      <c r="A44" s="265" t="s">
        <v>111</v>
      </c>
      <c r="B44" s="265"/>
      <c r="C44" s="265" t="s">
        <v>303</v>
      </c>
      <c r="D44" s="265"/>
      <c r="E44" s="265"/>
      <c r="F44" s="265"/>
      <c r="G44" s="265"/>
      <c r="H44" s="265"/>
      <c r="I44" s="265"/>
      <c r="J44" s="265"/>
    </row>
    <row r="45" spans="1:10" ht="14.25" customHeight="1" x14ac:dyDescent="0.25">
      <c r="A45" s="84"/>
      <c r="B45" s="84"/>
      <c r="C45" s="71" t="s">
        <v>112</v>
      </c>
      <c r="D45" s="71" t="s">
        <v>113</v>
      </c>
      <c r="E45" s="71" t="s">
        <v>114</v>
      </c>
      <c r="F45" s="71" t="s">
        <v>115</v>
      </c>
      <c r="G45" s="71" t="s">
        <v>116</v>
      </c>
      <c r="H45" s="71"/>
      <c r="I45" s="71" t="s">
        <v>117</v>
      </c>
      <c r="J45" s="71" t="s">
        <v>118</v>
      </c>
    </row>
    <row r="46" spans="1:10" ht="31.5" customHeight="1" x14ac:dyDescent="0.25">
      <c r="A46" s="262" t="s">
        <v>190</v>
      </c>
      <c r="B46" s="262"/>
      <c r="C46" s="188">
        <v>7709</v>
      </c>
      <c r="D46" s="188">
        <v>7782</v>
      </c>
      <c r="E46" s="74"/>
      <c r="F46" s="85"/>
      <c r="G46" s="85"/>
      <c r="H46" s="85"/>
      <c r="I46" s="85"/>
      <c r="J46" s="85"/>
    </row>
    <row r="47" spans="1:10" ht="43.5" customHeight="1" x14ac:dyDescent="0.25">
      <c r="A47" s="262" t="s">
        <v>119</v>
      </c>
      <c r="B47" s="262"/>
      <c r="C47" s="178">
        <v>4</v>
      </c>
      <c r="D47" s="178">
        <v>4</v>
      </c>
      <c r="E47" s="74"/>
      <c r="F47" s="85"/>
      <c r="G47" s="85"/>
      <c r="H47" s="85"/>
      <c r="I47" s="85"/>
      <c r="J47" s="85"/>
    </row>
    <row r="48" spans="1:10" ht="42.75" customHeight="1" x14ac:dyDescent="0.25">
      <c r="A48" s="262" t="s">
        <v>120</v>
      </c>
      <c r="B48" s="262"/>
      <c r="C48" s="178">
        <v>4.5</v>
      </c>
      <c r="D48" s="178">
        <v>4.5</v>
      </c>
      <c r="E48" s="74"/>
      <c r="F48" s="85"/>
      <c r="G48" s="85"/>
      <c r="H48" s="85"/>
      <c r="I48" s="85"/>
      <c r="J48" s="85"/>
    </row>
    <row r="49" spans="1:10" ht="8.25" customHeight="1" x14ac:dyDescent="0.25"/>
    <row r="50" spans="1:10" x14ac:dyDescent="0.25">
      <c r="A50" s="263" t="s">
        <v>100</v>
      </c>
      <c r="B50" s="263"/>
      <c r="C50" s="263"/>
      <c r="D50" s="263"/>
      <c r="E50" s="263"/>
      <c r="F50" s="263"/>
      <c r="G50" s="263"/>
      <c r="H50" s="263"/>
      <c r="I50" s="263"/>
      <c r="J50" s="263"/>
    </row>
    <row r="51" spans="1:10" x14ac:dyDescent="0.25">
      <c r="A51" s="264"/>
      <c r="B51" s="264"/>
      <c r="C51" s="264"/>
      <c r="D51" s="264"/>
      <c r="E51" s="264"/>
      <c r="F51" s="264"/>
      <c r="G51" s="264"/>
      <c r="H51" s="264"/>
      <c r="I51" s="264"/>
      <c r="J51" s="264"/>
    </row>
    <row r="52" spans="1:10" x14ac:dyDescent="0.25">
      <c r="A52" s="264"/>
      <c r="B52" s="264"/>
      <c r="C52" s="264"/>
      <c r="D52" s="264"/>
      <c r="E52" s="264"/>
      <c r="F52" s="264"/>
      <c r="G52" s="264"/>
      <c r="H52" s="264"/>
      <c r="I52" s="264"/>
      <c r="J52" s="264"/>
    </row>
    <row r="54" spans="1:10" x14ac:dyDescent="0.25">
      <c r="A54" s="3" t="s">
        <v>121</v>
      </c>
      <c r="B54" s="86" t="s">
        <v>389</v>
      </c>
      <c r="C54" s="181">
        <v>44981</v>
      </c>
      <c r="D54" s="86"/>
      <c r="E54" s="86"/>
      <c r="F54" s="3"/>
      <c r="G54" s="3" t="s">
        <v>122</v>
      </c>
      <c r="H54" s="181">
        <v>44567</v>
      </c>
      <c r="I54" s="86"/>
    </row>
    <row r="62" spans="1:10" x14ac:dyDescent="0.25">
      <c r="F62" s="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view="pageBreakPreview" zoomScale="145" zoomScaleNormal="100" zoomScaleSheetLayoutView="145" workbookViewId="0">
      <selection activeCell="C52" sqref="C52"/>
    </sheetView>
  </sheetViews>
  <sheetFormatPr defaultColWidth="9.21875" defaultRowHeight="15" x14ac:dyDescent="0.25"/>
  <cols>
    <col min="1" max="1" width="9.44140625" style="2" bestFit="1" customWidth="1"/>
    <col min="2" max="7" width="9.21875" style="2"/>
    <col min="8" max="8" width="12.44140625" style="2" customWidth="1"/>
    <col min="9" max="16384" width="9.21875" style="2"/>
  </cols>
  <sheetData>
    <row r="1" spans="1:10" ht="15.6" x14ac:dyDescent="0.3">
      <c r="A1" s="68">
        <f>+'Cover Page'!C39</f>
        <v>2022</v>
      </c>
      <c r="B1" s="69" t="s">
        <v>123</v>
      </c>
      <c r="C1" s="69"/>
      <c r="D1" s="69"/>
      <c r="E1" s="69"/>
      <c r="F1" s="69"/>
      <c r="G1" s="69"/>
      <c r="H1" s="69"/>
      <c r="I1" s="69"/>
      <c r="J1" s="69"/>
    </row>
    <row r="3" spans="1:10" s="3" customFormat="1" ht="15" customHeight="1" x14ac:dyDescent="0.25">
      <c r="A3" s="3" t="str">
        <f>+'Cover Page'!B31</f>
        <v>Permit EPR/ZP3937KL</v>
      </c>
      <c r="E3" s="3" t="s">
        <v>79</v>
      </c>
      <c r="F3" s="303" t="str">
        <f>+'Cover Page'!B37:B37</f>
        <v>SUEZ Recycling and Recovery UK Ltd</v>
      </c>
      <c r="G3" s="303"/>
      <c r="H3" s="303"/>
      <c r="I3" s="303"/>
    </row>
    <row r="4" spans="1:10" s="3" customFormat="1" ht="13.8" x14ac:dyDescent="0.25"/>
    <row r="5" spans="1:10" s="3" customFormat="1" ht="13.8" x14ac:dyDescent="0.25">
      <c r="A5" s="3" t="s">
        <v>80</v>
      </c>
      <c r="B5" s="302" t="str">
        <f>+'Cover Page'!B33:I33</f>
        <v>Severnside Energy Recovery Centre</v>
      </c>
      <c r="C5" s="302"/>
      <c r="D5" s="302"/>
      <c r="E5" s="302"/>
      <c r="F5" s="3" t="s">
        <v>81</v>
      </c>
      <c r="G5" s="3" t="s">
        <v>124</v>
      </c>
    </row>
    <row r="6" spans="1:10" s="3" customFormat="1" ht="13.8" x14ac:dyDescent="0.25"/>
    <row r="7" spans="1:10" s="3" customFormat="1" ht="15.75" customHeight="1" x14ac:dyDescent="0.25">
      <c r="A7" s="3" t="s">
        <v>83</v>
      </c>
      <c r="D7" s="312">
        <f>+'Perf. Form 1'!D6:E6</f>
        <v>44562</v>
      </c>
      <c r="E7" s="312"/>
      <c r="F7" s="70" t="s">
        <v>84</v>
      </c>
      <c r="G7" s="312">
        <f>+'Perf. Form 1'!G6:H6</f>
        <v>44926</v>
      </c>
      <c r="H7" s="312"/>
    </row>
    <row r="8" spans="1:10" s="3" customFormat="1" ht="14.4" x14ac:dyDescent="0.3">
      <c r="B8"/>
      <c r="C8"/>
      <c r="D8"/>
    </row>
    <row r="9" spans="1:10" s="3" customFormat="1" ht="37.5" customHeight="1" x14ac:dyDescent="0.25">
      <c r="A9" s="265" t="s">
        <v>125</v>
      </c>
      <c r="B9" s="265"/>
      <c r="C9" s="265"/>
      <c r="D9" s="305" t="s">
        <v>126</v>
      </c>
      <c r="E9" s="305"/>
      <c r="F9" s="71" t="s">
        <v>34</v>
      </c>
      <c r="G9" s="265" t="s">
        <v>431</v>
      </c>
      <c r="H9" s="265"/>
      <c r="I9" s="265"/>
    </row>
    <row r="10" spans="1:10" s="3" customFormat="1" ht="24.75" customHeight="1" x14ac:dyDescent="0.25">
      <c r="A10" s="262" t="s">
        <v>127</v>
      </c>
      <c r="B10" s="262"/>
      <c r="C10" s="262"/>
      <c r="D10" s="308">
        <f>+'Operational Data'!G24</f>
        <v>283618</v>
      </c>
      <c r="E10" s="308"/>
      <c r="F10" s="106" t="s">
        <v>49</v>
      </c>
      <c r="G10" s="310">
        <f>('Operational Data'!G24*1000)/'Operational Data'!G21</f>
        <v>740.08298120866425</v>
      </c>
      <c r="H10" s="310"/>
      <c r="I10" s="310"/>
    </row>
    <row r="11" spans="1:10" s="3" customFormat="1" ht="24.75" customHeight="1" x14ac:dyDescent="0.25">
      <c r="A11" s="262" t="s">
        <v>128</v>
      </c>
      <c r="B11" s="262"/>
      <c r="C11" s="262"/>
      <c r="D11" s="308">
        <f>+'Operational Data'!G27</f>
        <v>717.05903999999987</v>
      </c>
      <c r="E11" s="308"/>
      <c r="F11" s="106" t="s">
        <v>49</v>
      </c>
      <c r="G11" s="310">
        <f>('Operational Data'!G27*1000)/'Operational Data'!G21</f>
        <v>1.8711195764225921</v>
      </c>
      <c r="H11" s="310"/>
      <c r="I11" s="310"/>
    </row>
    <row r="12" spans="1:10" s="3" customFormat="1" ht="24.75" customHeight="1" x14ac:dyDescent="0.25">
      <c r="A12" s="262" t="s">
        <v>129</v>
      </c>
      <c r="B12" s="262"/>
      <c r="C12" s="262"/>
      <c r="D12" s="308">
        <f>+'Operational Data'!G25</f>
        <v>256655.6422</v>
      </c>
      <c r="E12" s="308"/>
      <c r="F12" s="106" t="s">
        <v>49</v>
      </c>
      <c r="G12" s="310">
        <f>('Operational Data'!G25*1000)/'Operational Data'!G21</f>
        <v>669.72643775571453</v>
      </c>
      <c r="H12" s="310"/>
      <c r="I12" s="310"/>
    </row>
    <row r="13" spans="1:10" s="3" customFormat="1" ht="24.75" customHeight="1" x14ac:dyDescent="0.25">
      <c r="A13" s="262" t="s">
        <v>130</v>
      </c>
      <c r="B13" s="262"/>
      <c r="C13" s="262"/>
      <c r="D13" s="311">
        <f>('Operational Data'!G48*(10^-6))*845</f>
        <v>941.10607499999992</v>
      </c>
      <c r="E13" s="311"/>
      <c r="F13" s="106" t="s">
        <v>41</v>
      </c>
      <c r="G13" s="310">
        <f>(D13*42800*1000*(1/3600))/'Operational Data'!G21</f>
        <v>29.196209568776613</v>
      </c>
      <c r="H13" s="310"/>
      <c r="I13" s="310"/>
    </row>
    <row r="14" spans="1:10" s="3" customFormat="1" ht="24.75" customHeight="1" x14ac:dyDescent="0.25">
      <c r="A14" s="262" t="s">
        <v>131</v>
      </c>
      <c r="B14" s="262"/>
      <c r="C14" s="262"/>
      <c r="D14" s="308">
        <f>+'Operational Data'!G30</f>
        <v>0</v>
      </c>
      <c r="E14" s="308"/>
      <c r="F14" s="106" t="s">
        <v>54</v>
      </c>
      <c r="G14" s="309" t="str">
        <f>+'Operational Data'!H30</f>
        <v>-</v>
      </c>
      <c r="H14" s="309"/>
      <c r="I14" s="309"/>
    </row>
    <row r="15" spans="1:10" s="3" customFormat="1" ht="24.75" customHeight="1" x14ac:dyDescent="0.25">
      <c r="A15" s="300"/>
      <c r="B15" s="300"/>
      <c r="C15" s="300"/>
      <c r="D15" s="300"/>
      <c r="E15" s="300"/>
      <c r="F15" s="73"/>
      <c r="G15" s="226"/>
      <c r="H15" s="226"/>
      <c r="I15" s="226"/>
    </row>
    <row r="16" spans="1:10" s="3" customFormat="1" ht="24.75" customHeight="1" x14ac:dyDescent="0.25">
      <c r="A16" s="300"/>
      <c r="B16" s="300"/>
      <c r="C16" s="300"/>
      <c r="D16" s="300"/>
      <c r="E16" s="300"/>
      <c r="F16" s="73"/>
      <c r="G16" s="226"/>
      <c r="H16" s="226"/>
      <c r="I16" s="226"/>
    </row>
    <row r="17" spans="1:9" s="3" customFormat="1" ht="14.4" x14ac:dyDescent="0.3">
      <c r="A17" s="87"/>
      <c r="B17"/>
      <c r="C17"/>
      <c r="D17"/>
    </row>
    <row r="18" spans="1:9" s="3" customFormat="1" ht="24" customHeight="1" x14ac:dyDescent="0.25">
      <c r="A18" s="263" t="s">
        <v>100</v>
      </c>
      <c r="B18" s="263"/>
      <c r="C18" s="263"/>
      <c r="D18" s="263"/>
      <c r="E18" s="263"/>
      <c r="F18" s="263"/>
      <c r="G18" s="263"/>
      <c r="H18" s="263"/>
      <c r="I18" s="263"/>
    </row>
    <row r="19" spans="1:9" s="3" customFormat="1" ht="13.8" x14ac:dyDescent="0.25">
      <c r="A19" s="306" t="s">
        <v>443</v>
      </c>
      <c r="B19" s="307"/>
      <c r="C19" s="307"/>
      <c r="D19" s="307"/>
      <c r="E19" s="307"/>
      <c r="F19" s="307"/>
      <c r="G19" s="307"/>
      <c r="H19" s="307"/>
      <c r="I19" s="307"/>
    </row>
    <row r="20" spans="1:9" s="3" customFormat="1" ht="13.8" x14ac:dyDescent="0.25">
      <c r="A20" s="307"/>
      <c r="B20" s="307"/>
      <c r="C20" s="307"/>
      <c r="D20" s="307"/>
      <c r="E20" s="307"/>
      <c r="F20" s="307"/>
      <c r="G20" s="307"/>
      <c r="H20" s="307"/>
      <c r="I20" s="307"/>
    </row>
    <row r="21" spans="1:9" s="3" customFormat="1" ht="13.8" x14ac:dyDescent="0.25">
      <c r="A21" s="307"/>
      <c r="B21" s="307"/>
      <c r="C21" s="307"/>
      <c r="D21" s="307"/>
      <c r="E21" s="307"/>
      <c r="F21" s="307"/>
      <c r="G21" s="307"/>
      <c r="H21" s="307"/>
      <c r="I21" s="307"/>
    </row>
    <row r="22" spans="1:9" s="3" customFormat="1" ht="13.8" x14ac:dyDescent="0.25">
      <c r="A22" s="307"/>
      <c r="B22" s="307"/>
      <c r="C22" s="307"/>
      <c r="D22" s="307"/>
      <c r="E22" s="307"/>
      <c r="F22" s="307"/>
      <c r="G22" s="307"/>
      <c r="H22" s="307"/>
      <c r="I22" s="307"/>
    </row>
    <row r="23" spans="1:9" s="3" customFormat="1" ht="13.8" x14ac:dyDescent="0.25">
      <c r="A23" s="307"/>
      <c r="B23" s="307"/>
      <c r="C23" s="307"/>
      <c r="D23" s="307"/>
      <c r="E23" s="307"/>
      <c r="F23" s="307"/>
      <c r="G23" s="307"/>
      <c r="H23" s="307"/>
      <c r="I23" s="307"/>
    </row>
    <row r="24" spans="1:9" s="3" customFormat="1" ht="13.8" x14ac:dyDescent="0.25">
      <c r="A24" s="307"/>
      <c r="B24" s="307"/>
      <c r="C24" s="307"/>
      <c r="D24" s="307"/>
      <c r="E24" s="307"/>
      <c r="F24" s="307"/>
      <c r="G24" s="307"/>
      <c r="H24" s="307"/>
      <c r="I24" s="307"/>
    </row>
    <row r="25" spans="1:9" s="3" customFormat="1" ht="13.8" x14ac:dyDescent="0.25">
      <c r="A25" s="307"/>
      <c r="B25" s="307"/>
      <c r="C25" s="307"/>
      <c r="D25" s="307"/>
      <c r="E25" s="307"/>
      <c r="F25" s="307"/>
      <c r="G25" s="307"/>
      <c r="H25" s="307"/>
      <c r="I25" s="307"/>
    </row>
    <row r="26" spans="1:9" s="3" customFormat="1" ht="13.8" x14ac:dyDescent="0.25">
      <c r="A26" s="83"/>
      <c r="B26" s="83"/>
      <c r="C26" s="83"/>
      <c r="D26" s="83"/>
      <c r="E26" s="83"/>
      <c r="F26" s="83"/>
      <c r="G26" s="83"/>
      <c r="H26" s="83"/>
      <c r="I26" s="83"/>
    </row>
    <row r="27" spans="1:9" s="3" customFormat="1" ht="13.8" x14ac:dyDescent="0.25"/>
    <row r="28" spans="1:9" s="3" customFormat="1" ht="13.8" x14ac:dyDescent="0.25"/>
    <row r="29" spans="1:9" s="3" customFormat="1" ht="13.8" x14ac:dyDescent="0.25">
      <c r="A29" s="3" t="s">
        <v>121</v>
      </c>
      <c r="B29" s="86" t="s">
        <v>389</v>
      </c>
      <c r="C29" s="86"/>
      <c r="D29" s="86"/>
      <c r="E29" s="86"/>
      <c r="G29" s="3" t="s">
        <v>122</v>
      </c>
      <c r="H29" s="181">
        <v>44932</v>
      </c>
      <c r="I29" s="86"/>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2"/>
      <c r="B34" s="2"/>
      <c r="C34" s="2"/>
      <c r="D34" s="2"/>
      <c r="E34" s="2"/>
      <c r="F34" s="2"/>
      <c r="G34" s="2"/>
      <c r="H34" s="2"/>
      <c r="I34" s="2"/>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52" spans="3:6" x14ac:dyDescent="0.25">
      <c r="C52" s="2">
        <v>2</v>
      </c>
    </row>
    <row r="54" spans="3:6" x14ac:dyDescent="0.25">
      <c r="C54" s="198">
        <v>44981</v>
      </c>
    </row>
    <row r="64" spans="3:6" x14ac:dyDescent="0.25">
      <c r="F64" s="3"/>
    </row>
  </sheetData>
  <mergeCells count="30">
    <mergeCell ref="F3:I3"/>
    <mergeCell ref="A10:C10"/>
    <mergeCell ref="D10:E10"/>
    <mergeCell ref="G10:I10"/>
    <mergeCell ref="A11:C11"/>
    <mergeCell ref="D11:E11"/>
    <mergeCell ref="G11:I11"/>
    <mergeCell ref="B5:E5"/>
    <mergeCell ref="D7:E7"/>
    <mergeCell ref="G7:H7"/>
    <mergeCell ref="A9:C9"/>
    <mergeCell ref="D9:E9"/>
    <mergeCell ref="G9:I9"/>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70"/>
  <sheetViews>
    <sheetView view="pageBreakPreview" zoomScale="115" zoomScaleNormal="100" zoomScaleSheetLayoutView="115" workbookViewId="0">
      <selection activeCell="C52" sqref="C52"/>
    </sheetView>
  </sheetViews>
  <sheetFormatPr defaultColWidth="9.21875" defaultRowHeight="15" x14ac:dyDescent="0.25"/>
  <cols>
    <col min="1" max="1" width="12.21875" style="2" customWidth="1"/>
    <col min="2" max="2" width="11.77734375" style="2" customWidth="1"/>
    <col min="3" max="3" width="18.21875" style="2" bestFit="1" customWidth="1"/>
    <col min="4" max="4" width="12.5546875" style="2" bestFit="1" customWidth="1"/>
    <col min="5" max="5" width="3.21875" style="2" customWidth="1"/>
    <col min="6" max="8" width="9.21875" style="2"/>
    <col min="9" max="9" width="8.77734375" style="2" customWidth="1"/>
    <col min="10" max="10" width="9.21875" style="2" hidden="1" customWidth="1"/>
    <col min="11" max="11" width="10.77734375" style="2" bestFit="1" customWidth="1"/>
    <col min="12" max="12" width="31.77734375" style="2" customWidth="1"/>
    <col min="13" max="16384" width="9.21875" style="2"/>
  </cols>
  <sheetData>
    <row r="1" spans="1:15" x14ac:dyDescent="0.25">
      <c r="A1" s="2" t="str">
        <f>+'Cover Page'!$B$29</f>
        <v>Annual Performance Report 2022</v>
      </c>
      <c r="E1" s="2" t="str">
        <f>+'Cover Page'!$B$33</f>
        <v>Severnside Energy Recovery Centre</v>
      </c>
    </row>
    <row r="3" spans="1:15" ht="15.6" x14ac:dyDescent="0.3">
      <c r="A3" s="1" t="s">
        <v>132</v>
      </c>
    </row>
    <row r="4" spans="1:15" ht="15.6" x14ac:dyDescent="0.3">
      <c r="A4" s="1"/>
    </row>
    <row r="5" spans="1:15" x14ac:dyDescent="0.25">
      <c r="A5" s="10" t="s">
        <v>133</v>
      </c>
    </row>
    <row r="6" spans="1:15" x14ac:dyDescent="0.25">
      <c r="A6" s="10"/>
    </row>
    <row r="7" spans="1:15" x14ac:dyDescent="0.25">
      <c r="A7" s="15" t="s">
        <v>134</v>
      </c>
    </row>
    <row r="8" spans="1:15" s="3" customFormat="1" ht="25.5" customHeight="1" x14ac:dyDescent="0.3">
      <c r="A8" s="327" t="s">
        <v>135</v>
      </c>
      <c r="B8" s="328"/>
      <c r="C8" s="327" t="s">
        <v>136</v>
      </c>
      <c r="D8" s="329"/>
      <c r="E8" s="329"/>
      <c r="F8" s="329"/>
      <c r="G8" s="329"/>
      <c r="H8" s="329"/>
      <c r="I8" s="328"/>
      <c r="L8" s="137" t="s">
        <v>294</v>
      </c>
    </row>
    <row r="9" spans="1:15" s="3" customFormat="1" ht="22.5" customHeight="1" x14ac:dyDescent="0.25">
      <c r="A9" s="330"/>
      <c r="B9" s="331"/>
      <c r="C9" s="332" t="s">
        <v>137</v>
      </c>
      <c r="D9" s="332"/>
      <c r="E9" s="332"/>
      <c r="F9" s="332" t="s">
        <v>138</v>
      </c>
      <c r="G9" s="332"/>
      <c r="H9" s="332"/>
      <c r="I9" s="332"/>
      <c r="L9" s="333" t="s">
        <v>354</v>
      </c>
      <c r="M9" s="251"/>
      <c r="N9" s="251"/>
      <c r="O9" s="251"/>
    </row>
    <row r="10" spans="1:15" s="3" customFormat="1" ht="22.5" customHeight="1" x14ac:dyDescent="0.25">
      <c r="A10" s="326" t="s">
        <v>139</v>
      </c>
      <c r="B10" s="326"/>
      <c r="C10" s="322">
        <v>1</v>
      </c>
      <c r="D10" s="323"/>
      <c r="E10" s="323"/>
      <c r="F10" s="322">
        <v>1</v>
      </c>
      <c r="G10" s="323"/>
      <c r="H10" s="323"/>
      <c r="I10" s="323"/>
      <c r="L10" s="251"/>
      <c r="M10" s="251"/>
      <c r="N10" s="251"/>
      <c r="O10" s="251"/>
    </row>
    <row r="11" spans="1:15" s="3" customFormat="1" ht="22.5" customHeight="1" x14ac:dyDescent="0.25">
      <c r="A11" s="326" t="s">
        <v>140</v>
      </c>
      <c r="B11" s="326"/>
      <c r="C11" s="322">
        <v>1</v>
      </c>
      <c r="D11" s="323"/>
      <c r="E11" s="323"/>
      <c r="F11" s="322">
        <v>1</v>
      </c>
      <c r="G11" s="323"/>
      <c r="H11" s="323"/>
      <c r="I11" s="323"/>
      <c r="L11" s="251"/>
      <c r="M11" s="251"/>
      <c r="N11" s="251"/>
      <c r="O11" s="251"/>
    </row>
    <row r="12" spans="1:15" s="3" customFormat="1" ht="22.5" customHeight="1" x14ac:dyDescent="0.25">
      <c r="A12" s="326" t="s">
        <v>141</v>
      </c>
      <c r="B12" s="326"/>
      <c r="C12" s="335">
        <v>0.99997000000000003</v>
      </c>
      <c r="D12" s="336"/>
      <c r="E12" s="336"/>
      <c r="F12" s="322">
        <v>1</v>
      </c>
      <c r="G12" s="323"/>
      <c r="H12" s="323"/>
      <c r="I12" s="323"/>
      <c r="L12" s="251"/>
      <c r="M12" s="251"/>
      <c r="N12" s="251"/>
      <c r="O12" s="251"/>
    </row>
    <row r="13" spans="1:15" s="3" customFormat="1" ht="22.5" customHeight="1" x14ac:dyDescent="0.25">
      <c r="A13" s="326" t="s">
        <v>142</v>
      </c>
      <c r="B13" s="326"/>
      <c r="C13" s="295" t="s">
        <v>390</v>
      </c>
      <c r="D13" s="320"/>
      <c r="E13" s="320"/>
      <c r="F13" s="322">
        <v>1</v>
      </c>
      <c r="G13" s="323"/>
      <c r="H13" s="323"/>
      <c r="I13" s="323"/>
      <c r="L13" s="251"/>
      <c r="M13" s="251"/>
      <c r="N13" s="251"/>
      <c r="O13" s="251"/>
    </row>
    <row r="14" spans="1:15" s="3" customFormat="1" ht="22.5" customHeight="1" x14ac:dyDescent="0.25">
      <c r="A14" s="326" t="s">
        <v>143</v>
      </c>
      <c r="B14" s="326"/>
      <c r="C14" s="322">
        <v>1</v>
      </c>
      <c r="D14" s="323"/>
      <c r="E14" s="323"/>
      <c r="F14" s="322">
        <v>1</v>
      </c>
      <c r="G14" s="323"/>
      <c r="H14" s="323"/>
      <c r="I14" s="323"/>
      <c r="L14" s="251"/>
      <c r="M14" s="251"/>
      <c r="N14" s="251"/>
      <c r="O14" s="251"/>
    </row>
    <row r="15" spans="1:15" s="3" customFormat="1" ht="22.5" customHeight="1" x14ac:dyDescent="0.25">
      <c r="A15" s="326" t="s">
        <v>144</v>
      </c>
      <c r="B15" s="326"/>
      <c r="C15" s="322">
        <v>1</v>
      </c>
      <c r="D15" s="323"/>
      <c r="E15" s="323"/>
      <c r="F15" s="322">
        <v>1</v>
      </c>
      <c r="G15" s="323"/>
      <c r="H15" s="323"/>
      <c r="I15" s="323"/>
      <c r="L15" s="251"/>
      <c r="M15" s="251"/>
      <c r="N15" s="251"/>
      <c r="O15" s="251"/>
    </row>
    <row r="16" spans="1:15" s="3" customFormat="1" ht="22.5" customHeight="1" x14ac:dyDescent="0.25">
      <c r="A16" s="326" t="s">
        <v>331</v>
      </c>
      <c r="B16" s="326"/>
      <c r="C16" s="321" t="s">
        <v>388</v>
      </c>
      <c r="D16" s="320"/>
      <c r="E16" s="320"/>
      <c r="F16" s="322">
        <v>1</v>
      </c>
      <c r="G16" s="323"/>
      <c r="H16" s="323"/>
      <c r="I16" s="323"/>
      <c r="L16" s="251"/>
      <c r="M16" s="251"/>
      <c r="N16" s="251"/>
      <c r="O16" s="251"/>
    </row>
    <row r="17" spans="1:15" s="3" customFormat="1" ht="22.5" customHeight="1" x14ac:dyDescent="0.25">
      <c r="A17" s="324"/>
      <c r="B17" s="325"/>
      <c r="C17" s="319"/>
      <c r="D17" s="320"/>
      <c r="E17" s="320"/>
      <c r="F17" s="319"/>
      <c r="G17" s="320"/>
      <c r="H17" s="320"/>
      <c r="I17" s="320"/>
      <c r="L17" s="251"/>
      <c r="M17" s="251"/>
      <c r="N17" s="251"/>
      <c r="O17" s="251"/>
    </row>
    <row r="18" spans="1:15" s="3" customFormat="1" ht="13.8" x14ac:dyDescent="0.25">
      <c r="L18" s="251"/>
      <c r="M18" s="251"/>
      <c r="N18" s="251"/>
      <c r="O18" s="251"/>
    </row>
    <row r="19" spans="1:15" s="87" customFormat="1" ht="21.75" customHeight="1" x14ac:dyDescent="0.3">
      <c r="A19" s="313" t="s">
        <v>146</v>
      </c>
      <c r="B19" s="314"/>
      <c r="C19" s="314"/>
      <c r="D19" s="314"/>
      <c r="E19" s="314"/>
      <c r="F19" s="314"/>
      <c r="G19" s="314"/>
      <c r="H19" s="314"/>
      <c r="I19" s="314"/>
      <c r="J19" s="314"/>
      <c r="K19" s="315"/>
    </row>
    <row r="20" spans="1:15" s="3" customFormat="1" ht="38.25" customHeight="1" x14ac:dyDescent="0.25">
      <c r="A20" s="88" t="s">
        <v>4</v>
      </c>
      <c r="B20" s="317" t="s">
        <v>287</v>
      </c>
      <c r="C20" s="317"/>
      <c r="D20" s="317"/>
      <c r="E20" s="317" t="s">
        <v>147</v>
      </c>
      <c r="F20" s="317"/>
      <c r="G20" s="317"/>
      <c r="H20" s="317" t="s">
        <v>148</v>
      </c>
      <c r="I20" s="317"/>
      <c r="J20" s="318"/>
      <c r="K20" s="128"/>
    </row>
    <row r="21" spans="1:15" s="3" customFormat="1" ht="15.6" x14ac:dyDescent="0.35">
      <c r="A21" s="89">
        <v>44582</v>
      </c>
      <c r="B21" s="225" t="s">
        <v>391</v>
      </c>
      <c r="C21" s="226"/>
      <c r="D21" s="226"/>
      <c r="E21" s="225" t="s">
        <v>444</v>
      </c>
      <c r="F21" s="226"/>
      <c r="G21" s="226"/>
      <c r="H21" s="225" t="s">
        <v>445</v>
      </c>
      <c r="I21" s="226"/>
      <c r="J21" s="316"/>
      <c r="K21" s="128"/>
    </row>
    <row r="22" spans="1:15" s="3" customFormat="1" ht="13.8" x14ac:dyDescent="0.25">
      <c r="A22" s="89">
        <v>44595</v>
      </c>
      <c r="B22" s="225" t="s">
        <v>392</v>
      </c>
      <c r="C22" s="226"/>
      <c r="D22" s="226"/>
      <c r="E22" s="225" t="s">
        <v>393</v>
      </c>
      <c r="F22" s="226"/>
      <c r="G22" s="226"/>
      <c r="H22" s="225" t="s">
        <v>394</v>
      </c>
      <c r="I22" s="226"/>
      <c r="J22" s="316"/>
      <c r="K22" s="128"/>
    </row>
    <row r="23" spans="1:15" s="3" customFormat="1" ht="13.8" x14ac:dyDescent="0.25">
      <c r="A23" s="89">
        <v>44735</v>
      </c>
      <c r="B23" s="225" t="s">
        <v>395</v>
      </c>
      <c r="C23" s="226"/>
      <c r="D23" s="226"/>
      <c r="E23" s="225" t="s">
        <v>393</v>
      </c>
      <c r="F23" s="226"/>
      <c r="G23" s="226"/>
      <c r="H23" s="225" t="s">
        <v>394</v>
      </c>
      <c r="I23" s="226"/>
      <c r="J23" s="316"/>
      <c r="K23" s="128"/>
    </row>
    <row r="24" spans="1:15" s="3" customFormat="1" ht="13.8" x14ac:dyDescent="0.25">
      <c r="A24" s="89">
        <v>44778</v>
      </c>
      <c r="B24" s="225" t="s">
        <v>432</v>
      </c>
      <c r="C24" s="226"/>
      <c r="D24" s="226"/>
      <c r="E24" s="225" t="s">
        <v>396</v>
      </c>
      <c r="F24" s="226"/>
      <c r="G24" s="226"/>
      <c r="H24" s="225" t="s">
        <v>397</v>
      </c>
      <c r="I24" s="226"/>
      <c r="J24" s="316"/>
      <c r="K24" s="128"/>
    </row>
    <row r="25" spans="1:15" s="3" customFormat="1" ht="13.8" x14ac:dyDescent="0.25">
      <c r="A25" s="89">
        <v>44821</v>
      </c>
      <c r="B25" s="225" t="s">
        <v>398</v>
      </c>
      <c r="C25" s="226"/>
      <c r="D25" s="226"/>
      <c r="E25" s="225" t="s">
        <v>399</v>
      </c>
      <c r="F25" s="226"/>
      <c r="G25" s="226"/>
      <c r="H25" s="225" t="s">
        <v>400</v>
      </c>
      <c r="I25" s="226"/>
      <c r="J25" s="316"/>
      <c r="K25" s="128"/>
    </row>
    <row r="26" spans="1:15" s="3" customFormat="1" ht="13.8" x14ac:dyDescent="0.25">
      <c r="A26" s="89">
        <v>44822</v>
      </c>
      <c r="B26" s="225" t="s">
        <v>401</v>
      </c>
      <c r="C26" s="226"/>
      <c r="D26" s="226"/>
      <c r="E26" s="225" t="s">
        <v>399</v>
      </c>
      <c r="F26" s="226"/>
      <c r="G26" s="226"/>
      <c r="H26" s="225" t="s">
        <v>400</v>
      </c>
      <c r="I26" s="226"/>
      <c r="J26" s="316"/>
      <c r="K26" s="128"/>
    </row>
    <row r="27" spans="1:15" s="3" customFormat="1" ht="13.8" x14ac:dyDescent="0.25">
      <c r="A27" s="89">
        <v>44821</v>
      </c>
      <c r="B27" s="225" t="s">
        <v>402</v>
      </c>
      <c r="C27" s="226"/>
      <c r="D27" s="226"/>
      <c r="E27" s="225" t="s">
        <v>399</v>
      </c>
      <c r="F27" s="226"/>
      <c r="G27" s="226"/>
      <c r="H27" s="225" t="s">
        <v>400</v>
      </c>
      <c r="I27" s="226"/>
      <c r="J27" s="316"/>
      <c r="K27" s="128"/>
    </row>
    <row r="28" spans="1:15" s="3" customFormat="1" ht="13.8" x14ac:dyDescent="0.25">
      <c r="A28" s="89">
        <v>44822</v>
      </c>
      <c r="B28" s="225" t="s">
        <v>403</v>
      </c>
      <c r="C28" s="226"/>
      <c r="D28" s="226"/>
      <c r="E28" s="225" t="s">
        <v>399</v>
      </c>
      <c r="F28" s="226"/>
      <c r="G28" s="226"/>
      <c r="H28" s="225" t="s">
        <v>400</v>
      </c>
      <c r="I28" s="226"/>
      <c r="J28" s="316"/>
      <c r="K28" s="128"/>
    </row>
    <row r="29" spans="1:15" s="3" customFormat="1" ht="13.8" x14ac:dyDescent="0.25"/>
    <row r="30" spans="1:15" s="87" customFormat="1" ht="22.5" customHeight="1" x14ac:dyDescent="0.3">
      <c r="A30" s="313" t="s">
        <v>149</v>
      </c>
      <c r="B30" s="314"/>
      <c r="C30" s="314"/>
      <c r="D30" s="314"/>
      <c r="E30" s="314"/>
      <c r="F30" s="314"/>
      <c r="G30" s="314"/>
      <c r="H30" s="314"/>
      <c r="I30" s="314"/>
      <c r="J30" s="314"/>
      <c r="K30" s="315"/>
    </row>
    <row r="31" spans="1:15" s="3" customFormat="1" ht="39" customHeight="1" x14ac:dyDescent="0.25">
      <c r="A31" s="88" t="s">
        <v>4</v>
      </c>
      <c r="B31" s="317" t="s">
        <v>288</v>
      </c>
      <c r="C31" s="317"/>
      <c r="D31" s="317"/>
      <c r="E31" s="317" t="s">
        <v>150</v>
      </c>
      <c r="F31" s="317"/>
      <c r="G31" s="317"/>
      <c r="H31" s="317" t="s">
        <v>148</v>
      </c>
      <c r="I31" s="317"/>
      <c r="J31" s="318"/>
      <c r="K31" s="128"/>
    </row>
    <row r="32" spans="1:15" s="3" customFormat="1" ht="13.8" x14ac:dyDescent="0.25">
      <c r="A32" s="14"/>
      <c r="B32" s="226"/>
      <c r="C32" s="226"/>
      <c r="D32" s="226"/>
      <c r="E32" s="226"/>
      <c r="F32" s="226"/>
      <c r="G32" s="226"/>
      <c r="H32" s="226"/>
      <c r="I32" s="226"/>
      <c r="J32" s="316"/>
      <c r="K32" s="128"/>
    </row>
    <row r="33" spans="1:11" s="3" customFormat="1" ht="13.8" x14ac:dyDescent="0.25">
      <c r="A33" s="14"/>
      <c r="B33" s="226"/>
      <c r="C33" s="226"/>
      <c r="D33" s="226"/>
      <c r="E33" s="226"/>
      <c r="F33" s="226"/>
      <c r="G33" s="226"/>
      <c r="H33" s="226"/>
      <c r="I33" s="226"/>
      <c r="J33" s="316"/>
      <c r="K33" s="128"/>
    </row>
    <row r="34" spans="1:11" ht="14.25" customHeight="1" x14ac:dyDescent="0.25">
      <c r="A34" s="14"/>
      <c r="B34" s="226"/>
      <c r="C34" s="226"/>
      <c r="D34" s="226"/>
      <c r="E34" s="226"/>
      <c r="F34" s="226"/>
      <c r="G34" s="226"/>
      <c r="H34" s="226"/>
      <c r="I34" s="226"/>
      <c r="J34" s="316"/>
      <c r="K34" s="128"/>
    </row>
    <row r="35" spans="1:11" s="3" customFormat="1" ht="13.8" x14ac:dyDescent="0.25">
      <c r="A35" s="14"/>
      <c r="B35" s="226"/>
      <c r="C35" s="226"/>
      <c r="D35" s="226"/>
      <c r="E35" s="226"/>
      <c r="F35" s="226"/>
      <c r="G35" s="226"/>
      <c r="H35" s="226"/>
      <c r="I35" s="226"/>
      <c r="J35" s="316"/>
      <c r="K35" s="128"/>
    </row>
    <row r="36" spans="1:11" s="3" customFormat="1" ht="13.8" x14ac:dyDescent="0.25">
      <c r="A36" s="14"/>
      <c r="B36" s="226"/>
      <c r="C36" s="226"/>
      <c r="D36" s="226"/>
      <c r="E36" s="226"/>
      <c r="F36" s="226"/>
      <c r="G36" s="226"/>
      <c r="H36" s="226"/>
      <c r="I36" s="226"/>
      <c r="J36" s="316"/>
      <c r="K36" s="128"/>
    </row>
    <row r="37" spans="1:11" s="3" customFormat="1" ht="29.25" customHeight="1" x14ac:dyDescent="0.25">
      <c r="A37" s="15"/>
      <c r="E37" s="334" t="s">
        <v>151</v>
      </c>
      <c r="F37" s="334"/>
      <c r="G37" s="334"/>
      <c r="H37" s="334"/>
      <c r="I37" s="334"/>
      <c r="J37" s="15"/>
    </row>
    <row r="52" spans="3:3" x14ac:dyDescent="0.25">
      <c r="C52" s="2">
        <v>2</v>
      </c>
    </row>
    <row r="54" spans="3:3" x14ac:dyDescent="0.25">
      <c r="C54" s="198">
        <v>44981</v>
      </c>
    </row>
    <row r="70" spans="6:6" x14ac:dyDescent="0.25">
      <c r="F70" s="3"/>
    </row>
  </sheetData>
  <mergeCells count="78">
    <mergeCell ref="L9:O18"/>
    <mergeCell ref="E37:I37"/>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8:J28"/>
    <mergeCell ref="B22:D22"/>
    <mergeCell ref="E22:G22"/>
    <mergeCell ref="H22:J22"/>
    <mergeCell ref="B23:D23"/>
    <mergeCell ref="E23:G23"/>
    <mergeCell ref="H23:J23"/>
    <mergeCell ref="B25:D25"/>
    <mergeCell ref="E25:G25"/>
    <mergeCell ref="H25:J25"/>
    <mergeCell ref="B26:D26"/>
    <mergeCell ref="E26:G26"/>
    <mergeCell ref="H26:J26"/>
    <mergeCell ref="B27:D27"/>
    <mergeCell ref="E27:G27"/>
    <mergeCell ref="H27:J27"/>
    <mergeCell ref="B36:D36"/>
    <mergeCell ref="E36:G36"/>
    <mergeCell ref="H36:J36"/>
    <mergeCell ref="B33:D33"/>
    <mergeCell ref="E33:G33"/>
    <mergeCell ref="H33:J33"/>
    <mergeCell ref="B34:D34"/>
    <mergeCell ref="E34:G34"/>
    <mergeCell ref="H34:J34"/>
    <mergeCell ref="A30:K30"/>
    <mergeCell ref="A19:K19"/>
    <mergeCell ref="B35:D35"/>
    <mergeCell ref="E35:G35"/>
    <mergeCell ref="H35:J35"/>
    <mergeCell ref="B31:D31"/>
    <mergeCell ref="E31:G31"/>
    <mergeCell ref="H31:J31"/>
    <mergeCell ref="B32:D32"/>
    <mergeCell ref="E32:G32"/>
    <mergeCell ref="H32:J32"/>
    <mergeCell ref="B24:D24"/>
    <mergeCell ref="E24:G24"/>
    <mergeCell ref="H24:J24"/>
    <mergeCell ref="B28:D28"/>
    <mergeCell ref="E28:G28"/>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view="pageBreakPreview" zoomScale="115" zoomScaleNormal="100" zoomScaleSheetLayoutView="115" workbookViewId="0">
      <selection activeCell="C52" sqref="C52"/>
    </sheetView>
  </sheetViews>
  <sheetFormatPr defaultColWidth="9.21875" defaultRowHeight="15" x14ac:dyDescent="0.25"/>
  <cols>
    <col min="1" max="1" width="9.21875" style="2" customWidth="1"/>
    <col min="2" max="2" width="14.5546875" style="2" bestFit="1" customWidth="1"/>
    <col min="3" max="8" width="9.21875" style="2"/>
    <col min="9" max="9" width="11.5546875" style="2" customWidth="1"/>
    <col min="10" max="16384" width="9.21875" style="2"/>
  </cols>
  <sheetData>
    <row r="1" spans="1:9" x14ac:dyDescent="0.25">
      <c r="A1" s="2" t="str">
        <f>+'Cover Page'!$B$29</f>
        <v>Annual Performance Report 2022</v>
      </c>
      <c r="E1" s="2" t="str">
        <f>+'Cover Page'!$B$33</f>
        <v>Severnside Energy Recovery Centre</v>
      </c>
    </row>
    <row r="3" spans="1:9" ht="15.6" x14ac:dyDescent="0.3">
      <c r="A3" s="1" t="s">
        <v>152</v>
      </c>
    </row>
    <row r="4" spans="1:9" ht="15.6" x14ac:dyDescent="0.3">
      <c r="A4" s="1"/>
    </row>
    <row r="5" spans="1:9" s="3" customFormat="1" ht="13.8" x14ac:dyDescent="0.25">
      <c r="A5" s="349" t="s">
        <v>153</v>
      </c>
      <c r="B5" s="350"/>
      <c r="C5" s="350"/>
      <c r="D5" s="350"/>
      <c r="E5" s="350"/>
      <c r="F5" s="350"/>
      <c r="G5" s="350"/>
      <c r="H5" s="350"/>
      <c r="I5" s="351"/>
    </row>
    <row r="6" spans="1:9" s="3" customFormat="1" ht="15.75" customHeight="1" x14ac:dyDescent="0.25">
      <c r="A6" s="352"/>
      <c r="B6" s="242"/>
      <c r="C6" s="242"/>
      <c r="D6" s="242"/>
      <c r="E6" s="242"/>
      <c r="F6" s="242"/>
      <c r="G6" s="242"/>
      <c r="H6" s="242"/>
      <c r="I6" s="243"/>
    </row>
    <row r="7" spans="1:9" s="3" customFormat="1" ht="15.75" customHeight="1" x14ac:dyDescent="0.25">
      <c r="A7" s="244"/>
      <c r="B7" s="245"/>
      <c r="C7" s="245"/>
      <c r="D7" s="245"/>
      <c r="E7" s="245"/>
      <c r="F7" s="245"/>
      <c r="G7" s="245"/>
      <c r="H7" s="245"/>
      <c r="I7" s="246"/>
    </row>
    <row r="8" spans="1:9" s="3" customFormat="1" ht="15.75" customHeight="1" x14ac:dyDescent="0.25">
      <c r="A8" s="244"/>
      <c r="B8" s="245"/>
      <c r="C8" s="245"/>
      <c r="D8" s="245"/>
      <c r="E8" s="245"/>
      <c r="F8" s="245"/>
      <c r="G8" s="245"/>
      <c r="H8" s="245"/>
      <c r="I8" s="246"/>
    </row>
    <row r="9" spans="1:9" s="3" customFormat="1" ht="15.75" customHeight="1" x14ac:dyDescent="0.25">
      <c r="A9" s="244"/>
      <c r="B9" s="245"/>
      <c r="C9" s="245"/>
      <c r="D9" s="245"/>
      <c r="E9" s="245"/>
      <c r="F9" s="245"/>
      <c r="G9" s="245"/>
      <c r="H9" s="245"/>
      <c r="I9" s="246"/>
    </row>
    <row r="10" spans="1:9" s="3" customFormat="1" ht="15.75" customHeight="1" x14ac:dyDescent="0.25">
      <c r="A10" s="244"/>
      <c r="B10" s="245"/>
      <c r="C10" s="245"/>
      <c r="D10" s="245"/>
      <c r="E10" s="245"/>
      <c r="F10" s="245"/>
      <c r="G10" s="245"/>
      <c r="H10" s="245"/>
      <c r="I10" s="246"/>
    </row>
    <row r="11" spans="1:9" s="3" customFormat="1" ht="15.75" customHeight="1" x14ac:dyDescent="0.25">
      <c r="A11" s="244"/>
      <c r="B11" s="245"/>
      <c r="C11" s="245"/>
      <c r="D11" s="245"/>
      <c r="E11" s="245"/>
      <c r="F11" s="245"/>
      <c r="G11" s="245"/>
      <c r="H11" s="245"/>
      <c r="I11" s="246"/>
    </row>
    <row r="12" spans="1:9" s="3" customFormat="1" ht="15.75" customHeight="1" x14ac:dyDescent="0.25">
      <c r="A12" s="244"/>
      <c r="B12" s="245"/>
      <c r="C12" s="245"/>
      <c r="D12" s="245"/>
      <c r="E12" s="245"/>
      <c r="F12" s="245"/>
      <c r="G12" s="245"/>
      <c r="H12" s="245"/>
      <c r="I12" s="246"/>
    </row>
    <row r="13" spans="1:9" s="3" customFormat="1" ht="15.75" customHeight="1" x14ac:dyDescent="0.25">
      <c r="A13" s="244"/>
      <c r="B13" s="245"/>
      <c r="C13" s="245"/>
      <c r="D13" s="245"/>
      <c r="E13" s="245"/>
      <c r="F13" s="245"/>
      <c r="G13" s="245"/>
      <c r="H13" s="245"/>
      <c r="I13" s="246"/>
    </row>
    <row r="14" spans="1:9" s="3" customFormat="1" ht="15.75" customHeight="1" x14ac:dyDescent="0.25">
      <c r="A14" s="247"/>
      <c r="B14" s="248"/>
      <c r="C14" s="248"/>
      <c r="D14" s="248"/>
      <c r="E14" s="248"/>
      <c r="F14" s="248"/>
      <c r="G14" s="248"/>
      <c r="H14" s="248"/>
      <c r="I14" s="249"/>
    </row>
    <row r="15" spans="1:9" s="3" customFormat="1" ht="13.8" x14ac:dyDescent="0.25"/>
    <row r="16" spans="1:9" s="90" customFormat="1" ht="33.75" customHeight="1" x14ac:dyDescent="0.3">
      <c r="A16" s="337" t="s">
        <v>154</v>
      </c>
      <c r="B16" s="338"/>
      <c r="C16" s="338"/>
      <c r="D16" s="338"/>
      <c r="E16" s="338"/>
      <c r="F16" s="338"/>
      <c r="G16" s="338"/>
      <c r="H16" s="338"/>
      <c r="I16" s="339"/>
    </row>
    <row r="17" spans="1:9" ht="15.75" customHeight="1" x14ac:dyDescent="0.25">
      <c r="A17" s="353" t="s">
        <v>459</v>
      </c>
      <c r="B17" s="242"/>
      <c r="C17" s="242"/>
      <c r="D17" s="242"/>
      <c r="E17" s="242"/>
      <c r="F17" s="242"/>
      <c r="G17" s="242"/>
      <c r="H17" s="242"/>
      <c r="I17" s="243"/>
    </row>
    <row r="18" spans="1:9" ht="15.75" customHeight="1" x14ac:dyDescent="0.25">
      <c r="A18" s="244"/>
      <c r="B18" s="245"/>
      <c r="C18" s="245"/>
      <c r="D18" s="245"/>
      <c r="E18" s="245"/>
      <c r="F18" s="245"/>
      <c r="G18" s="245"/>
      <c r="H18" s="245"/>
      <c r="I18" s="246"/>
    </row>
    <row r="19" spans="1:9" ht="15.75" customHeight="1" x14ac:dyDescent="0.25">
      <c r="A19" s="244"/>
      <c r="B19" s="245"/>
      <c r="C19" s="245"/>
      <c r="D19" s="245"/>
      <c r="E19" s="245"/>
      <c r="F19" s="245"/>
      <c r="G19" s="245"/>
      <c r="H19" s="245"/>
      <c r="I19" s="246"/>
    </row>
    <row r="20" spans="1:9" ht="15.75" customHeight="1" x14ac:dyDescent="0.25">
      <c r="A20" s="244"/>
      <c r="B20" s="245"/>
      <c r="C20" s="245"/>
      <c r="D20" s="245"/>
      <c r="E20" s="245"/>
      <c r="F20" s="245"/>
      <c r="G20" s="245"/>
      <c r="H20" s="245"/>
      <c r="I20" s="246"/>
    </row>
    <row r="21" spans="1:9" ht="15.75" customHeight="1" x14ac:dyDescent="0.25">
      <c r="A21" s="244"/>
      <c r="B21" s="245"/>
      <c r="C21" s="245"/>
      <c r="D21" s="245"/>
      <c r="E21" s="245"/>
      <c r="F21" s="245"/>
      <c r="G21" s="245"/>
      <c r="H21" s="245"/>
      <c r="I21" s="246"/>
    </row>
    <row r="22" spans="1:9" ht="15.75" customHeight="1" x14ac:dyDescent="0.25">
      <c r="A22" s="244"/>
      <c r="B22" s="245"/>
      <c r="C22" s="245"/>
      <c r="D22" s="245"/>
      <c r="E22" s="245"/>
      <c r="F22" s="245"/>
      <c r="G22" s="245"/>
      <c r="H22" s="245"/>
      <c r="I22" s="246"/>
    </row>
    <row r="23" spans="1:9" ht="15.75" customHeight="1" x14ac:dyDescent="0.25">
      <c r="A23" s="244"/>
      <c r="B23" s="245"/>
      <c r="C23" s="245"/>
      <c r="D23" s="245"/>
      <c r="E23" s="245"/>
      <c r="F23" s="245"/>
      <c r="G23" s="245"/>
      <c r="H23" s="245"/>
      <c r="I23" s="246"/>
    </row>
    <row r="24" spans="1:9" ht="15.75" customHeight="1" x14ac:dyDescent="0.25">
      <c r="A24" s="244"/>
      <c r="B24" s="245"/>
      <c r="C24" s="245"/>
      <c r="D24" s="245"/>
      <c r="E24" s="245"/>
      <c r="F24" s="245"/>
      <c r="G24" s="245"/>
      <c r="H24" s="245"/>
      <c r="I24" s="246"/>
    </row>
    <row r="25" spans="1:9" ht="15.75" customHeight="1" x14ac:dyDescent="0.25">
      <c r="A25" s="247"/>
      <c r="B25" s="248"/>
      <c r="C25" s="248"/>
      <c r="D25" s="248"/>
      <c r="E25" s="248"/>
      <c r="F25" s="248"/>
      <c r="G25" s="248"/>
      <c r="H25" s="248"/>
      <c r="I25" s="249"/>
    </row>
    <row r="26" spans="1:9" ht="15.6" x14ac:dyDescent="0.3">
      <c r="A26" s="1"/>
    </row>
    <row r="27" spans="1:9" ht="36.75" customHeight="1" x14ac:dyDescent="0.25">
      <c r="A27" s="337" t="s">
        <v>155</v>
      </c>
      <c r="B27" s="338"/>
      <c r="C27" s="338"/>
      <c r="D27" s="338"/>
      <c r="E27" s="338"/>
      <c r="F27" s="338"/>
      <c r="G27" s="338"/>
      <c r="H27" s="338"/>
      <c r="I27" s="339"/>
    </row>
    <row r="28" spans="1:9" ht="15.75" customHeight="1" x14ac:dyDescent="0.25">
      <c r="A28" s="353" t="s">
        <v>459</v>
      </c>
      <c r="B28" s="242"/>
      <c r="C28" s="242"/>
      <c r="D28" s="242"/>
      <c r="E28" s="242"/>
      <c r="F28" s="242"/>
      <c r="G28" s="242"/>
      <c r="H28" s="242"/>
      <c r="I28" s="243"/>
    </row>
    <row r="29" spans="1:9" ht="15.75" customHeight="1" x14ac:dyDescent="0.25">
      <c r="A29" s="244"/>
      <c r="B29" s="245"/>
      <c r="C29" s="245"/>
      <c r="D29" s="245"/>
      <c r="E29" s="245"/>
      <c r="F29" s="245"/>
      <c r="G29" s="245"/>
      <c r="H29" s="245"/>
      <c r="I29" s="246"/>
    </row>
    <row r="30" spans="1:9" ht="15.75" customHeight="1" x14ac:dyDescent="0.25">
      <c r="A30" s="244"/>
      <c r="B30" s="245"/>
      <c r="C30" s="245"/>
      <c r="D30" s="245"/>
      <c r="E30" s="245"/>
      <c r="F30" s="245"/>
      <c r="G30" s="245"/>
      <c r="H30" s="245"/>
      <c r="I30" s="246"/>
    </row>
    <row r="31" spans="1:9" ht="15.75" customHeight="1" x14ac:dyDescent="0.25">
      <c r="A31" s="244"/>
      <c r="B31" s="245"/>
      <c r="C31" s="245"/>
      <c r="D31" s="245"/>
      <c r="E31" s="245"/>
      <c r="F31" s="245"/>
      <c r="G31" s="245"/>
      <c r="H31" s="245"/>
      <c r="I31" s="246"/>
    </row>
    <row r="32" spans="1:9" ht="15.75" customHeight="1" x14ac:dyDescent="0.25">
      <c r="A32" s="244"/>
      <c r="B32" s="245"/>
      <c r="C32" s="245"/>
      <c r="D32" s="245"/>
      <c r="E32" s="245"/>
      <c r="F32" s="245"/>
      <c r="G32" s="245"/>
      <c r="H32" s="245"/>
      <c r="I32" s="246"/>
    </row>
    <row r="33" spans="1:9" ht="15.75" customHeight="1" x14ac:dyDescent="0.25">
      <c r="A33" s="244"/>
      <c r="B33" s="245"/>
      <c r="C33" s="245"/>
      <c r="D33" s="245"/>
      <c r="E33" s="245"/>
      <c r="F33" s="245"/>
      <c r="G33" s="245"/>
      <c r="H33" s="245"/>
      <c r="I33" s="246"/>
    </row>
    <row r="34" spans="1:9" ht="15.75" customHeight="1" x14ac:dyDescent="0.25">
      <c r="A34" s="244"/>
      <c r="B34" s="245"/>
      <c r="C34" s="245"/>
      <c r="D34" s="245"/>
      <c r="E34" s="245"/>
      <c r="F34" s="245"/>
      <c r="G34" s="245"/>
      <c r="H34" s="245"/>
      <c r="I34" s="246"/>
    </row>
    <row r="35" spans="1:9" ht="15.75" customHeight="1" x14ac:dyDescent="0.25">
      <c r="A35" s="244"/>
      <c r="B35" s="245"/>
      <c r="C35" s="245"/>
      <c r="D35" s="245"/>
      <c r="E35" s="245"/>
      <c r="F35" s="245"/>
      <c r="G35" s="245"/>
      <c r="H35" s="245"/>
      <c r="I35" s="246"/>
    </row>
    <row r="36" spans="1:9" ht="15.75" customHeight="1" x14ac:dyDescent="0.25">
      <c r="A36" s="247"/>
      <c r="B36" s="248"/>
      <c r="C36" s="248"/>
      <c r="D36" s="248"/>
      <c r="E36" s="248"/>
      <c r="F36" s="248"/>
      <c r="G36" s="248"/>
      <c r="H36" s="248"/>
      <c r="I36" s="249"/>
    </row>
    <row r="38" spans="1:9" ht="33" customHeight="1" x14ac:dyDescent="0.25">
      <c r="A38" s="337" t="s">
        <v>156</v>
      </c>
      <c r="B38" s="338"/>
      <c r="C38" s="338"/>
      <c r="D38" s="338"/>
      <c r="E38" s="338"/>
      <c r="F38" s="338"/>
      <c r="G38" s="338"/>
      <c r="H38" s="338"/>
      <c r="I38" s="339"/>
    </row>
    <row r="39" spans="1:9" ht="15.75" customHeight="1" x14ac:dyDescent="0.25">
      <c r="A39" s="340"/>
      <c r="B39" s="341"/>
      <c r="C39" s="341"/>
      <c r="D39" s="341"/>
      <c r="E39" s="341"/>
      <c r="F39" s="341"/>
      <c r="G39" s="341"/>
      <c r="H39" s="341"/>
      <c r="I39" s="342"/>
    </row>
    <row r="40" spans="1:9" ht="15.75" customHeight="1" x14ac:dyDescent="0.25">
      <c r="A40" s="343"/>
      <c r="B40" s="344"/>
      <c r="C40" s="344"/>
      <c r="D40" s="344"/>
      <c r="E40" s="344"/>
      <c r="F40" s="344"/>
      <c r="G40" s="344"/>
      <c r="H40" s="344"/>
      <c r="I40" s="345"/>
    </row>
    <row r="41" spans="1:9" ht="15.75" customHeight="1" x14ac:dyDescent="0.25">
      <c r="A41" s="343"/>
      <c r="B41" s="344"/>
      <c r="C41" s="344"/>
      <c r="D41" s="344"/>
      <c r="E41" s="344"/>
      <c r="F41" s="344"/>
      <c r="G41" s="344"/>
      <c r="H41" s="344"/>
      <c r="I41" s="345"/>
    </row>
    <row r="42" spans="1:9" ht="15.75" customHeight="1" x14ac:dyDescent="0.25">
      <c r="A42" s="343"/>
      <c r="B42" s="344"/>
      <c r="C42" s="344"/>
      <c r="D42" s="344"/>
      <c r="E42" s="344"/>
      <c r="F42" s="344"/>
      <c r="G42" s="344"/>
      <c r="H42" s="344"/>
      <c r="I42" s="345"/>
    </row>
    <row r="43" spans="1:9" ht="15.75" customHeight="1" x14ac:dyDescent="0.25">
      <c r="A43" s="343"/>
      <c r="B43" s="344"/>
      <c r="C43" s="344"/>
      <c r="D43" s="344"/>
      <c r="E43" s="344"/>
      <c r="F43" s="344"/>
      <c r="G43" s="344"/>
      <c r="H43" s="344"/>
      <c r="I43" s="345"/>
    </row>
    <row r="44" spans="1:9" ht="15.75" customHeight="1" x14ac:dyDescent="0.25">
      <c r="A44" s="343"/>
      <c r="B44" s="344"/>
      <c r="C44" s="344"/>
      <c r="D44" s="344"/>
      <c r="E44" s="344"/>
      <c r="F44" s="344"/>
      <c r="G44" s="344"/>
      <c r="H44" s="344"/>
      <c r="I44" s="345"/>
    </row>
    <row r="45" spans="1:9" ht="15.75" customHeight="1" x14ac:dyDescent="0.25">
      <c r="A45" s="343"/>
      <c r="B45" s="344"/>
      <c r="C45" s="344"/>
      <c r="D45" s="344"/>
      <c r="E45" s="344"/>
      <c r="F45" s="344"/>
      <c r="G45" s="344"/>
      <c r="H45" s="344"/>
      <c r="I45" s="345"/>
    </row>
    <row r="46" spans="1:9" ht="15.75" customHeight="1" x14ac:dyDescent="0.25">
      <c r="A46" s="343"/>
      <c r="B46" s="344"/>
      <c r="C46" s="344"/>
      <c r="D46" s="344"/>
      <c r="E46" s="344"/>
      <c r="F46" s="344"/>
      <c r="G46" s="344"/>
      <c r="H46" s="344"/>
      <c r="I46" s="345"/>
    </row>
    <row r="47" spans="1:9" ht="15.75" customHeight="1" x14ac:dyDescent="0.25">
      <c r="A47" s="343"/>
      <c r="B47" s="344"/>
      <c r="C47" s="344"/>
      <c r="D47" s="344"/>
      <c r="E47" s="344"/>
      <c r="F47" s="344"/>
      <c r="G47" s="344"/>
      <c r="H47" s="344"/>
      <c r="I47" s="345"/>
    </row>
    <row r="48" spans="1:9" ht="15.75" customHeight="1" x14ac:dyDescent="0.25">
      <c r="A48" s="346"/>
      <c r="B48" s="347"/>
      <c r="C48" s="347"/>
      <c r="D48" s="347"/>
      <c r="E48" s="347"/>
      <c r="F48" s="347"/>
      <c r="G48" s="347"/>
      <c r="H48" s="347"/>
      <c r="I48" s="348"/>
    </row>
    <row r="52" spans="3:3" x14ac:dyDescent="0.25">
      <c r="C52" s="2">
        <v>2</v>
      </c>
    </row>
    <row r="54" spans="3:3" x14ac:dyDescent="0.25">
      <c r="C54" s="198">
        <v>44981</v>
      </c>
    </row>
    <row r="66" spans="6:6" x14ac:dyDescent="0.25">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view="pageBreakPreview" zoomScale="115" zoomScaleNormal="100" zoomScaleSheetLayoutView="115" workbookViewId="0">
      <selection activeCell="C52" sqref="C52"/>
    </sheetView>
  </sheetViews>
  <sheetFormatPr defaultColWidth="9.21875" defaultRowHeight="15" x14ac:dyDescent="0.25"/>
  <cols>
    <col min="1" max="1" width="9.21875" style="2" customWidth="1"/>
    <col min="2" max="2" width="14.5546875" style="2" bestFit="1" customWidth="1"/>
    <col min="3" max="8" width="9.21875" style="2"/>
    <col min="9" max="9" width="11.5546875" style="2" customWidth="1"/>
    <col min="10" max="16384" width="9.21875" style="2"/>
  </cols>
  <sheetData>
    <row r="1" spans="1:9" x14ac:dyDescent="0.25">
      <c r="A1" s="2" t="str">
        <f>+'Cover Page'!$B$29</f>
        <v>Annual Performance Report 2022</v>
      </c>
      <c r="E1" s="2" t="str">
        <f>+'Cover Page'!$B$33</f>
        <v>Severnside Energy Recovery Centre</v>
      </c>
    </row>
    <row r="3" spans="1:9" ht="15.6" x14ac:dyDescent="0.3">
      <c r="A3" s="1" t="s">
        <v>433</v>
      </c>
    </row>
    <row r="4" spans="1:9" ht="15.6" x14ac:dyDescent="0.3">
      <c r="A4" s="1"/>
    </row>
    <row r="5" spans="1:9" s="3" customFormat="1" ht="28.5" customHeight="1" x14ac:dyDescent="0.25">
      <c r="A5" s="91" t="s">
        <v>157</v>
      </c>
      <c r="B5" s="92"/>
      <c r="C5" s="92"/>
      <c r="D5" s="92"/>
      <c r="E5" s="92"/>
      <c r="F5" s="92"/>
      <c r="G5" s="92"/>
      <c r="H5" s="92"/>
      <c r="I5" s="93"/>
    </row>
    <row r="6" spans="1:9" s="3" customFormat="1" ht="15.75" customHeight="1" x14ac:dyDescent="0.25">
      <c r="A6" s="349" t="s">
        <v>4</v>
      </c>
      <c r="B6" s="351"/>
      <c r="C6" s="349" t="s">
        <v>158</v>
      </c>
      <c r="D6" s="350"/>
      <c r="E6" s="350"/>
      <c r="F6" s="350"/>
      <c r="G6" s="350"/>
      <c r="H6" s="350"/>
      <c r="I6" s="351"/>
    </row>
    <row r="7" spans="1:9" s="3" customFormat="1" ht="15.75" customHeight="1" x14ac:dyDescent="0.25">
      <c r="A7" s="352"/>
      <c r="B7" s="243"/>
      <c r="C7" s="352"/>
      <c r="D7" s="242"/>
      <c r="E7" s="242"/>
      <c r="F7" s="242"/>
      <c r="G7" s="242"/>
      <c r="H7" s="242"/>
      <c r="I7" s="243"/>
    </row>
    <row r="8" spans="1:9" s="3" customFormat="1" ht="15.75" customHeight="1" x14ac:dyDescent="0.25">
      <c r="A8" s="247"/>
      <c r="B8" s="249"/>
      <c r="C8" s="247"/>
      <c r="D8" s="248"/>
      <c r="E8" s="248"/>
      <c r="F8" s="248"/>
      <c r="G8" s="248"/>
      <c r="H8" s="248"/>
      <c r="I8" s="249"/>
    </row>
    <row r="9" spans="1:9" s="3" customFormat="1" ht="15.75" customHeight="1" x14ac:dyDescent="0.25">
      <c r="A9" s="352"/>
      <c r="B9" s="243"/>
      <c r="C9" s="352"/>
      <c r="D9" s="242"/>
      <c r="E9" s="242"/>
      <c r="F9" s="242"/>
      <c r="G9" s="242"/>
      <c r="H9" s="242"/>
      <c r="I9" s="243"/>
    </row>
    <row r="10" spans="1:9" s="3" customFormat="1" ht="15.75" customHeight="1" x14ac:dyDescent="0.25">
      <c r="A10" s="247"/>
      <c r="B10" s="249"/>
      <c r="C10" s="247"/>
      <c r="D10" s="248"/>
      <c r="E10" s="248"/>
      <c r="F10" s="248"/>
      <c r="G10" s="248"/>
      <c r="H10" s="248"/>
      <c r="I10" s="249"/>
    </row>
    <row r="11" spans="1:9" s="3" customFormat="1" ht="15.75" customHeight="1" x14ac:dyDescent="0.25">
      <c r="A11" s="352"/>
      <c r="B11" s="243"/>
      <c r="C11" s="352"/>
      <c r="D11" s="242"/>
      <c r="E11" s="242"/>
      <c r="F11" s="242"/>
      <c r="G11" s="242"/>
      <c r="H11" s="242"/>
      <c r="I11" s="243"/>
    </row>
    <row r="12" spans="1:9" s="3" customFormat="1" ht="15.75" customHeight="1" x14ac:dyDescent="0.25">
      <c r="A12" s="247"/>
      <c r="B12" s="249"/>
      <c r="C12" s="247"/>
      <c r="D12" s="248"/>
      <c r="E12" s="248"/>
      <c r="F12" s="248"/>
      <c r="G12" s="248"/>
      <c r="H12" s="248"/>
      <c r="I12" s="249"/>
    </row>
    <row r="13" spans="1:9" s="3" customFormat="1" ht="15.75" customHeight="1" x14ac:dyDescent="0.25">
      <c r="A13" s="352"/>
      <c r="B13" s="243"/>
      <c r="C13" s="352"/>
      <c r="D13" s="242"/>
      <c r="E13" s="242"/>
      <c r="F13" s="242"/>
      <c r="G13" s="242"/>
      <c r="H13" s="242"/>
      <c r="I13" s="243"/>
    </row>
    <row r="14" spans="1:9" s="3" customFormat="1" ht="15.75" customHeight="1" x14ac:dyDescent="0.25">
      <c r="A14" s="247"/>
      <c r="B14" s="249"/>
      <c r="C14" s="247"/>
      <c r="D14" s="248"/>
      <c r="E14" s="248"/>
      <c r="F14" s="248"/>
      <c r="G14" s="248"/>
      <c r="H14" s="248"/>
      <c r="I14" s="249"/>
    </row>
    <row r="15" spans="1:9" s="3" customFormat="1" ht="13.8" x14ac:dyDescent="0.25"/>
    <row r="16" spans="1:9" s="90" customFormat="1" ht="33.75" customHeight="1" x14ac:dyDescent="0.3">
      <c r="A16" s="337" t="s">
        <v>159</v>
      </c>
      <c r="B16" s="338"/>
      <c r="C16" s="338"/>
      <c r="D16" s="338"/>
      <c r="E16" s="338"/>
      <c r="F16" s="338"/>
      <c r="G16" s="338"/>
      <c r="H16" s="338"/>
      <c r="I16" s="339"/>
    </row>
    <row r="17" spans="1:9" ht="15.75" customHeight="1" x14ac:dyDescent="0.25">
      <c r="A17" s="349" t="s">
        <v>4</v>
      </c>
      <c r="B17" s="351"/>
      <c r="C17" s="349" t="s">
        <v>158</v>
      </c>
      <c r="D17" s="350"/>
      <c r="E17" s="350"/>
      <c r="F17" s="350"/>
      <c r="G17" s="350"/>
      <c r="H17" s="350"/>
      <c r="I17" s="350"/>
    </row>
    <row r="18" spans="1:9" ht="15.75" customHeight="1" x14ac:dyDescent="0.25">
      <c r="A18" s="354">
        <v>44986</v>
      </c>
      <c r="B18" s="243"/>
      <c r="C18" s="353" t="s">
        <v>453</v>
      </c>
      <c r="D18" s="242"/>
      <c r="E18" s="242"/>
      <c r="F18" s="242"/>
      <c r="G18" s="242"/>
      <c r="H18" s="242"/>
      <c r="I18" s="243"/>
    </row>
    <row r="19" spans="1:9" ht="15.75" customHeight="1" x14ac:dyDescent="0.25">
      <c r="A19" s="247"/>
      <c r="B19" s="249"/>
      <c r="C19" s="247"/>
      <c r="D19" s="248"/>
      <c r="E19" s="248"/>
      <c r="F19" s="248"/>
      <c r="G19" s="248"/>
      <c r="H19" s="248"/>
      <c r="I19" s="249"/>
    </row>
    <row r="20" spans="1:9" ht="15.75" customHeight="1" x14ac:dyDescent="0.25">
      <c r="A20" s="352"/>
      <c r="B20" s="243"/>
      <c r="C20" s="352"/>
      <c r="D20" s="242"/>
      <c r="E20" s="242"/>
      <c r="F20" s="242"/>
      <c r="G20" s="242"/>
      <c r="H20" s="242"/>
      <c r="I20" s="243"/>
    </row>
    <row r="21" spans="1:9" ht="15.75" customHeight="1" x14ac:dyDescent="0.25">
      <c r="A21" s="247"/>
      <c r="B21" s="249"/>
      <c r="C21" s="247"/>
      <c r="D21" s="248"/>
      <c r="E21" s="248"/>
      <c r="F21" s="248"/>
      <c r="G21" s="248"/>
      <c r="H21" s="248"/>
      <c r="I21" s="249"/>
    </row>
    <row r="22" spans="1:9" ht="15.75" customHeight="1" x14ac:dyDescent="0.25">
      <c r="A22" s="352"/>
      <c r="B22" s="243"/>
      <c r="C22" s="352"/>
      <c r="D22" s="242"/>
      <c r="E22" s="242"/>
      <c r="F22" s="242"/>
      <c r="G22" s="242"/>
      <c r="H22" s="242"/>
      <c r="I22" s="243"/>
    </row>
    <row r="23" spans="1:9" ht="15.75" customHeight="1" x14ac:dyDescent="0.25">
      <c r="A23" s="247"/>
      <c r="B23" s="249"/>
      <c r="C23" s="247"/>
      <c r="D23" s="248"/>
      <c r="E23" s="248"/>
      <c r="F23" s="248"/>
      <c r="G23" s="248"/>
      <c r="H23" s="248"/>
      <c r="I23" s="249"/>
    </row>
    <row r="24" spans="1:9" ht="15.75" customHeight="1" x14ac:dyDescent="0.25">
      <c r="A24" s="352"/>
      <c r="B24" s="243"/>
      <c r="C24" s="352"/>
      <c r="D24" s="242"/>
      <c r="E24" s="242"/>
      <c r="F24" s="242"/>
      <c r="G24" s="242"/>
      <c r="H24" s="242"/>
      <c r="I24" s="243"/>
    </row>
    <row r="25" spans="1:9" ht="15.75" customHeight="1" x14ac:dyDescent="0.25">
      <c r="A25" s="247"/>
      <c r="B25" s="249"/>
      <c r="C25" s="247"/>
      <c r="D25" s="248"/>
      <c r="E25" s="248"/>
      <c r="F25" s="248"/>
      <c r="G25" s="248"/>
      <c r="H25" s="248"/>
      <c r="I25" s="249"/>
    </row>
    <row r="26" spans="1:9" ht="15.75" customHeight="1" x14ac:dyDescent="0.25">
      <c r="A26" s="352"/>
      <c r="B26" s="243"/>
      <c r="C26" s="352"/>
      <c r="D26" s="242"/>
      <c r="E26" s="242"/>
      <c r="F26" s="242"/>
      <c r="G26" s="242"/>
      <c r="H26" s="242"/>
      <c r="I26" s="243"/>
    </row>
    <row r="27" spans="1:9" ht="15.75" customHeight="1" x14ac:dyDescent="0.25">
      <c r="A27" s="247"/>
      <c r="B27" s="249"/>
      <c r="C27" s="247"/>
      <c r="D27" s="248"/>
      <c r="E27" s="248"/>
      <c r="F27" s="248"/>
      <c r="G27" s="248"/>
      <c r="H27" s="248"/>
      <c r="I27" s="249"/>
    </row>
    <row r="28" spans="1:9" ht="15.6" x14ac:dyDescent="0.3">
      <c r="A28" s="1"/>
    </row>
    <row r="29" spans="1:9" ht="36.75" customHeight="1" x14ac:dyDescent="0.25">
      <c r="A29" s="337" t="s">
        <v>434</v>
      </c>
      <c r="B29" s="338"/>
      <c r="C29" s="338"/>
      <c r="D29" s="338"/>
      <c r="E29" s="338"/>
      <c r="F29" s="338"/>
      <c r="G29" s="338"/>
      <c r="H29" s="338"/>
      <c r="I29" s="339"/>
    </row>
    <row r="52" spans="3:3" x14ac:dyDescent="0.25">
      <c r="C52" s="2">
        <v>2</v>
      </c>
    </row>
    <row r="54" spans="3:3" x14ac:dyDescent="0.25">
      <c r="C54" s="198">
        <v>44981</v>
      </c>
    </row>
    <row r="66" spans="6:6" x14ac:dyDescent="0.25">
      <c r="F66" s="3"/>
    </row>
  </sheetData>
  <mergeCells count="24">
    <mergeCell ref="A17:B17"/>
    <mergeCell ref="C17:I17"/>
    <mergeCell ref="A6:B6"/>
    <mergeCell ref="C6:I6"/>
    <mergeCell ref="A7:B8"/>
    <mergeCell ref="C7:I8"/>
    <mergeCell ref="A9:B10"/>
    <mergeCell ref="C9:I10"/>
    <mergeCell ref="A11:B12"/>
    <mergeCell ref="C11:I12"/>
    <mergeCell ref="A13:B14"/>
    <mergeCell ref="C13:I14"/>
    <mergeCell ref="A16:I16"/>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codeName="Sheet20">
    <tabColor rgb="FF00B050"/>
  </sheetPr>
  <dimension ref="A1:O54"/>
  <sheetViews>
    <sheetView view="pageBreakPreview" zoomScale="115" zoomScaleNormal="85" zoomScaleSheetLayoutView="115" workbookViewId="0">
      <selection activeCell="C52" sqref="C52"/>
    </sheetView>
  </sheetViews>
  <sheetFormatPr defaultColWidth="8.77734375" defaultRowHeight="15" x14ac:dyDescent="0.25"/>
  <cols>
    <col min="1" max="1" width="36.77734375" style="162" customWidth="1"/>
    <col min="2" max="2" width="17.77734375" style="162" customWidth="1"/>
    <col min="3" max="3" width="37.21875" style="162" customWidth="1"/>
    <col min="4" max="14" width="8.77734375" style="162"/>
    <col min="15" max="15" width="9" style="162" customWidth="1"/>
    <col min="16" max="16384" width="8.77734375" style="162"/>
  </cols>
  <sheetData>
    <row r="1" spans="1:15" x14ac:dyDescent="0.25">
      <c r="A1" s="2" t="str">
        <f>+'Cover Page'!$B$29</f>
        <v>Annual Performance Report 2022</v>
      </c>
      <c r="B1" s="2"/>
      <c r="C1" s="2" t="str">
        <f>+'Cover Page'!$B$33</f>
        <v>Severnside Energy Recovery Centre</v>
      </c>
      <c r="D1" s="2"/>
      <c r="F1" s="2"/>
      <c r="G1" s="2"/>
    </row>
    <row r="2" spans="1:15" ht="10.199999999999999" customHeight="1" x14ac:dyDescent="0.25"/>
    <row r="3" spans="1:15" ht="15.6" x14ac:dyDescent="0.3">
      <c r="A3" s="1" t="s">
        <v>366</v>
      </c>
      <c r="E3" s="137" t="s">
        <v>294</v>
      </c>
    </row>
    <row r="4" spans="1:15" ht="9.4499999999999993" customHeight="1" x14ac:dyDescent="0.25"/>
    <row r="5" spans="1:15" x14ac:dyDescent="0.25">
      <c r="A5" s="355" t="s">
        <v>356</v>
      </c>
      <c r="B5" s="356"/>
      <c r="C5" s="356"/>
    </row>
    <row r="6" spans="1:15" ht="30" x14ac:dyDescent="0.25">
      <c r="A6" s="163" t="s">
        <v>357</v>
      </c>
      <c r="B6" s="192" t="s">
        <v>447</v>
      </c>
      <c r="C6" s="189">
        <v>375654.18449266598</v>
      </c>
    </row>
    <row r="7" spans="1:15" ht="33.6" x14ac:dyDescent="0.25">
      <c r="A7" s="163" t="s">
        <v>358</v>
      </c>
      <c r="B7" s="193" t="s">
        <v>446</v>
      </c>
      <c r="C7" s="190">
        <f>C6/'Operational Data'!G21</f>
        <v>0.98024550191751514</v>
      </c>
    </row>
    <row r="8" spans="1:15" ht="45" x14ac:dyDescent="0.25">
      <c r="A8" s="169" t="s">
        <v>368</v>
      </c>
      <c r="B8" s="193" t="s">
        <v>448</v>
      </c>
      <c r="C8" s="190">
        <f>C6/'Operational Data'!G25</f>
        <v>1.4636505991944484</v>
      </c>
    </row>
    <row r="9" spans="1:15" ht="89.55" customHeight="1" x14ac:dyDescent="0.3">
      <c r="A9" s="163" t="s">
        <v>359</v>
      </c>
      <c r="B9" s="357" t="s">
        <v>452</v>
      </c>
      <c r="C9" s="358"/>
      <c r="E9" s="363" t="s">
        <v>376</v>
      </c>
      <c r="F9" s="362"/>
      <c r="G9" s="362"/>
      <c r="H9" s="362"/>
      <c r="I9" s="362"/>
      <c r="J9" s="362"/>
      <c r="K9" s="362"/>
      <c r="L9" s="362"/>
      <c r="M9" s="362"/>
      <c r="N9" s="362"/>
      <c r="O9" s="362"/>
    </row>
    <row r="10" spans="1:15" ht="8.6999999999999993" customHeight="1" x14ac:dyDescent="0.25">
      <c r="A10" s="164"/>
      <c r="B10" s="165"/>
      <c r="C10" s="165"/>
    </row>
    <row r="11" spans="1:15" x14ac:dyDescent="0.25">
      <c r="A11" s="359" t="s">
        <v>360</v>
      </c>
      <c r="B11" s="356"/>
      <c r="C11" s="356"/>
    </row>
    <row r="12" spans="1:15" ht="33.450000000000003" customHeight="1" x14ac:dyDescent="0.25">
      <c r="A12" s="169" t="s">
        <v>369</v>
      </c>
      <c r="B12" s="192" t="s">
        <v>447</v>
      </c>
      <c r="C12" s="190">
        <v>9.6208324335581921E-2</v>
      </c>
    </row>
    <row r="13" spans="1:15" ht="101.55" customHeight="1" x14ac:dyDescent="0.3">
      <c r="A13" s="163" t="s">
        <v>361</v>
      </c>
      <c r="B13" s="360" t="s">
        <v>451</v>
      </c>
      <c r="C13" s="361"/>
      <c r="E13" s="250" t="s">
        <v>377</v>
      </c>
      <c r="F13" s="362"/>
      <c r="G13" s="362"/>
      <c r="H13" s="362"/>
      <c r="I13" s="362"/>
      <c r="J13" s="362"/>
      <c r="K13" s="362"/>
      <c r="L13" s="362"/>
      <c r="M13" s="362"/>
      <c r="N13" s="362"/>
      <c r="O13" s="362"/>
    </row>
    <row r="14" spans="1:15" ht="58.95" customHeight="1" x14ac:dyDescent="0.25">
      <c r="A14" s="169" t="s">
        <v>370</v>
      </c>
      <c r="B14" s="193" t="s">
        <v>449</v>
      </c>
      <c r="C14" s="189">
        <f>C6+(C12*298)</f>
        <v>375682.85457331798</v>
      </c>
    </row>
    <row r="15" spans="1:15" ht="6.45" customHeight="1" x14ac:dyDescent="0.25">
      <c r="A15" s="164"/>
      <c r="B15" s="165"/>
      <c r="C15" s="165"/>
    </row>
    <row r="16" spans="1:15" ht="39" customHeight="1" x14ac:dyDescent="0.25">
      <c r="A16" s="355" t="s">
        <v>362</v>
      </c>
      <c r="B16" s="356"/>
      <c r="C16" s="356"/>
    </row>
    <row r="17" spans="1:15" ht="49.2" customHeight="1" x14ac:dyDescent="0.25">
      <c r="A17" s="163" t="s">
        <v>371</v>
      </c>
      <c r="B17" s="192" t="s">
        <v>40</v>
      </c>
      <c r="C17" s="191">
        <v>56.47</v>
      </c>
    </row>
    <row r="18" spans="1:15" ht="103.2" customHeight="1" x14ac:dyDescent="0.3">
      <c r="A18" s="163" t="s">
        <v>372</v>
      </c>
      <c r="B18" s="360" t="s">
        <v>454</v>
      </c>
      <c r="C18" s="361"/>
      <c r="E18" s="250" t="s">
        <v>378</v>
      </c>
      <c r="F18" s="362"/>
      <c r="G18" s="362"/>
      <c r="H18" s="362"/>
      <c r="I18" s="362"/>
      <c r="J18" s="362"/>
      <c r="K18" s="362"/>
      <c r="L18" s="362"/>
      <c r="M18" s="362"/>
      <c r="N18" s="362"/>
      <c r="O18" s="362"/>
    </row>
    <row r="19" spans="1:15" ht="48" customHeight="1" x14ac:dyDescent="0.25">
      <c r="A19" s="163" t="s">
        <v>363</v>
      </c>
      <c r="B19" s="192" t="s">
        <v>40</v>
      </c>
      <c r="C19" s="191">
        <f>C17</f>
        <v>56.47</v>
      </c>
    </row>
    <row r="20" spans="1:15" ht="92.55" customHeight="1" x14ac:dyDescent="0.3">
      <c r="A20" s="163" t="s">
        <v>364</v>
      </c>
      <c r="B20" s="364" t="s">
        <v>450</v>
      </c>
      <c r="C20" s="365"/>
      <c r="E20" s="250" t="s">
        <v>379</v>
      </c>
      <c r="F20" s="362"/>
      <c r="G20" s="362"/>
      <c r="H20" s="362"/>
      <c r="I20" s="362"/>
      <c r="J20" s="362"/>
      <c r="K20" s="362"/>
      <c r="L20" s="362"/>
      <c r="M20" s="362"/>
      <c r="N20" s="362"/>
      <c r="O20" s="362"/>
    </row>
    <row r="21" spans="1:15" ht="10.199999999999999" customHeight="1" x14ac:dyDescent="0.25"/>
    <row r="22" spans="1:15" x14ac:dyDescent="0.25">
      <c r="A22" s="162" t="s">
        <v>365</v>
      </c>
    </row>
    <row r="23" spans="1:15" x14ac:dyDescent="0.25">
      <c r="A23" s="307"/>
      <c r="B23" s="307"/>
      <c r="C23" s="307"/>
    </row>
    <row r="24" spans="1:15" ht="64.95" customHeight="1" x14ac:dyDescent="0.25">
      <c r="A24" s="307"/>
      <c r="B24" s="307"/>
      <c r="C24" s="307"/>
    </row>
    <row r="52" spans="3:3" x14ac:dyDescent="0.25">
      <c r="C52" s="162">
        <v>2</v>
      </c>
    </row>
    <row r="54" spans="3:3" x14ac:dyDescent="0.25">
      <c r="C54" s="199">
        <v>44981</v>
      </c>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scale="95"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view="pageBreakPreview" zoomScale="115" zoomScaleNormal="100" zoomScaleSheetLayoutView="115" workbookViewId="0">
      <selection activeCell="C52" sqref="C52"/>
    </sheetView>
  </sheetViews>
  <sheetFormatPr defaultColWidth="9.21875" defaultRowHeight="15" x14ac:dyDescent="0.25"/>
  <cols>
    <col min="1" max="1" width="9.21875" style="2" customWidth="1"/>
    <col min="2" max="2" width="14.5546875" style="2" bestFit="1" customWidth="1"/>
    <col min="3" max="3" width="9.21875" style="2"/>
    <col min="4" max="4" width="17.5546875" style="2" customWidth="1"/>
    <col min="5" max="5" width="9.21875" style="2" customWidth="1"/>
    <col min="6" max="6" width="21.5546875" style="2" customWidth="1"/>
    <col min="7" max="7" width="10.44140625" style="2" customWidth="1"/>
    <col min="8" max="16384" width="9.21875" style="2"/>
  </cols>
  <sheetData>
    <row r="1" spans="1:7" x14ac:dyDescent="0.25">
      <c r="A1" s="2" t="str">
        <f>+'Cover Page'!$B$29</f>
        <v>Annual Performance Report 2022</v>
      </c>
      <c r="E1" s="2" t="str">
        <f>+'Cover Page'!$B$33</f>
        <v>Severnside Energy Recovery Centre</v>
      </c>
    </row>
    <row r="3" spans="1:7" ht="15.6" x14ac:dyDescent="0.3">
      <c r="A3" s="1" t="s">
        <v>200</v>
      </c>
    </row>
    <row r="4" spans="1:7" ht="15.6" x14ac:dyDescent="0.3">
      <c r="A4" s="1"/>
    </row>
    <row r="5" spans="1:7" s="3" customFormat="1" ht="21.75" customHeight="1" x14ac:dyDescent="0.25">
      <c r="A5" s="91" t="s">
        <v>193</v>
      </c>
      <c r="B5" s="92"/>
      <c r="C5" s="92"/>
      <c r="D5" s="92"/>
      <c r="E5" s="92"/>
      <c r="F5" s="92"/>
      <c r="G5" s="93"/>
    </row>
    <row r="6" spans="1:7" s="3" customFormat="1" ht="15.75" customHeight="1" x14ac:dyDescent="0.25">
      <c r="A6" s="233" t="s">
        <v>422</v>
      </c>
      <c r="B6" s="234"/>
      <c r="C6" s="234"/>
      <c r="D6" s="234"/>
      <c r="E6" s="234"/>
      <c r="F6" s="234"/>
      <c r="G6" s="235"/>
    </row>
    <row r="7" spans="1:7" s="3" customFormat="1" ht="15.75" customHeight="1" x14ac:dyDescent="0.25">
      <c r="A7" s="239"/>
      <c r="B7" s="240"/>
      <c r="C7" s="240"/>
      <c r="D7" s="240"/>
      <c r="E7" s="240"/>
      <c r="F7" s="240"/>
      <c r="G7" s="241"/>
    </row>
    <row r="8" spans="1:7" s="3" customFormat="1" ht="15.75" customHeight="1" x14ac:dyDescent="0.25">
      <c r="A8" s="233" t="s">
        <v>435</v>
      </c>
      <c r="B8" s="234"/>
      <c r="C8" s="234"/>
      <c r="D8" s="234"/>
      <c r="E8" s="234"/>
      <c r="F8" s="234"/>
      <c r="G8" s="235"/>
    </row>
    <row r="9" spans="1:7" s="3" customFormat="1" ht="15.75" customHeight="1" x14ac:dyDescent="0.25">
      <c r="A9" s="239"/>
      <c r="B9" s="240"/>
      <c r="C9" s="240"/>
      <c r="D9" s="240"/>
      <c r="E9" s="240"/>
      <c r="F9" s="240"/>
      <c r="G9" s="241"/>
    </row>
    <row r="10" spans="1:7" s="3" customFormat="1" ht="15.75" customHeight="1" x14ac:dyDescent="0.25">
      <c r="A10" s="377"/>
      <c r="B10" s="234"/>
      <c r="C10" s="234"/>
      <c r="D10" s="234"/>
      <c r="E10" s="234"/>
      <c r="F10" s="234"/>
      <c r="G10" s="235"/>
    </row>
    <row r="11" spans="1:7" s="3" customFormat="1" ht="15.75" customHeight="1" x14ac:dyDescent="0.25">
      <c r="A11" s="239"/>
      <c r="B11" s="240"/>
      <c r="C11" s="240"/>
      <c r="D11" s="240"/>
      <c r="E11" s="240"/>
      <c r="F11" s="240"/>
      <c r="G11" s="241"/>
    </row>
    <row r="12" spans="1:7" s="3" customFormat="1" ht="13.8" x14ac:dyDescent="0.25"/>
    <row r="13" spans="1:7" s="90" customFormat="1" ht="33.75" customHeight="1" x14ac:dyDescent="0.3">
      <c r="A13" s="337" t="s">
        <v>194</v>
      </c>
      <c r="B13" s="338"/>
      <c r="C13" s="338"/>
      <c r="D13" s="338"/>
      <c r="E13" s="338"/>
      <c r="F13" s="338"/>
      <c r="G13" s="339"/>
    </row>
    <row r="14" spans="1:7" ht="15.75" customHeight="1" x14ac:dyDescent="0.25">
      <c r="A14" s="349" t="s">
        <v>201</v>
      </c>
      <c r="B14" s="351"/>
      <c r="C14" s="349" t="s">
        <v>158</v>
      </c>
      <c r="D14" s="350"/>
      <c r="E14" s="350"/>
      <c r="F14" s="350"/>
      <c r="G14" s="350"/>
    </row>
    <row r="15" spans="1:7" ht="15.75" customHeight="1" x14ac:dyDescent="0.25">
      <c r="A15" s="377"/>
      <c r="B15" s="235"/>
      <c r="C15" s="352"/>
      <c r="D15" s="242"/>
      <c r="E15" s="242"/>
      <c r="F15" s="242"/>
      <c r="G15" s="243"/>
    </row>
    <row r="16" spans="1:7" ht="15.75" customHeight="1" x14ac:dyDescent="0.25">
      <c r="A16" s="239"/>
      <c r="B16" s="241"/>
      <c r="C16" s="247"/>
      <c r="D16" s="248"/>
      <c r="E16" s="248"/>
      <c r="F16" s="248"/>
      <c r="G16" s="249"/>
    </row>
    <row r="17" spans="1:11" ht="15.75" customHeight="1" x14ac:dyDescent="0.25">
      <c r="A17" s="352"/>
      <c r="B17" s="243"/>
      <c r="C17" s="352"/>
      <c r="D17" s="242"/>
      <c r="E17" s="242"/>
      <c r="F17" s="242"/>
      <c r="G17" s="243"/>
    </row>
    <row r="18" spans="1:11" ht="15.75" customHeight="1" x14ac:dyDescent="0.25">
      <c r="A18" s="247"/>
      <c r="B18" s="249"/>
      <c r="C18" s="247"/>
      <c r="D18" s="248"/>
      <c r="E18" s="248"/>
      <c r="F18" s="248"/>
      <c r="G18" s="249"/>
    </row>
    <row r="19" spans="1:11" ht="15.75" customHeight="1" x14ac:dyDescent="0.25">
      <c r="A19" s="352"/>
      <c r="B19" s="243"/>
      <c r="C19" s="352"/>
      <c r="D19" s="242"/>
      <c r="E19" s="242"/>
      <c r="F19" s="242"/>
      <c r="G19" s="243"/>
    </row>
    <row r="20" spans="1:11" ht="15.75" customHeight="1" x14ac:dyDescent="0.25">
      <c r="A20" s="247"/>
      <c r="B20" s="249"/>
      <c r="C20" s="247"/>
      <c r="D20" s="248"/>
      <c r="E20" s="248"/>
      <c r="F20" s="248"/>
      <c r="G20" s="249"/>
    </row>
    <row r="21" spans="1:11" ht="15.75" customHeight="1" x14ac:dyDescent="0.25">
      <c r="A21" s="352"/>
      <c r="B21" s="243"/>
      <c r="C21" s="352"/>
      <c r="D21" s="242"/>
      <c r="E21" s="242"/>
      <c r="F21" s="242"/>
      <c r="G21" s="243"/>
    </row>
    <row r="22" spans="1:11" ht="15.75" customHeight="1" x14ac:dyDescent="0.25">
      <c r="A22" s="247"/>
      <c r="B22" s="249"/>
      <c r="C22" s="247"/>
      <c r="D22" s="248"/>
      <c r="E22" s="248"/>
      <c r="F22" s="248"/>
      <c r="G22" s="249"/>
    </row>
    <row r="23" spans="1:11" ht="15.75" customHeight="1" x14ac:dyDescent="0.25">
      <c r="A23" s="352"/>
      <c r="B23" s="243"/>
      <c r="C23" s="352"/>
      <c r="D23" s="242"/>
      <c r="E23" s="242"/>
      <c r="F23" s="242"/>
      <c r="G23" s="243"/>
    </row>
    <row r="24" spans="1:11" ht="15.75" customHeight="1" x14ac:dyDescent="0.25">
      <c r="A24" s="247"/>
      <c r="B24" s="249"/>
      <c r="C24" s="247"/>
      <c r="D24" s="248"/>
      <c r="E24" s="248"/>
      <c r="F24" s="248"/>
      <c r="G24" s="249"/>
    </row>
    <row r="26" spans="1:11" x14ac:dyDescent="0.25">
      <c r="A26" s="15"/>
      <c r="B26" s="15"/>
      <c r="C26" s="15"/>
      <c r="D26" s="15"/>
      <c r="E26" s="15"/>
      <c r="F26" s="15"/>
      <c r="G26" s="15"/>
    </row>
    <row r="27" spans="1:11" s="109" customFormat="1" ht="16.5" customHeight="1" x14ac:dyDescent="0.25">
      <c r="A27" s="376" t="s">
        <v>207</v>
      </c>
      <c r="B27" s="376"/>
      <c r="C27" s="376"/>
      <c r="D27" s="376"/>
      <c r="E27" s="376"/>
      <c r="F27" s="376"/>
      <c r="G27" s="376"/>
    </row>
    <row r="28" spans="1:11" s="15" customFormat="1" ht="17.25" customHeight="1" x14ac:dyDescent="0.25">
      <c r="A28" s="368" t="s">
        <v>205</v>
      </c>
      <c r="B28" s="368"/>
      <c r="C28" s="317" t="s">
        <v>196</v>
      </c>
      <c r="D28" s="317" t="s">
        <v>202</v>
      </c>
      <c r="E28" s="317"/>
      <c r="F28" s="317"/>
      <c r="G28" s="317"/>
    </row>
    <row r="29" spans="1:11" s="15" customFormat="1" ht="17.25" customHeight="1" x14ac:dyDescent="0.25">
      <c r="A29" s="368"/>
      <c r="B29" s="368"/>
      <c r="C29" s="317"/>
      <c r="D29" s="317" t="s">
        <v>203</v>
      </c>
      <c r="E29" s="317"/>
      <c r="F29" s="317" t="s">
        <v>92</v>
      </c>
      <c r="G29" s="317"/>
    </row>
    <row r="30" spans="1:11" s="76" customFormat="1" ht="38.1" customHeight="1" x14ac:dyDescent="0.25">
      <c r="A30" s="369" t="s">
        <v>333</v>
      </c>
      <c r="B30" s="262"/>
      <c r="C30" s="110" t="s">
        <v>206</v>
      </c>
      <c r="D30" s="371" t="s">
        <v>388</v>
      </c>
      <c r="E30" s="367"/>
      <c r="F30" s="372"/>
      <c r="G30" s="373"/>
      <c r="J30" s="15"/>
      <c r="K30" s="15"/>
    </row>
    <row r="31" spans="1:11" s="76" customFormat="1" ht="38.1" customHeight="1" x14ac:dyDescent="0.25">
      <c r="A31" s="370" t="s">
        <v>353</v>
      </c>
      <c r="B31" s="262"/>
      <c r="C31" s="106" t="s">
        <v>292</v>
      </c>
      <c r="D31" s="367">
        <v>0.89</v>
      </c>
      <c r="E31" s="367"/>
      <c r="F31" s="372"/>
      <c r="G31" s="373"/>
      <c r="J31" s="15"/>
      <c r="K31" s="15"/>
    </row>
    <row r="32" spans="1:11" s="76" customFormat="1" ht="38.1" customHeight="1" x14ac:dyDescent="0.25">
      <c r="A32" s="262" t="s">
        <v>293</v>
      </c>
      <c r="B32" s="262"/>
      <c r="C32" s="106" t="s">
        <v>204</v>
      </c>
      <c r="D32" s="367">
        <v>4</v>
      </c>
      <c r="E32" s="367"/>
      <c r="F32" s="374">
        <v>4</v>
      </c>
      <c r="G32" s="375"/>
      <c r="J32" s="15"/>
      <c r="K32" s="15"/>
    </row>
    <row r="33" spans="1:8" s="76" customFormat="1" ht="38.1" customHeight="1" x14ac:dyDescent="0.3">
      <c r="A33" s="369" t="s">
        <v>330</v>
      </c>
      <c r="B33" s="262"/>
      <c r="C33" s="106" t="s">
        <v>204</v>
      </c>
      <c r="D33" s="367">
        <v>0</v>
      </c>
      <c r="E33" s="367"/>
      <c r="F33" s="372"/>
      <c r="G33" s="373"/>
    </row>
    <row r="35" spans="1:8" x14ac:dyDescent="0.25">
      <c r="A35" s="263" t="s">
        <v>208</v>
      </c>
      <c r="B35" s="263"/>
      <c r="C35" s="263"/>
      <c r="D35" s="263"/>
      <c r="E35" s="263"/>
      <c r="F35" s="263"/>
      <c r="G35" s="263"/>
    </row>
    <row r="36" spans="1:8" x14ac:dyDescent="0.25">
      <c r="A36" s="264" t="s">
        <v>421</v>
      </c>
      <c r="B36" s="366"/>
      <c r="C36" s="366"/>
      <c r="D36" s="366"/>
      <c r="E36" s="366"/>
      <c r="F36" s="366"/>
      <c r="G36" s="366"/>
      <c r="H36" s="162"/>
    </row>
    <row r="37" spans="1:8" x14ac:dyDescent="0.25">
      <c r="A37" s="366"/>
      <c r="B37" s="366"/>
      <c r="C37" s="366"/>
      <c r="D37" s="366"/>
      <c r="E37" s="366"/>
      <c r="F37" s="366"/>
      <c r="G37" s="366"/>
    </row>
    <row r="38" spans="1:8" x14ac:dyDescent="0.25">
      <c r="A38" s="366"/>
      <c r="B38" s="366"/>
      <c r="C38" s="366"/>
      <c r="D38" s="366"/>
      <c r="E38" s="366"/>
      <c r="F38" s="366"/>
      <c r="G38" s="366"/>
    </row>
    <row r="39" spans="1:8" x14ac:dyDescent="0.25">
      <c r="A39" s="366"/>
      <c r="B39" s="366"/>
      <c r="C39" s="366"/>
      <c r="D39" s="366"/>
      <c r="E39" s="366"/>
      <c r="F39" s="366"/>
      <c r="G39" s="366"/>
    </row>
    <row r="40" spans="1:8" x14ac:dyDescent="0.25">
      <c r="A40" s="366"/>
      <c r="B40" s="366"/>
      <c r="C40" s="366"/>
      <c r="D40" s="366"/>
      <c r="E40" s="366"/>
      <c r="F40" s="366"/>
      <c r="G40" s="366"/>
    </row>
    <row r="41" spans="1:8" x14ac:dyDescent="0.25">
      <c r="A41" s="366"/>
      <c r="B41" s="366"/>
      <c r="C41" s="366"/>
      <c r="D41" s="366"/>
      <c r="E41" s="366"/>
      <c r="F41" s="366"/>
      <c r="G41" s="366"/>
    </row>
    <row r="52" spans="3:6" x14ac:dyDescent="0.25">
      <c r="C52" s="2">
        <v>2</v>
      </c>
    </row>
    <row r="54" spans="3:6" x14ac:dyDescent="0.25">
      <c r="C54" s="198">
        <v>44981</v>
      </c>
    </row>
    <row r="56" spans="3:6" x14ac:dyDescent="0.25">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view="pageBreakPreview" zoomScaleNormal="115" zoomScaleSheetLayoutView="100" workbookViewId="0">
      <selection activeCell="C52" sqref="C52"/>
    </sheetView>
  </sheetViews>
  <sheetFormatPr defaultColWidth="9.21875" defaultRowHeight="15" x14ac:dyDescent="0.25"/>
  <cols>
    <col min="1" max="1" width="9.21875" style="2" customWidth="1"/>
    <col min="2" max="2" width="14.5546875" style="2" bestFit="1" customWidth="1"/>
    <col min="3" max="8" width="9.21875" style="2"/>
    <col min="9" max="9" width="11.5546875" style="2" customWidth="1"/>
    <col min="10" max="16384" width="9.21875" style="2"/>
  </cols>
  <sheetData>
    <row r="1" spans="1:9" x14ac:dyDescent="0.25">
      <c r="A1" s="2" t="str">
        <f>+'Cover Page'!$B$29</f>
        <v>Annual Performance Report 2022</v>
      </c>
      <c r="E1" s="2" t="str">
        <f>+'Cover Page'!$B$33</f>
        <v>Severnside Energy Recovery Centre</v>
      </c>
    </row>
    <row r="3" spans="1:9" ht="15.6" x14ac:dyDescent="0.3">
      <c r="A3" s="1" t="s">
        <v>192</v>
      </c>
    </row>
    <row r="4" spans="1:9" ht="15.6" x14ac:dyDescent="0.3">
      <c r="A4" s="1"/>
    </row>
    <row r="5" spans="1:9" s="3" customFormat="1" ht="21.75" customHeight="1" x14ac:dyDescent="0.25">
      <c r="A5" s="91" t="s">
        <v>193</v>
      </c>
      <c r="B5" s="92"/>
      <c r="C5" s="92"/>
      <c r="D5" s="92"/>
      <c r="E5" s="92"/>
      <c r="F5" s="92"/>
      <c r="G5" s="92"/>
      <c r="H5" s="92"/>
      <c r="I5" s="93"/>
    </row>
    <row r="6" spans="1:9" s="3" customFormat="1" ht="15.75" customHeight="1" x14ac:dyDescent="0.25">
      <c r="A6" s="233" t="s">
        <v>412</v>
      </c>
      <c r="B6" s="242"/>
      <c r="C6" s="242"/>
      <c r="D6" s="242"/>
      <c r="E6" s="242"/>
      <c r="F6" s="242"/>
      <c r="G6" s="242"/>
      <c r="H6" s="242"/>
      <c r="I6" s="243"/>
    </row>
    <row r="7" spans="1:9" s="3" customFormat="1" ht="15.75" customHeight="1" x14ac:dyDescent="0.25">
      <c r="A7" s="247"/>
      <c r="B7" s="248"/>
      <c r="C7" s="248"/>
      <c r="D7" s="248"/>
      <c r="E7" s="248"/>
      <c r="F7" s="248"/>
      <c r="G7" s="248"/>
      <c r="H7" s="248"/>
      <c r="I7" s="249"/>
    </row>
    <row r="8" spans="1:9" s="3" customFormat="1" ht="15.75" customHeight="1" x14ac:dyDescent="0.25">
      <c r="A8" s="233" t="s">
        <v>436</v>
      </c>
      <c r="B8" s="234"/>
      <c r="C8" s="234"/>
      <c r="D8" s="234"/>
      <c r="E8" s="234"/>
      <c r="F8" s="234"/>
      <c r="G8" s="234"/>
      <c r="H8" s="234"/>
      <c r="I8" s="235"/>
    </row>
    <row r="9" spans="1:9" s="3" customFormat="1" ht="15.75" customHeight="1" x14ac:dyDescent="0.25">
      <c r="A9" s="239"/>
      <c r="B9" s="240"/>
      <c r="C9" s="240"/>
      <c r="D9" s="240"/>
      <c r="E9" s="240"/>
      <c r="F9" s="240"/>
      <c r="G9" s="240"/>
      <c r="H9" s="240"/>
      <c r="I9" s="241"/>
    </row>
    <row r="10" spans="1:9" s="3" customFormat="1" ht="15.75" customHeight="1" x14ac:dyDescent="0.25">
      <c r="A10" s="233" t="s">
        <v>420</v>
      </c>
      <c r="B10" s="234"/>
      <c r="C10" s="234"/>
      <c r="D10" s="234"/>
      <c r="E10" s="234"/>
      <c r="F10" s="234"/>
      <c r="G10" s="234"/>
      <c r="H10" s="234"/>
      <c r="I10" s="235"/>
    </row>
    <row r="11" spans="1:9" s="3" customFormat="1" ht="15.75" customHeight="1" x14ac:dyDescent="0.25">
      <c r="A11" s="239"/>
      <c r="B11" s="240"/>
      <c r="C11" s="240"/>
      <c r="D11" s="240"/>
      <c r="E11" s="240"/>
      <c r="F11" s="240"/>
      <c r="G11" s="240"/>
      <c r="H11" s="240"/>
      <c r="I11" s="241"/>
    </row>
    <row r="12" spans="1:9" s="3" customFormat="1" ht="13.8" x14ac:dyDescent="0.25"/>
    <row r="13" spans="1:9" s="90" customFormat="1" ht="33.75" customHeight="1" x14ac:dyDescent="0.3">
      <c r="A13" s="337" t="s">
        <v>194</v>
      </c>
      <c r="B13" s="338"/>
      <c r="C13" s="338"/>
      <c r="D13" s="338"/>
      <c r="E13" s="338"/>
      <c r="F13" s="338"/>
      <c r="G13" s="338"/>
      <c r="H13" s="338"/>
      <c r="I13" s="339"/>
    </row>
    <row r="14" spans="1:9" ht="15.75" customHeight="1" x14ac:dyDescent="0.25">
      <c r="A14" s="349" t="s">
        <v>201</v>
      </c>
      <c r="B14" s="351"/>
      <c r="C14" s="349" t="s">
        <v>158</v>
      </c>
      <c r="D14" s="350"/>
      <c r="E14" s="350"/>
      <c r="F14" s="350"/>
      <c r="G14" s="350"/>
      <c r="H14" s="350"/>
      <c r="I14" s="350"/>
    </row>
    <row r="15" spans="1:9" ht="15.75" customHeight="1" x14ac:dyDescent="0.25">
      <c r="A15" s="393">
        <v>44866</v>
      </c>
      <c r="B15" s="394"/>
      <c r="C15" s="397" t="s">
        <v>437</v>
      </c>
      <c r="D15" s="398"/>
      <c r="E15" s="398"/>
      <c r="F15" s="398"/>
      <c r="G15" s="398"/>
      <c r="H15" s="398"/>
      <c r="I15" s="399"/>
    </row>
    <row r="16" spans="1:9" ht="15.75" customHeight="1" x14ac:dyDescent="0.25">
      <c r="A16" s="395"/>
      <c r="B16" s="396"/>
      <c r="C16" s="400"/>
      <c r="D16" s="401"/>
      <c r="E16" s="401"/>
      <c r="F16" s="401"/>
      <c r="G16" s="401"/>
      <c r="H16" s="401"/>
      <c r="I16" s="402"/>
    </row>
    <row r="17" spans="1:9" ht="15.75" customHeight="1" x14ac:dyDescent="0.25">
      <c r="A17" s="352"/>
      <c r="B17" s="243"/>
      <c r="C17" s="352"/>
      <c r="D17" s="242"/>
      <c r="E17" s="242"/>
      <c r="F17" s="242"/>
      <c r="G17" s="242"/>
      <c r="H17" s="242"/>
      <c r="I17" s="243"/>
    </row>
    <row r="18" spans="1:9" ht="15.75" customHeight="1" x14ac:dyDescent="0.25">
      <c r="A18" s="247"/>
      <c r="B18" s="249"/>
      <c r="C18" s="247"/>
      <c r="D18" s="248"/>
      <c r="E18" s="248"/>
      <c r="F18" s="248"/>
      <c r="G18" s="248"/>
      <c r="H18" s="248"/>
      <c r="I18" s="249"/>
    </row>
    <row r="19" spans="1:9" ht="15.75" customHeight="1" x14ac:dyDescent="0.25">
      <c r="A19" s="352"/>
      <c r="B19" s="243"/>
      <c r="C19" s="352"/>
      <c r="D19" s="242"/>
      <c r="E19" s="242"/>
      <c r="F19" s="242"/>
      <c r="G19" s="242"/>
      <c r="H19" s="242"/>
      <c r="I19" s="243"/>
    </row>
    <row r="20" spans="1:9" ht="15.75" customHeight="1" x14ac:dyDescent="0.25">
      <c r="A20" s="247"/>
      <c r="B20" s="249"/>
      <c r="C20" s="247"/>
      <c r="D20" s="248"/>
      <c r="E20" s="248"/>
      <c r="F20" s="248"/>
      <c r="G20" s="248"/>
      <c r="H20" s="248"/>
      <c r="I20" s="249"/>
    </row>
    <row r="22" spans="1:9" ht="22.5" customHeight="1" x14ac:dyDescent="0.25">
      <c r="A22" s="386" t="s">
        <v>302</v>
      </c>
      <c r="B22" s="387"/>
      <c r="C22" s="387"/>
      <c r="D22" s="387"/>
      <c r="E22" s="387"/>
      <c r="F22" s="387"/>
      <c r="G22" s="387"/>
      <c r="H22" s="387"/>
      <c r="I22" s="387"/>
    </row>
    <row r="23" spans="1:9" ht="19.5" customHeight="1" x14ac:dyDescent="0.25">
      <c r="A23" s="388" t="s">
        <v>111</v>
      </c>
      <c r="B23" s="389"/>
      <c r="C23" s="390"/>
      <c r="D23" s="391" t="s">
        <v>195</v>
      </c>
      <c r="E23" s="392"/>
      <c r="F23" s="105" t="s">
        <v>196</v>
      </c>
      <c r="G23" s="105" t="s">
        <v>197</v>
      </c>
      <c r="H23" s="105" t="s">
        <v>199</v>
      </c>
      <c r="I23" s="105" t="s">
        <v>198</v>
      </c>
    </row>
    <row r="24" spans="1:9" ht="27" customHeight="1" x14ac:dyDescent="0.25">
      <c r="A24" s="384" t="s">
        <v>413</v>
      </c>
      <c r="B24" s="385"/>
      <c r="C24" s="380"/>
      <c r="D24" s="384" t="s">
        <v>418</v>
      </c>
      <c r="E24" s="380"/>
      <c r="F24" s="175" t="s">
        <v>414</v>
      </c>
      <c r="G24" s="179"/>
      <c r="H24" s="175" t="s">
        <v>419</v>
      </c>
      <c r="I24" s="175" t="s">
        <v>419</v>
      </c>
    </row>
    <row r="25" spans="1:9" ht="27" customHeight="1" x14ac:dyDescent="0.25">
      <c r="A25" s="384" t="s">
        <v>415</v>
      </c>
      <c r="B25" s="385"/>
      <c r="C25" s="380"/>
      <c r="D25" s="384" t="s">
        <v>418</v>
      </c>
      <c r="E25" s="380"/>
      <c r="F25" s="175" t="s">
        <v>416</v>
      </c>
      <c r="G25" s="179"/>
      <c r="H25" s="107">
        <v>0.12</v>
      </c>
      <c r="I25" s="107">
        <v>0.12</v>
      </c>
    </row>
    <row r="26" spans="1:9" ht="25.5" customHeight="1" x14ac:dyDescent="0.25">
      <c r="A26" s="384" t="s">
        <v>415</v>
      </c>
      <c r="B26" s="385"/>
      <c r="C26" s="380"/>
      <c r="D26" s="384" t="s">
        <v>418</v>
      </c>
      <c r="E26" s="380"/>
      <c r="F26" s="175" t="s">
        <v>417</v>
      </c>
      <c r="G26" s="179"/>
      <c r="H26" s="107">
        <v>0</v>
      </c>
      <c r="I26" s="107">
        <v>0</v>
      </c>
    </row>
    <row r="27" spans="1:9" x14ac:dyDescent="0.25">
      <c r="A27" s="381"/>
      <c r="B27" s="382"/>
      <c r="C27" s="383"/>
      <c r="D27" s="379"/>
      <c r="E27" s="380"/>
      <c r="F27" s="107"/>
      <c r="G27" s="107"/>
      <c r="H27" s="107"/>
      <c r="I27" s="107"/>
    </row>
    <row r="28" spans="1:9" x14ac:dyDescent="0.25">
      <c r="A28" s="381"/>
      <c r="B28" s="382"/>
      <c r="C28" s="383"/>
      <c r="D28" s="379"/>
      <c r="E28" s="380"/>
      <c r="F28" s="107"/>
      <c r="G28" s="107"/>
      <c r="H28" s="107"/>
      <c r="I28" s="107"/>
    </row>
    <row r="29" spans="1:9" x14ac:dyDescent="0.25">
      <c r="A29" s="381"/>
      <c r="B29" s="382"/>
      <c r="C29" s="383"/>
      <c r="D29" s="379"/>
      <c r="E29" s="380"/>
      <c r="F29" s="107"/>
      <c r="G29" s="107"/>
      <c r="H29" s="107"/>
      <c r="I29" s="107"/>
    </row>
    <row r="30" spans="1:9" x14ac:dyDescent="0.25">
      <c r="A30" s="378"/>
      <c r="B30" s="378"/>
      <c r="C30" s="378"/>
      <c r="D30" s="379"/>
      <c r="E30" s="380"/>
      <c r="F30" s="107"/>
      <c r="G30" s="107"/>
      <c r="H30" s="107"/>
      <c r="I30" s="107"/>
    </row>
    <row r="31" spans="1:9" x14ac:dyDescent="0.25">
      <c r="A31" s="15"/>
      <c r="B31" s="15"/>
      <c r="C31" s="15"/>
      <c r="D31" s="15"/>
      <c r="E31" s="15"/>
      <c r="F31" s="15"/>
      <c r="G31" s="15"/>
      <c r="H31" s="15"/>
      <c r="I31" s="15"/>
    </row>
    <row r="32" spans="1:9" x14ac:dyDescent="0.25">
      <c r="A32" s="15"/>
      <c r="B32" s="15"/>
      <c r="C32" s="15"/>
      <c r="D32" s="15"/>
      <c r="E32" s="15"/>
      <c r="F32" s="15"/>
      <c r="G32" s="15"/>
      <c r="H32" s="15"/>
      <c r="I32" s="15"/>
    </row>
    <row r="33" spans="1:9" x14ac:dyDescent="0.25">
      <c r="A33" s="15"/>
      <c r="B33" s="15"/>
      <c r="C33" s="15"/>
      <c r="D33" s="15"/>
      <c r="E33" s="15"/>
      <c r="F33" s="15"/>
      <c r="G33" s="15"/>
      <c r="H33" s="15"/>
      <c r="I33" s="15"/>
    </row>
    <row r="52" spans="3:3" x14ac:dyDescent="0.25">
      <c r="C52" s="2">
        <v>2</v>
      </c>
    </row>
    <row r="54" spans="3:3" x14ac:dyDescent="0.25">
      <c r="C54" s="198">
        <v>44981</v>
      </c>
    </row>
    <row r="66" spans="5:5" x14ac:dyDescent="0.2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view="pageBreakPreview" zoomScale="115" zoomScaleNormal="100" zoomScaleSheetLayoutView="115" workbookViewId="0">
      <selection activeCell="C52" sqref="C52"/>
    </sheetView>
  </sheetViews>
  <sheetFormatPr defaultColWidth="9.21875" defaultRowHeight="15" x14ac:dyDescent="0.25"/>
  <cols>
    <col min="1" max="1" width="9.21875" style="2" customWidth="1"/>
    <col min="2" max="2" width="14.5546875" style="2" bestFit="1" customWidth="1"/>
    <col min="3" max="5" width="9.21875" style="2"/>
    <col min="6" max="6" width="11" style="2" customWidth="1"/>
    <col min="7" max="7" width="10.77734375" style="2" bestFit="1" customWidth="1"/>
    <col min="8" max="8" width="12" style="2" customWidth="1"/>
    <col min="9" max="9" width="9.21875" style="2"/>
    <col min="10" max="10" width="10.44140625" style="2" customWidth="1"/>
    <col min="11" max="16384" width="9.21875" style="2"/>
  </cols>
  <sheetData>
    <row r="1" spans="1:16" x14ac:dyDescent="0.25">
      <c r="A1" s="2" t="str">
        <f>+'Cover Page'!$B$29</f>
        <v>Annual Performance Report 2022</v>
      </c>
      <c r="E1" s="2" t="str">
        <f>+'Cover Page'!$B$33</f>
        <v>Severnside Energy Recovery Centre</v>
      </c>
    </row>
    <row r="2" spans="1:16" ht="7.5" customHeight="1" x14ac:dyDescent="0.25"/>
    <row r="3" spans="1:16" ht="15.6" x14ac:dyDescent="0.3">
      <c r="A3" s="1" t="s">
        <v>209</v>
      </c>
    </row>
    <row r="4" spans="1:16" ht="9.75" customHeight="1" x14ac:dyDescent="0.3">
      <c r="A4" s="1"/>
    </row>
    <row r="5" spans="1:16" s="3" customFormat="1" ht="21.75" customHeight="1" x14ac:dyDescent="0.3">
      <c r="A5" s="91" t="s">
        <v>246</v>
      </c>
      <c r="B5" s="92"/>
      <c r="C5" s="92"/>
      <c r="D5" s="92"/>
      <c r="E5" s="92"/>
      <c r="F5" s="92"/>
      <c r="G5" s="92"/>
      <c r="H5" s="92"/>
      <c r="I5" s="92"/>
      <c r="J5" s="93"/>
      <c r="M5" s="139" t="s">
        <v>294</v>
      </c>
    </row>
    <row r="6" spans="1:16" s="3" customFormat="1" ht="15.75" customHeight="1" x14ac:dyDescent="0.25">
      <c r="A6" s="233" t="s">
        <v>386</v>
      </c>
      <c r="B6" s="234"/>
      <c r="C6" s="234"/>
      <c r="D6" s="234"/>
      <c r="E6" s="234"/>
      <c r="F6" s="234"/>
      <c r="G6" s="234"/>
      <c r="H6" s="234"/>
      <c r="I6" s="234"/>
      <c r="J6" s="235"/>
      <c r="M6" s="417" t="s">
        <v>311</v>
      </c>
      <c r="N6" s="417"/>
      <c r="O6" s="417"/>
      <c r="P6" s="417"/>
    </row>
    <row r="7" spans="1:16" s="3" customFormat="1" ht="15.75" customHeight="1" x14ac:dyDescent="0.25">
      <c r="A7" s="239"/>
      <c r="B7" s="240"/>
      <c r="C7" s="240"/>
      <c r="D7" s="240"/>
      <c r="E7" s="240"/>
      <c r="F7" s="240"/>
      <c r="G7" s="240"/>
      <c r="H7" s="240"/>
      <c r="I7" s="240"/>
      <c r="J7" s="241"/>
      <c r="M7" s="417"/>
      <c r="N7" s="417"/>
      <c r="O7" s="417"/>
      <c r="P7" s="417"/>
    </row>
    <row r="8" spans="1:16" s="3" customFormat="1" ht="13.8" x14ac:dyDescent="0.25">
      <c r="M8" s="417"/>
      <c r="N8" s="417"/>
      <c r="O8" s="417"/>
      <c r="P8" s="417"/>
    </row>
    <row r="9" spans="1:16" s="109" customFormat="1" ht="16.5" customHeight="1" x14ac:dyDescent="0.25">
      <c r="A9" s="376" t="s">
        <v>210</v>
      </c>
      <c r="B9" s="376"/>
      <c r="C9" s="376"/>
      <c r="D9" s="376"/>
      <c r="E9" s="376"/>
      <c r="F9" s="376"/>
      <c r="G9" s="376"/>
      <c r="H9" s="376"/>
      <c r="I9" s="376"/>
      <c r="J9" s="376"/>
      <c r="M9" s="417"/>
      <c r="N9" s="417"/>
      <c r="O9" s="417"/>
      <c r="P9" s="417"/>
    </row>
    <row r="10" spans="1:16" s="109" customFormat="1" ht="16.5" customHeight="1" x14ac:dyDescent="0.25">
      <c r="A10" s="404" t="s">
        <v>135</v>
      </c>
      <c r="B10" s="405"/>
      <c r="C10" s="415" t="s">
        <v>245</v>
      </c>
      <c r="D10" s="411" t="s">
        <v>244</v>
      </c>
      <c r="E10" s="412"/>
      <c r="F10" s="408" t="s">
        <v>198</v>
      </c>
      <c r="G10" s="409"/>
      <c r="H10" s="409"/>
      <c r="I10" s="409"/>
      <c r="J10" s="410"/>
      <c r="M10" s="417" t="s">
        <v>312</v>
      </c>
      <c r="N10" s="417"/>
      <c r="O10" s="417"/>
      <c r="P10" s="417"/>
    </row>
    <row r="11" spans="1:16" s="15" customFormat="1" ht="17.25" customHeight="1" x14ac:dyDescent="0.25">
      <c r="A11" s="406"/>
      <c r="B11" s="407"/>
      <c r="C11" s="416"/>
      <c r="D11" s="413"/>
      <c r="E11" s="414"/>
      <c r="F11" s="88" t="s">
        <v>112</v>
      </c>
      <c r="G11" s="88" t="s">
        <v>113</v>
      </c>
      <c r="H11" s="173"/>
      <c r="I11" s="173"/>
      <c r="J11" s="88"/>
      <c r="M11" s="417"/>
      <c r="N11" s="417"/>
      <c r="O11" s="417"/>
      <c r="P11" s="417"/>
    </row>
    <row r="12" spans="1:16" s="15" customFormat="1" ht="23.25" customHeight="1" x14ac:dyDescent="0.25">
      <c r="A12" s="262" t="s">
        <v>145</v>
      </c>
      <c r="B12" s="262"/>
      <c r="C12" s="104" t="s">
        <v>237</v>
      </c>
      <c r="D12" s="403" t="s">
        <v>238</v>
      </c>
      <c r="E12" s="403"/>
      <c r="F12" s="176">
        <v>0.11550000000000001</v>
      </c>
      <c r="G12" s="176">
        <v>4.5999999999999999E-2</v>
      </c>
      <c r="H12" s="176"/>
      <c r="I12" s="175"/>
      <c r="J12" s="107"/>
      <c r="K12" s="19"/>
      <c r="M12" s="417"/>
      <c r="N12" s="417"/>
      <c r="O12" s="417"/>
      <c r="P12" s="417"/>
    </row>
    <row r="13" spans="1:16" s="15" customFormat="1" ht="23.25" customHeight="1" x14ac:dyDescent="0.25">
      <c r="A13" s="262" t="s">
        <v>211</v>
      </c>
      <c r="B13" s="262"/>
      <c r="C13" s="104" t="s">
        <v>291</v>
      </c>
      <c r="D13" s="403" t="s">
        <v>239</v>
      </c>
      <c r="E13" s="403"/>
      <c r="F13" s="171">
        <v>1.655E-3</v>
      </c>
      <c r="G13" s="171">
        <v>1.65E-3</v>
      </c>
      <c r="H13" s="171"/>
      <c r="I13" s="107"/>
      <c r="J13" s="107"/>
    </row>
    <row r="14" spans="1:16" s="15" customFormat="1" ht="23.25" customHeight="1" x14ac:dyDescent="0.25">
      <c r="A14" s="262" t="s">
        <v>212</v>
      </c>
      <c r="B14" s="262"/>
      <c r="C14" s="104" t="s">
        <v>291</v>
      </c>
      <c r="D14" s="403" t="s">
        <v>239</v>
      </c>
      <c r="E14" s="403"/>
      <c r="F14" s="171">
        <v>6.9499999999999998E-4</v>
      </c>
      <c r="G14" s="171">
        <v>8.3500000000000002E-4</v>
      </c>
      <c r="H14" s="171"/>
      <c r="I14" s="107"/>
      <c r="J14" s="107"/>
    </row>
    <row r="15" spans="1:16" s="15" customFormat="1" ht="23.25" customHeight="1" x14ac:dyDescent="0.25">
      <c r="A15" s="262" t="s">
        <v>213</v>
      </c>
      <c r="B15" s="262"/>
      <c r="C15" s="104" t="s">
        <v>291</v>
      </c>
      <c r="D15" s="403" t="s">
        <v>240</v>
      </c>
      <c r="E15" s="403"/>
      <c r="F15" s="171">
        <v>3.85E-2</v>
      </c>
      <c r="G15" s="171">
        <v>2.1499999999999998E-2</v>
      </c>
      <c r="H15" s="171"/>
      <c r="I15" s="107"/>
      <c r="J15" s="107"/>
    </row>
    <row r="16" spans="1:16" s="15" customFormat="1" ht="23.25" customHeight="1" x14ac:dyDescent="0.25">
      <c r="A16" s="262" t="s">
        <v>214</v>
      </c>
      <c r="B16" s="262"/>
      <c r="C16" s="104" t="s">
        <v>291</v>
      </c>
      <c r="D16" s="403" t="s">
        <v>241</v>
      </c>
      <c r="E16" s="403"/>
      <c r="F16" s="171">
        <v>2.5000000000000001E-3</v>
      </c>
      <c r="G16" s="171">
        <v>3.1999999999999997E-3</v>
      </c>
      <c r="H16" s="171"/>
      <c r="I16" s="107"/>
      <c r="J16" s="107"/>
    </row>
    <row r="17" spans="1:11" s="15" customFormat="1" ht="23.25" customHeight="1" x14ac:dyDescent="0.25">
      <c r="A17" s="262" t="s">
        <v>215</v>
      </c>
      <c r="B17" s="262"/>
      <c r="C17" s="104" t="s">
        <v>291</v>
      </c>
      <c r="D17" s="403" t="s">
        <v>242</v>
      </c>
      <c r="E17" s="403"/>
      <c r="F17" s="171">
        <v>1.9000000000000001E-4</v>
      </c>
      <c r="G17" s="171">
        <v>2.1250000000000002E-4</v>
      </c>
      <c r="H17" s="171"/>
      <c r="I17" s="107"/>
      <c r="J17" s="107"/>
    </row>
    <row r="18" spans="1:11" s="15" customFormat="1" ht="23.25" customHeight="1" x14ac:dyDescent="0.25">
      <c r="A18" s="262" t="s">
        <v>216</v>
      </c>
      <c r="B18" s="262"/>
      <c r="C18" s="104" t="s">
        <v>291</v>
      </c>
      <c r="D18" s="403" t="s">
        <v>242</v>
      </c>
      <c r="E18" s="403"/>
      <c r="F18" s="171">
        <v>1.045E-5</v>
      </c>
      <c r="G18" s="171">
        <v>1.1E-5</v>
      </c>
      <c r="H18" s="171"/>
      <c r="I18" s="107"/>
      <c r="J18" s="107"/>
    </row>
    <row r="19" spans="1:11" s="15" customFormat="1" ht="23.25" customHeight="1" x14ac:dyDescent="0.25">
      <c r="A19" s="262" t="s">
        <v>217</v>
      </c>
      <c r="B19" s="262"/>
      <c r="C19" s="104" t="s">
        <v>291</v>
      </c>
      <c r="D19" s="403" t="s">
        <v>242</v>
      </c>
      <c r="E19" s="403"/>
      <c r="F19" s="171">
        <v>1.1349999999999999E-3</v>
      </c>
      <c r="G19" s="171">
        <v>1.145E-3</v>
      </c>
      <c r="H19" s="171"/>
      <c r="I19" s="107"/>
      <c r="J19" s="107"/>
    </row>
    <row r="20" spans="1:11" s="15" customFormat="1" ht="23.25" customHeight="1" x14ac:dyDescent="0.25">
      <c r="A20" s="262" t="s">
        <v>218</v>
      </c>
      <c r="B20" s="262"/>
      <c r="C20" s="104" t="s">
        <v>291</v>
      </c>
      <c r="D20" s="403" t="s">
        <v>242</v>
      </c>
      <c r="E20" s="403"/>
      <c r="F20" s="171">
        <v>2.65E-3</v>
      </c>
      <c r="G20" s="171">
        <v>3.1999999999999997E-3</v>
      </c>
      <c r="H20" s="171"/>
      <c r="I20" s="107"/>
      <c r="J20" s="107"/>
    </row>
    <row r="21" spans="1:11" s="15" customFormat="1" ht="23.25" customHeight="1" x14ac:dyDescent="0.25">
      <c r="A21" s="262" t="s">
        <v>219</v>
      </c>
      <c r="B21" s="262"/>
      <c r="C21" s="104" t="s">
        <v>291</v>
      </c>
      <c r="D21" s="403" t="s">
        <v>242</v>
      </c>
      <c r="E21" s="403"/>
      <c r="F21" s="171">
        <v>2.5500000000000002E-3</v>
      </c>
      <c r="G21" s="171">
        <v>3.3E-3</v>
      </c>
      <c r="H21" s="171"/>
      <c r="I21" s="107"/>
      <c r="J21" s="107"/>
    </row>
    <row r="22" spans="1:11" s="15" customFormat="1" ht="23.25" customHeight="1" x14ac:dyDescent="0.25">
      <c r="A22" s="262" t="s">
        <v>220</v>
      </c>
      <c r="B22" s="262"/>
      <c r="C22" s="104" t="s">
        <v>291</v>
      </c>
      <c r="D22" s="403" t="s">
        <v>242</v>
      </c>
      <c r="E22" s="403"/>
      <c r="F22" s="171">
        <v>3.4499999999999999E-3</v>
      </c>
      <c r="G22" s="171">
        <v>5.1000000000000004E-3</v>
      </c>
      <c r="H22" s="171"/>
      <c r="I22" s="107"/>
      <c r="J22" s="107"/>
    </row>
    <row r="23" spans="1:11" s="15" customFormat="1" ht="23.25" customHeight="1" x14ac:dyDescent="0.25">
      <c r="A23" s="262" t="s">
        <v>221</v>
      </c>
      <c r="B23" s="262"/>
      <c r="C23" s="104" t="s">
        <v>291</v>
      </c>
      <c r="D23" s="403" t="s">
        <v>243</v>
      </c>
      <c r="E23" s="403"/>
      <c r="F23" s="176">
        <v>9.549999999999999E-4</v>
      </c>
      <c r="G23" s="176">
        <v>1.01E-3</v>
      </c>
      <c r="H23" s="176"/>
      <c r="I23" s="175"/>
      <c r="J23" s="175"/>
      <c r="K23" s="19"/>
    </row>
    <row r="24" spans="1:11" s="15" customFormat="1" ht="23.25" customHeight="1" x14ac:dyDescent="0.25">
      <c r="A24" s="262" t="s">
        <v>222</v>
      </c>
      <c r="B24" s="262"/>
      <c r="C24" s="104" t="s">
        <v>291</v>
      </c>
      <c r="D24" s="403" t="s">
        <v>243</v>
      </c>
      <c r="E24" s="403"/>
      <c r="F24" s="176">
        <v>1.65E-3</v>
      </c>
      <c r="G24" s="176">
        <v>1.01E-3</v>
      </c>
      <c r="H24" s="176"/>
      <c r="I24" s="175"/>
      <c r="J24" s="175"/>
      <c r="K24" s="19"/>
    </row>
    <row r="25" spans="1:11" s="15" customFormat="1" ht="23.25" customHeight="1" x14ac:dyDescent="0.25">
      <c r="A25" s="262" t="s">
        <v>223</v>
      </c>
      <c r="B25" s="262"/>
      <c r="C25" s="104" t="s">
        <v>291</v>
      </c>
      <c r="D25" s="403" t="s">
        <v>243</v>
      </c>
      <c r="E25" s="403"/>
      <c r="F25" s="176">
        <v>9.549999999999999E-4</v>
      </c>
      <c r="G25" s="176">
        <v>1.01E-3</v>
      </c>
      <c r="H25" s="176"/>
      <c r="I25" s="175"/>
      <c r="J25" s="175"/>
      <c r="K25" s="19"/>
    </row>
    <row r="26" spans="1:11" s="15" customFormat="1" ht="23.25" customHeight="1" x14ac:dyDescent="0.25">
      <c r="A26" s="262" t="s">
        <v>224</v>
      </c>
      <c r="B26" s="262"/>
      <c r="C26" s="104" t="s">
        <v>291</v>
      </c>
      <c r="D26" s="403" t="s">
        <v>243</v>
      </c>
      <c r="E26" s="403"/>
      <c r="F26" s="171">
        <v>2.4499999999999999E-3</v>
      </c>
      <c r="G26" s="176">
        <v>1.01E-3</v>
      </c>
      <c r="H26" s="171"/>
      <c r="I26" s="175"/>
      <c r="J26" s="175"/>
      <c r="K26" s="19"/>
    </row>
    <row r="27" spans="1:11" s="15" customFormat="1" ht="23.25" customHeight="1" x14ac:dyDescent="0.25">
      <c r="A27" s="262" t="s">
        <v>225</v>
      </c>
      <c r="B27" s="262"/>
      <c r="C27" s="104" t="s">
        <v>291</v>
      </c>
      <c r="D27" s="403" t="s">
        <v>243</v>
      </c>
      <c r="E27" s="403"/>
      <c r="F27" s="176">
        <v>2.5999999999999999E-3</v>
      </c>
      <c r="G27" s="176">
        <v>3.4999999999999996E-3</v>
      </c>
      <c r="H27" s="176"/>
      <c r="I27" s="107"/>
      <c r="J27" s="175"/>
      <c r="K27" s="19"/>
    </row>
    <row r="28" spans="1:11" s="15" customFormat="1" ht="23.25" customHeight="1" x14ac:dyDescent="0.25">
      <c r="A28" s="262" t="s">
        <v>226</v>
      </c>
      <c r="B28" s="262"/>
      <c r="C28" s="104" t="s">
        <v>291</v>
      </c>
      <c r="D28" s="403" t="s">
        <v>243</v>
      </c>
      <c r="E28" s="403"/>
      <c r="F28" s="176">
        <v>9.549999999999999E-4</v>
      </c>
      <c r="G28" s="176">
        <v>1.01E-3</v>
      </c>
      <c r="H28" s="176"/>
      <c r="I28" s="175"/>
      <c r="J28" s="175"/>
      <c r="K28" s="19"/>
    </row>
    <row r="29" spans="1:11" s="15" customFormat="1" ht="23.25" customHeight="1" x14ac:dyDescent="0.25">
      <c r="A29" s="262" t="s">
        <v>227</v>
      </c>
      <c r="B29" s="262"/>
      <c r="C29" s="104" t="s">
        <v>291</v>
      </c>
      <c r="D29" s="403" t="s">
        <v>243</v>
      </c>
      <c r="E29" s="403"/>
      <c r="F29" s="171">
        <v>2.7000000000000001E-3</v>
      </c>
      <c r="G29" s="176">
        <v>3.1999999999999997E-3</v>
      </c>
      <c r="H29" s="171"/>
      <c r="I29" s="107"/>
      <c r="J29" s="175"/>
      <c r="K29" s="19"/>
    </row>
    <row r="30" spans="1:11" s="15" customFormat="1" ht="23.25" customHeight="1" x14ac:dyDescent="0.25">
      <c r="A30" s="262" t="s">
        <v>228</v>
      </c>
      <c r="B30" s="262"/>
      <c r="C30" s="104" t="s">
        <v>291</v>
      </c>
      <c r="D30" s="403" t="s">
        <v>243</v>
      </c>
      <c r="E30" s="403"/>
      <c r="F30" s="176">
        <v>9.549999999999999E-4</v>
      </c>
      <c r="G30" s="176">
        <v>1.01E-3</v>
      </c>
      <c r="H30" s="176"/>
      <c r="I30" s="175"/>
      <c r="J30" s="175"/>
      <c r="K30" s="19"/>
    </row>
    <row r="31" spans="1:11" s="15" customFormat="1" ht="23.25" customHeight="1" x14ac:dyDescent="0.25">
      <c r="A31" s="262" t="s">
        <v>229</v>
      </c>
      <c r="B31" s="262"/>
      <c r="C31" s="104" t="s">
        <v>291</v>
      </c>
      <c r="D31" s="403" t="s">
        <v>243</v>
      </c>
      <c r="E31" s="403"/>
      <c r="F31" s="176">
        <v>9.549999999999999E-4</v>
      </c>
      <c r="G31" s="176">
        <v>1.01E-3</v>
      </c>
      <c r="H31" s="176"/>
      <c r="I31" s="175"/>
      <c r="J31" s="175"/>
      <c r="K31" s="19"/>
    </row>
    <row r="32" spans="1:11" s="15" customFormat="1" ht="23.25" customHeight="1" x14ac:dyDescent="0.25">
      <c r="A32" s="262" t="s">
        <v>230</v>
      </c>
      <c r="B32" s="262"/>
      <c r="C32" s="104" t="s">
        <v>291</v>
      </c>
      <c r="D32" s="403" t="s">
        <v>243</v>
      </c>
      <c r="E32" s="403"/>
      <c r="F32" s="171">
        <v>2.5500000000000002E-3</v>
      </c>
      <c r="G32" s="176">
        <v>2.5000000000000001E-3</v>
      </c>
      <c r="H32" s="171"/>
      <c r="I32" s="107"/>
      <c r="J32" s="175"/>
      <c r="K32" s="19"/>
    </row>
    <row r="33" spans="1:11" s="15" customFormat="1" ht="23.25" customHeight="1" x14ac:dyDescent="0.25">
      <c r="A33" s="262" t="s">
        <v>231</v>
      </c>
      <c r="B33" s="262"/>
      <c r="C33" s="104" t="s">
        <v>291</v>
      </c>
      <c r="D33" s="403" t="s">
        <v>243</v>
      </c>
      <c r="E33" s="403"/>
      <c r="F33" s="176">
        <v>9.549999999999999E-4</v>
      </c>
      <c r="G33" s="176">
        <v>6.0999999999999995E-3</v>
      </c>
      <c r="H33" s="176"/>
      <c r="I33" s="107"/>
      <c r="J33" s="175"/>
      <c r="K33" s="19"/>
    </row>
    <row r="34" spans="1:11" s="15" customFormat="1" ht="23.25" customHeight="1" x14ac:dyDescent="0.25">
      <c r="A34" s="262" t="s">
        <v>232</v>
      </c>
      <c r="B34" s="262"/>
      <c r="C34" s="104" t="s">
        <v>291</v>
      </c>
      <c r="D34" s="403" t="s">
        <v>243</v>
      </c>
      <c r="E34" s="403"/>
      <c r="F34" s="176">
        <v>9.549999999999999E-4</v>
      </c>
      <c r="G34" s="176">
        <v>1.01E-3</v>
      </c>
      <c r="H34" s="176"/>
      <c r="I34" s="175"/>
      <c r="J34" s="175"/>
      <c r="K34" s="19"/>
    </row>
    <row r="35" spans="1:11" s="15" customFormat="1" ht="23.25" customHeight="1" x14ac:dyDescent="0.25">
      <c r="A35" s="262" t="s">
        <v>233</v>
      </c>
      <c r="B35" s="262"/>
      <c r="C35" s="104" t="s">
        <v>291</v>
      </c>
      <c r="D35" s="403" t="s">
        <v>243</v>
      </c>
      <c r="E35" s="403"/>
      <c r="F35" s="176">
        <v>9.549999999999999E-4</v>
      </c>
      <c r="G35" s="176">
        <v>1.01E-3</v>
      </c>
      <c r="H35" s="176"/>
      <c r="I35" s="175"/>
      <c r="J35" s="175"/>
      <c r="K35" s="19"/>
    </row>
    <row r="36" spans="1:11" s="15" customFormat="1" ht="23.25" customHeight="1" x14ac:dyDescent="0.25">
      <c r="A36" s="262" t="s">
        <v>234</v>
      </c>
      <c r="B36" s="262"/>
      <c r="C36" s="104" t="s">
        <v>291</v>
      </c>
      <c r="D36" s="403" t="s">
        <v>243</v>
      </c>
      <c r="E36" s="403"/>
      <c r="F36" s="171">
        <v>4.1599999999999998E-2</v>
      </c>
      <c r="G36" s="171">
        <v>4.8000000000000001E-2</v>
      </c>
      <c r="H36" s="171"/>
      <c r="I36" s="107"/>
      <c r="J36" s="175"/>
    </row>
    <row r="37" spans="1:11" s="15" customFormat="1" ht="23.25" customHeight="1" x14ac:dyDescent="0.25">
      <c r="A37" s="262" t="s">
        <v>235</v>
      </c>
      <c r="B37" s="262"/>
      <c r="C37" s="104" t="s">
        <v>291</v>
      </c>
      <c r="D37" s="403" t="s">
        <v>243</v>
      </c>
      <c r="E37" s="403"/>
      <c r="F37" s="176">
        <v>1.4499999999999999E-3</v>
      </c>
      <c r="G37" s="176">
        <v>1.01E-3</v>
      </c>
      <c r="H37" s="176"/>
      <c r="I37" s="175"/>
      <c r="J37" s="175"/>
      <c r="K37" s="19"/>
    </row>
    <row r="38" spans="1:11" s="15" customFormat="1" ht="23.25" customHeight="1" x14ac:dyDescent="0.25">
      <c r="A38" s="262" t="s">
        <v>236</v>
      </c>
      <c r="B38" s="262"/>
      <c r="C38" s="104" t="s">
        <v>291</v>
      </c>
      <c r="D38" s="403" t="s">
        <v>243</v>
      </c>
      <c r="E38" s="403"/>
      <c r="F38" s="171">
        <v>0.67</v>
      </c>
      <c r="G38" s="171">
        <v>0.43000000000000005</v>
      </c>
      <c r="H38" s="171"/>
      <c r="I38" s="107"/>
      <c r="J38" s="175"/>
    </row>
    <row r="39" spans="1:11" x14ac:dyDescent="0.25">
      <c r="A39" s="263" t="s">
        <v>208</v>
      </c>
      <c r="B39" s="263"/>
      <c r="C39" s="263"/>
      <c r="D39" s="263"/>
      <c r="E39" s="263"/>
      <c r="F39" s="263"/>
      <c r="G39" s="263"/>
      <c r="H39" s="263"/>
      <c r="I39" s="263"/>
      <c r="J39" s="263"/>
    </row>
    <row r="40" spans="1:11" ht="55.5" customHeight="1" x14ac:dyDescent="0.25">
      <c r="A40" s="264" t="s">
        <v>385</v>
      </c>
      <c r="B40" s="366"/>
      <c r="C40" s="366"/>
      <c r="D40" s="366"/>
      <c r="E40" s="366"/>
      <c r="F40" s="366"/>
      <c r="G40" s="366"/>
      <c r="H40" s="366"/>
      <c r="I40" s="366"/>
      <c r="J40" s="366"/>
    </row>
    <row r="41" spans="1:11" ht="39.75" customHeight="1" x14ac:dyDescent="0.25">
      <c r="A41" s="366"/>
      <c r="B41" s="366"/>
      <c r="C41" s="366"/>
      <c r="D41" s="366"/>
      <c r="E41" s="366"/>
      <c r="F41" s="366"/>
      <c r="G41" s="366"/>
      <c r="H41" s="366"/>
      <c r="I41" s="366"/>
      <c r="J41" s="366"/>
    </row>
    <row r="52" spans="3:6" x14ac:dyDescent="0.25">
      <c r="C52" s="2">
        <v>2</v>
      </c>
    </row>
    <row r="54" spans="3:6" x14ac:dyDescent="0.25">
      <c r="C54" s="198">
        <v>44981</v>
      </c>
    </row>
    <row r="64" spans="3:6" x14ac:dyDescent="0.25">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3"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view="pageBreakPreview" zoomScaleNormal="100" zoomScaleSheetLayoutView="100" workbookViewId="0">
      <selection activeCell="C52" sqref="C52"/>
    </sheetView>
  </sheetViews>
  <sheetFormatPr defaultColWidth="9.21875" defaultRowHeight="15" x14ac:dyDescent="0.25"/>
  <cols>
    <col min="1" max="1" width="21.21875" style="2" customWidth="1"/>
    <col min="2" max="2" width="13.77734375" style="2" customWidth="1"/>
    <col min="3" max="3" width="16.21875" style="2" customWidth="1"/>
    <col min="4" max="4" width="9.21875" style="2"/>
    <col min="5" max="7" width="11.5546875" style="2" bestFit="1" customWidth="1"/>
    <col min="8" max="12" width="9.21875" style="2"/>
    <col min="13" max="13" width="10.44140625" style="2" customWidth="1"/>
    <col min="14" max="16384" width="9.21875" style="2"/>
  </cols>
  <sheetData>
    <row r="1" spans="1:16" x14ac:dyDescent="0.25">
      <c r="A1" s="2" t="str">
        <f>+'Cover Page'!$B$29</f>
        <v>Annual Performance Report 2022</v>
      </c>
      <c r="I1" s="2" t="str">
        <f>+'Cover Page'!$B$33</f>
        <v>Severnside Energy Recovery Centre</v>
      </c>
    </row>
    <row r="3" spans="1:16" ht="15.6" x14ac:dyDescent="0.3">
      <c r="A3" s="1" t="s">
        <v>278</v>
      </c>
    </row>
    <row r="4" spans="1:16" ht="15.6" x14ac:dyDescent="0.3">
      <c r="A4" s="1"/>
      <c r="P4" s="129" t="s">
        <v>294</v>
      </c>
    </row>
    <row r="5" spans="1:16" s="3" customFormat="1" ht="21.75" customHeight="1" x14ac:dyDescent="0.3">
      <c r="A5" s="91" t="s">
        <v>246</v>
      </c>
      <c r="B5" s="92"/>
      <c r="C5" s="92"/>
      <c r="D5" s="92"/>
      <c r="E5" s="92"/>
      <c r="F5" s="92"/>
      <c r="G5" s="92"/>
      <c r="H5" s="92"/>
      <c r="I5" s="92"/>
      <c r="J5" s="92"/>
      <c r="K5" s="92"/>
      <c r="L5" s="92"/>
      <c r="M5" s="93"/>
      <c r="P5" s="130" t="s">
        <v>295</v>
      </c>
    </row>
    <row r="6" spans="1:16" s="3" customFormat="1" ht="34.5" customHeight="1" x14ac:dyDescent="0.25">
      <c r="A6" s="233" t="s">
        <v>387</v>
      </c>
      <c r="B6" s="234"/>
      <c r="C6" s="234"/>
      <c r="D6" s="234"/>
      <c r="E6" s="234"/>
      <c r="F6" s="234"/>
      <c r="G6" s="234"/>
      <c r="H6" s="234"/>
      <c r="I6" s="234"/>
      <c r="J6" s="234"/>
      <c r="K6" s="234"/>
      <c r="L6" s="234"/>
      <c r="M6" s="235"/>
      <c r="P6" s="3" t="s">
        <v>335</v>
      </c>
    </row>
    <row r="7" spans="1:16" s="3" customFormat="1" ht="25.5" customHeight="1" x14ac:dyDescent="0.25">
      <c r="A7" s="239"/>
      <c r="B7" s="240"/>
      <c r="C7" s="240"/>
      <c r="D7" s="240"/>
      <c r="E7" s="240"/>
      <c r="F7" s="240"/>
      <c r="G7" s="240"/>
      <c r="H7" s="240"/>
      <c r="I7" s="240"/>
      <c r="J7" s="240"/>
      <c r="K7" s="240"/>
      <c r="L7" s="240"/>
      <c r="M7" s="241"/>
    </row>
    <row r="8" spans="1:16" s="3" customFormat="1" ht="15.75" customHeight="1" x14ac:dyDescent="0.25">
      <c r="A8" s="377"/>
      <c r="B8" s="234"/>
      <c r="C8" s="234"/>
      <c r="D8" s="234"/>
      <c r="E8" s="234"/>
      <c r="F8" s="234"/>
      <c r="G8" s="234"/>
      <c r="H8" s="234"/>
      <c r="I8" s="234"/>
      <c r="J8" s="234"/>
      <c r="K8" s="234"/>
      <c r="L8" s="234"/>
      <c r="M8" s="235"/>
    </row>
    <row r="9" spans="1:16" s="3" customFormat="1" ht="15.75" customHeight="1" x14ac:dyDescent="0.25">
      <c r="A9" s="239"/>
      <c r="B9" s="240"/>
      <c r="C9" s="240"/>
      <c r="D9" s="240"/>
      <c r="E9" s="240"/>
      <c r="F9" s="240"/>
      <c r="G9" s="240"/>
      <c r="H9" s="240"/>
      <c r="I9" s="240"/>
      <c r="J9" s="240"/>
      <c r="K9" s="240"/>
      <c r="L9" s="240"/>
      <c r="M9" s="241"/>
    </row>
    <row r="10" spans="1:16" s="3" customFormat="1" ht="13.8" x14ac:dyDescent="0.25"/>
    <row r="11" spans="1:16" s="109" customFormat="1" ht="16.5" customHeight="1" x14ac:dyDescent="0.25">
      <c r="A11" s="376" t="s">
        <v>334</v>
      </c>
      <c r="B11" s="376"/>
      <c r="C11" s="376"/>
      <c r="D11" s="376"/>
      <c r="E11" s="376"/>
      <c r="F11" s="376"/>
      <c r="G11" s="376"/>
      <c r="H11" s="376"/>
      <c r="I11" s="376"/>
      <c r="J11" s="376"/>
      <c r="K11" s="376"/>
      <c r="L11" s="376"/>
      <c r="M11" s="376"/>
    </row>
    <row r="12" spans="1:16" s="109" customFormat="1" ht="16.5" customHeight="1" x14ac:dyDescent="0.25">
      <c r="A12" s="422" t="s">
        <v>135</v>
      </c>
      <c r="B12" s="415" t="s">
        <v>262</v>
      </c>
      <c r="C12" s="317" t="s">
        <v>244</v>
      </c>
      <c r="D12" s="318" t="s">
        <v>112</v>
      </c>
      <c r="E12" s="424"/>
      <c r="F12" s="318" t="s">
        <v>113</v>
      </c>
      <c r="G12" s="424"/>
      <c r="H12" s="318" t="s">
        <v>114</v>
      </c>
      <c r="I12" s="424"/>
      <c r="J12" s="318" t="s">
        <v>115</v>
      </c>
      <c r="K12" s="424"/>
      <c r="L12" s="318" t="s">
        <v>116</v>
      </c>
      <c r="M12" s="424"/>
    </row>
    <row r="13" spans="1:16" s="15" customFormat="1" ht="17.25" customHeight="1" x14ac:dyDescent="0.25">
      <c r="A13" s="422"/>
      <c r="B13" s="423"/>
      <c r="C13" s="317"/>
      <c r="D13" s="88" t="s">
        <v>199</v>
      </c>
      <c r="E13" s="111" t="s">
        <v>247</v>
      </c>
      <c r="F13" s="88" t="s">
        <v>199</v>
      </c>
      <c r="G13" s="111" t="s">
        <v>247</v>
      </c>
      <c r="H13" s="88" t="s">
        <v>199</v>
      </c>
      <c r="I13" s="111" t="s">
        <v>247</v>
      </c>
      <c r="J13" s="88" t="s">
        <v>199</v>
      </c>
      <c r="K13" s="111" t="s">
        <v>247</v>
      </c>
      <c r="L13" s="88" t="s">
        <v>199</v>
      </c>
      <c r="M13" s="111" t="s">
        <v>247</v>
      </c>
    </row>
    <row r="14" spans="1:16" s="15" customFormat="1" ht="23.25" customHeight="1" x14ac:dyDescent="0.25">
      <c r="A14" s="262" t="s">
        <v>140</v>
      </c>
      <c r="B14" s="106" t="s">
        <v>248</v>
      </c>
      <c r="C14" s="106" t="s">
        <v>253</v>
      </c>
      <c r="D14" s="174">
        <f>NOx!O19</f>
        <v>142</v>
      </c>
      <c r="E14" s="174">
        <f>NOx!N19</f>
        <v>135.58333333333334</v>
      </c>
      <c r="F14" s="174">
        <f>NOx!O34</f>
        <v>152</v>
      </c>
      <c r="G14" s="174">
        <f>NOx!N34</f>
        <v>135.66666666666666</v>
      </c>
      <c r="H14" s="107"/>
      <c r="I14" s="107"/>
      <c r="J14" s="107"/>
      <c r="K14" s="107"/>
      <c r="L14" s="107"/>
      <c r="M14" s="107"/>
    </row>
    <row r="15" spans="1:16" s="15" customFormat="1" ht="23.25" customHeight="1" x14ac:dyDescent="0.25">
      <c r="A15" s="262"/>
      <c r="B15" s="106" t="s">
        <v>249</v>
      </c>
      <c r="C15" s="106" t="s">
        <v>254</v>
      </c>
      <c r="D15" s="174">
        <f>NOx!M19</f>
        <v>249</v>
      </c>
      <c r="E15" s="174">
        <f>NOx!L19</f>
        <v>135.58333333333334</v>
      </c>
      <c r="F15" s="174">
        <f>NOx!M34</f>
        <v>251</v>
      </c>
      <c r="G15" s="174">
        <f>NOx!L34</f>
        <v>135.66666666666666</v>
      </c>
      <c r="H15" s="107"/>
      <c r="I15" s="107"/>
      <c r="J15" s="107"/>
      <c r="K15" s="107"/>
      <c r="L15" s="107"/>
      <c r="M15" s="107"/>
    </row>
    <row r="16" spans="1:16" s="15" customFormat="1" ht="23.25" customHeight="1" x14ac:dyDescent="0.25">
      <c r="A16" s="72" t="s">
        <v>139</v>
      </c>
      <c r="B16" s="75" t="s">
        <v>248</v>
      </c>
      <c r="C16" s="106" t="s">
        <v>255</v>
      </c>
      <c r="D16" s="174">
        <f>Particulates!O19</f>
        <v>8</v>
      </c>
      <c r="E16" s="174">
        <f>Particulates!N19</f>
        <v>2.875</v>
      </c>
      <c r="F16" s="174">
        <f>Particulates!O34</f>
        <v>8.5</v>
      </c>
      <c r="G16" s="174">
        <f>Particulates!N34</f>
        <v>3.1833333333333336</v>
      </c>
      <c r="H16" s="107"/>
      <c r="I16" s="107"/>
      <c r="J16" s="107"/>
      <c r="K16" s="107"/>
      <c r="L16" s="107"/>
      <c r="M16" s="107"/>
    </row>
    <row r="17" spans="1:13" s="15" customFormat="1" ht="23.25" customHeight="1" x14ac:dyDescent="0.25">
      <c r="A17" s="72"/>
      <c r="B17" s="106" t="s">
        <v>249</v>
      </c>
      <c r="C17" s="106" t="s">
        <v>256</v>
      </c>
      <c r="D17" s="174">
        <f>Particulates!M19</f>
        <v>37.5</v>
      </c>
      <c r="E17" s="174">
        <f>Particulates!L19</f>
        <v>2.875</v>
      </c>
      <c r="F17" s="174">
        <f>Particulates!M34</f>
        <v>23.9</v>
      </c>
      <c r="G17" s="174">
        <f>Particulates!L34</f>
        <v>3.1833333333333336</v>
      </c>
      <c r="H17" s="107"/>
      <c r="I17" s="107"/>
      <c r="J17" s="107"/>
      <c r="K17" s="107"/>
      <c r="L17" s="107"/>
      <c r="M17" s="107"/>
    </row>
    <row r="18" spans="1:13" s="15" customFormat="1" ht="23.25" customHeight="1" x14ac:dyDescent="0.25">
      <c r="A18" s="72" t="s">
        <v>261</v>
      </c>
      <c r="B18" s="106" t="s">
        <v>248</v>
      </c>
      <c r="C18" s="106" t="s">
        <v>257</v>
      </c>
      <c r="D18" s="174">
        <f>TOC!O19</f>
        <v>6.3</v>
      </c>
      <c r="E18" s="174">
        <f>TOC!N19</f>
        <v>0.375</v>
      </c>
      <c r="F18" s="174">
        <f>TOC!O34</f>
        <v>5.8</v>
      </c>
      <c r="G18" s="174">
        <f>TOC!N34</f>
        <v>0.25000000000000006</v>
      </c>
      <c r="H18" s="107"/>
      <c r="I18" s="107"/>
      <c r="J18" s="107"/>
      <c r="K18" s="107"/>
      <c r="L18" s="107"/>
      <c r="M18" s="107"/>
    </row>
    <row r="19" spans="1:13" s="15" customFormat="1" ht="23.25" customHeight="1" x14ac:dyDescent="0.25">
      <c r="A19" s="72"/>
      <c r="B19" s="106" t="s">
        <v>249</v>
      </c>
      <c r="C19" s="106" t="s">
        <v>258</v>
      </c>
      <c r="D19" s="174">
        <f>TOC!M19</f>
        <v>30.2</v>
      </c>
      <c r="E19" s="174">
        <f>TOC!L19</f>
        <v>0.375</v>
      </c>
      <c r="F19" s="174">
        <f>TOC!M34</f>
        <v>31.1</v>
      </c>
      <c r="G19" s="174">
        <f>TOC!L34</f>
        <v>0.25000000000000006</v>
      </c>
      <c r="H19" s="107"/>
      <c r="I19" s="107"/>
      <c r="J19" s="107"/>
      <c r="K19" s="107"/>
      <c r="L19" s="107"/>
      <c r="M19" s="107"/>
    </row>
    <row r="20" spans="1:13" s="15" customFormat="1" ht="23.25" customHeight="1" x14ac:dyDescent="0.25">
      <c r="A20" s="72" t="s">
        <v>250</v>
      </c>
      <c r="B20" s="106" t="s">
        <v>248</v>
      </c>
      <c r="C20" s="106" t="s">
        <v>257</v>
      </c>
      <c r="D20" s="174">
        <f>HCl!O19</f>
        <v>5.5</v>
      </c>
      <c r="E20" s="174">
        <f>HCl!N19</f>
        <v>0.8666666666666667</v>
      </c>
      <c r="F20" s="174">
        <f>HCl!O34</f>
        <v>7.1</v>
      </c>
      <c r="G20" s="174">
        <f>HCl!N34</f>
        <v>2.4166666666666665</v>
      </c>
      <c r="H20" s="107"/>
      <c r="I20" s="107"/>
      <c r="J20" s="107"/>
      <c r="K20" s="107"/>
      <c r="L20" s="107"/>
      <c r="M20" s="107"/>
    </row>
    <row r="21" spans="1:13" s="15" customFormat="1" ht="23.25" customHeight="1" x14ac:dyDescent="0.25">
      <c r="A21" s="72"/>
      <c r="B21" s="106" t="s">
        <v>249</v>
      </c>
      <c r="C21" s="106" t="s">
        <v>259</v>
      </c>
      <c r="D21" s="174">
        <f>HCl!M19</f>
        <v>29.5</v>
      </c>
      <c r="E21" s="174">
        <f>HCl!L19</f>
        <v>0.8666666666666667</v>
      </c>
      <c r="F21" s="174">
        <f>HCl!M34</f>
        <v>12</v>
      </c>
      <c r="G21" s="174">
        <f>HCl!L34</f>
        <v>2.4166666666666665</v>
      </c>
      <c r="H21" s="107"/>
      <c r="I21" s="107"/>
      <c r="J21" s="107"/>
      <c r="K21" s="107"/>
      <c r="L21" s="107"/>
      <c r="M21" s="107"/>
    </row>
    <row r="22" spans="1:13" s="15" customFormat="1" ht="23.25" customHeight="1" x14ac:dyDescent="0.25">
      <c r="A22" s="72" t="s">
        <v>141</v>
      </c>
      <c r="B22" s="106" t="s">
        <v>248</v>
      </c>
      <c r="C22" s="106" t="s">
        <v>260</v>
      </c>
      <c r="D22" s="174">
        <f>'SO2'!O19</f>
        <v>33</v>
      </c>
      <c r="E22" s="174">
        <f>'SO2'!N19</f>
        <v>11.083333333333334</v>
      </c>
      <c r="F22" s="174">
        <f>'SO2'!O34</f>
        <v>24</v>
      </c>
      <c r="G22" s="174">
        <f>'SO2'!N34</f>
        <v>9.0833333333333339</v>
      </c>
      <c r="H22" s="107"/>
      <c r="I22" s="107"/>
      <c r="J22" s="107"/>
      <c r="K22" s="107"/>
      <c r="L22" s="107"/>
      <c r="M22" s="107"/>
    </row>
    <row r="23" spans="1:13" s="15" customFormat="1" ht="23.25" customHeight="1" x14ac:dyDescent="0.25">
      <c r="A23" s="72"/>
      <c r="B23" s="106" t="s">
        <v>249</v>
      </c>
      <c r="C23" s="106" t="s">
        <v>253</v>
      </c>
      <c r="D23" s="174">
        <f>'SO2'!M19</f>
        <v>224</v>
      </c>
      <c r="E23" s="174">
        <f>'SO2'!L19</f>
        <v>11.083333333333334</v>
      </c>
      <c r="F23" s="174">
        <f>'SO2'!M34</f>
        <v>167</v>
      </c>
      <c r="G23" s="174">
        <f>'SO2'!L34</f>
        <v>9.0833333333333339</v>
      </c>
      <c r="H23" s="107"/>
      <c r="I23" s="107"/>
      <c r="J23" s="107"/>
      <c r="K23" s="107"/>
      <c r="L23" s="107"/>
      <c r="M23" s="107"/>
    </row>
    <row r="24" spans="1:13" s="15" customFormat="1" ht="23.25" customHeight="1" x14ac:dyDescent="0.25">
      <c r="A24" s="72" t="s">
        <v>186</v>
      </c>
      <c r="B24" s="106" t="s">
        <v>248</v>
      </c>
      <c r="C24" s="106" t="s">
        <v>260</v>
      </c>
      <c r="D24" s="174">
        <f>'CO 95% 10 min'!Q19</f>
        <v>15</v>
      </c>
      <c r="E24" s="174">
        <f>'CO 95% 10 min'!P19</f>
        <v>3.5</v>
      </c>
      <c r="F24" s="174">
        <f>'CO 95% 10 min'!Q34</f>
        <v>12</v>
      </c>
      <c r="G24" s="174">
        <f>'CO 95% 10 min'!P34</f>
        <v>3.6666666666666665</v>
      </c>
      <c r="H24" s="107"/>
      <c r="I24" s="107"/>
      <c r="J24" s="107"/>
      <c r="K24" s="107"/>
      <c r="L24" s="107"/>
      <c r="M24" s="107"/>
    </row>
    <row r="25" spans="1:13" s="15" customFormat="1" ht="23.25" customHeight="1" x14ac:dyDescent="0.25">
      <c r="A25" s="170"/>
      <c r="B25" s="172" t="s">
        <v>319</v>
      </c>
      <c r="C25" s="172" t="s">
        <v>313</v>
      </c>
      <c r="D25" s="174">
        <f>'CO 95% 10 min'!M19</f>
        <v>11.5</v>
      </c>
      <c r="E25" s="174">
        <f>'CO 95% 10 min'!N19</f>
        <v>3.5</v>
      </c>
      <c r="F25" s="174">
        <f>'CO 95% 10 min'!M34</f>
        <v>48.083333333333336</v>
      </c>
      <c r="G25" s="174">
        <f>'CO 95% 10 min'!N34</f>
        <v>3.6666666666666665</v>
      </c>
      <c r="H25" s="171"/>
      <c r="I25" s="171"/>
      <c r="J25" s="171"/>
      <c r="K25" s="171"/>
      <c r="L25" s="171"/>
      <c r="M25" s="171"/>
    </row>
    <row r="26" spans="1:13" s="15" customFormat="1" ht="23.25" customHeight="1" x14ac:dyDescent="0.25">
      <c r="A26" s="140" t="s">
        <v>251</v>
      </c>
      <c r="B26" s="141" t="s">
        <v>248</v>
      </c>
      <c r="C26" s="141" t="s">
        <v>252</v>
      </c>
      <c r="D26" s="177">
        <f>'NH3'!O19</f>
        <v>2.7</v>
      </c>
      <c r="E26" s="177">
        <f>'NH3'!N19</f>
        <v>0.55833333333333335</v>
      </c>
      <c r="F26" s="177">
        <f>'NH3'!O34</f>
        <v>2.5</v>
      </c>
      <c r="G26" s="177">
        <f>'NH3'!N34</f>
        <v>0.56666666666666654</v>
      </c>
      <c r="H26" s="142"/>
      <c r="I26" s="142"/>
      <c r="J26" s="142"/>
      <c r="K26" s="142"/>
      <c r="L26" s="142"/>
      <c r="M26" s="142"/>
    </row>
    <row r="27" spans="1:13" x14ac:dyDescent="0.25">
      <c r="A27" s="418" t="s">
        <v>314</v>
      </c>
      <c r="B27" s="419"/>
      <c r="C27" s="419"/>
      <c r="D27" s="419"/>
      <c r="E27" s="419"/>
      <c r="F27" s="419"/>
      <c r="G27" s="419"/>
      <c r="H27" s="419"/>
      <c r="I27" s="419"/>
      <c r="J27" s="419"/>
      <c r="K27" s="419"/>
      <c r="L27" s="419"/>
      <c r="M27" s="420"/>
    </row>
    <row r="28" spans="1:13" x14ac:dyDescent="0.25">
      <c r="A28" s="143" t="s">
        <v>208</v>
      </c>
      <c r="B28" s="144"/>
      <c r="C28" s="144"/>
      <c r="D28" s="144"/>
      <c r="E28" s="144"/>
      <c r="F28" s="144"/>
      <c r="G28" s="144"/>
      <c r="H28" s="144"/>
      <c r="I28" s="144"/>
      <c r="J28" s="144"/>
      <c r="K28" s="144"/>
      <c r="L28" s="144"/>
      <c r="M28" s="145"/>
    </row>
    <row r="29" spans="1:13" ht="43.5" customHeight="1" x14ac:dyDescent="0.25">
      <c r="A29" s="421" t="s">
        <v>411</v>
      </c>
      <c r="B29" s="421"/>
      <c r="C29" s="421"/>
      <c r="D29" s="421"/>
      <c r="E29" s="421"/>
      <c r="F29" s="421"/>
      <c r="G29" s="421"/>
      <c r="H29" s="421"/>
      <c r="I29" s="421"/>
      <c r="J29" s="421"/>
      <c r="K29" s="421"/>
      <c r="L29" s="421"/>
      <c r="M29" s="421"/>
    </row>
    <row r="30" spans="1:13" ht="30" customHeight="1" x14ac:dyDescent="0.25">
      <c r="A30" s="264"/>
      <c r="B30" s="264"/>
      <c r="C30" s="264"/>
      <c r="D30" s="264"/>
      <c r="E30" s="264"/>
      <c r="F30" s="264"/>
      <c r="G30" s="264"/>
      <c r="H30" s="264"/>
      <c r="I30" s="264"/>
      <c r="J30" s="264"/>
      <c r="K30" s="264"/>
      <c r="L30" s="264"/>
      <c r="M30" s="264"/>
    </row>
    <row r="52" spans="3:3" x14ac:dyDescent="0.25">
      <c r="C52" s="2">
        <v>2</v>
      </c>
    </row>
    <row r="54" spans="3:3" x14ac:dyDescent="0.25">
      <c r="C54" s="198">
        <v>44981</v>
      </c>
    </row>
    <row r="67" spans="6:6" x14ac:dyDescent="0.25">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6" orientation="landscape" r:id="rId1"/>
  <headerFooter scaleWithDoc="0">
    <oddFooter>&amp;C&amp;"Arial,Regular"Page &amp;P</oddFooter>
  </headerFooter>
  <rowBreaks count="1" manualBreakCount="1">
    <brk id="27" max="12"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view="pageBreakPreview" zoomScaleNormal="85" zoomScaleSheetLayoutView="100" workbookViewId="0">
      <selection activeCell="C52" sqref="C52"/>
    </sheetView>
  </sheetViews>
  <sheetFormatPr defaultRowHeight="13.8" x14ac:dyDescent="0.25"/>
  <cols>
    <col min="1" max="1" width="14" style="3" customWidth="1"/>
    <col min="2" max="7" width="17" style="70"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1.777343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x14ac:dyDescent="0.25">
      <c r="A1" s="2" t="str">
        <f>+'Cover Page'!$B$29</f>
        <v>Annual Performance Report 2022</v>
      </c>
      <c r="B1" s="2"/>
      <c r="C1" s="2"/>
      <c r="D1" s="2"/>
      <c r="E1" s="2" t="str">
        <f>+'Cover Page'!$B$33</f>
        <v>Severnside Energy Recovery Centre</v>
      </c>
      <c r="F1" s="2"/>
      <c r="G1" s="2"/>
    </row>
    <row r="3" spans="1:19" ht="14.4" x14ac:dyDescent="0.3">
      <c r="A3" s="114" t="s">
        <v>301</v>
      </c>
      <c r="D3" s="132" t="s">
        <v>299</v>
      </c>
      <c r="G3" s="136" t="s">
        <v>306</v>
      </c>
      <c r="J3" s="10" t="str">
        <f>+A3</f>
        <v>Monitoring of Hydrogen Chloride emissions</v>
      </c>
      <c r="L3" s="10"/>
      <c r="N3" s="10" t="s">
        <v>300</v>
      </c>
      <c r="Q3" s="135" t="s">
        <v>294</v>
      </c>
      <c r="R3" s="130"/>
      <c r="S3" s="130"/>
    </row>
    <row r="4" spans="1:19" ht="13.95" customHeight="1" x14ac:dyDescent="0.25">
      <c r="Q4" s="417" t="s">
        <v>304</v>
      </c>
      <c r="R4" s="417"/>
      <c r="S4" s="417"/>
    </row>
    <row r="5" spans="1:19" ht="16.2" x14ac:dyDescent="0.25">
      <c r="A5" s="122" t="s">
        <v>266</v>
      </c>
      <c r="B5" s="428" t="s">
        <v>264</v>
      </c>
      <c r="C5" s="428"/>
      <c r="D5" s="428"/>
      <c r="E5" s="428" t="s">
        <v>263</v>
      </c>
      <c r="F5" s="428"/>
      <c r="G5" s="428"/>
      <c r="J5" s="427"/>
      <c r="K5" s="427"/>
      <c r="L5" s="427"/>
      <c r="M5" s="427"/>
      <c r="N5" s="427"/>
      <c r="O5" s="427"/>
      <c r="Q5" s="417"/>
      <c r="R5" s="417"/>
      <c r="S5" s="417"/>
    </row>
    <row r="6" spans="1:19" s="112" customFormat="1" ht="37.5" customHeight="1" x14ac:dyDescent="0.3">
      <c r="A6" s="119">
        <f>+'Cover Page'!C39</f>
        <v>2022</v>
      </c>
      <c r="B6" s="108" t="s">
        <v>160</v>
      </c>
      <c r="C6" s="108" t="s">
        <v>161</v>
      </c>
      <c r="D6" s="108" t="s">
        <v>315</v>
      </c>
      <c r="E6" s="108" t="s">
        <v>163</v>
      </c>
      <c r="F6" s="108" t="s">
        <v>164</v>
      </c>
      <c r="G6" s="108" t="s">
        <v>316</v>
      </c>
      <c r="H6" s="113"/>
      <c r="J6" s="115">
        <f>+A6</f>
        <v>2022</v>
      </c>
      <c r="K6" s="115" t="s">
        <v>265</v>
      </c>
      <c r="L6" s="121" t="s">
        <v>161</v>
      </c>
      <c r="M6" s="121" t="s">
        <v>162</v>
      </c>
      <c r="N6" s="121" t="s">
        <v>164</v>
      </c>
      <c r="O6" s="121" t="s">
        <v>165</v>
      </c>
      <c r="Q6" s="417"/>
      <c r="R6" s="417"/>
      <c r="S6" s="417"/>
    </row>
    <row r="7" spans="1:19" ht="13.95" customHeight="1" x14ac:dyDescent="0.25">
      <c r="A7" s="120" t="s">
        <v>166</v>
      </c>
      <c r="B7" s="117">
        <v>60</v>
      </c>
      <c r="C7" s="118">
        <f>AVERAGE(L7,L22)</f>
        <v>1.6500000000000001</v>
      </c>
      <c r="D7" s="118">
        <f>AVERAGE(M7,M22)</f>
        <v>10.85</v>
      </c>
      <c r="E7" s="117">
        <v>10</v>
      </c>
      <c r="F7" s="118">
        <f>AVERAGE(N7,N22)</f>
        <v>1.6500000000000001</v>
      </c>
      <c r="G7" s="118">
        <f>AVERAGE(O7,O22)</f>
        <v>2.95</v>
      </c>
      <c r="J7" s="426" t="s">
        <v>112</v>
      </c>
      <c r="K7" s="120" t="s">
        <v>166</v>
      </c>
      <c r="L7" s="118">
        <v>1.1000000000000001</v>
      </c>
      <c r="M7" s="118">
        <v>12.7</v>
      </c>
      <c r="N7" s="118">
        <v>1.1000000000000001</v>
      </c>
      <c r="O7" s="118">
        <v>1.9</v>
      </c>
      <c r="Q7" s="417"/>
      <c r="R7" s="417"/>
      <c r="S7" s="417"/>
    </row>
    <row r="8" spans="1:19" x14ac:dyDescent="0.25">
      <c r="A8" s="120" t="s">
        <v>167</v>
      </c>
      <c r="B8" s="117">
        <v>60</v>
      </c>
      <c r="C8" s="118">
        <f t="shared" ref="C8:D8" si="0">AVERAGE(L8,L23)</f>
        <v>1.5</v>
      </c>
      <c r="D8" s="118">
        <f t="shared" si="0"/>
        <v>10.75</v>
      </c>
      <c r="E8" s="117">
        <v>10</v>
      </c>
      <c r="F8" s="118">
        <f t="shared" ref="F8:G8" si="1">AVERAGE(N8,N23)</f>
        <v>1.5</v>
      </c>
      <c r="G8" s="118">
        <f t="shared" si="1"/>
        <v>1.7</v>
      </c>
      <c r="J8" s="426"/>
      <c r="K8" s="120" t="s">
        <v>167</v>
      </c>
      <c r="L8" s="118">
        <v>1</v>
      </c>
      <c r="M8" s="118">
        <v>14.8</v>
      </c>
      <c r="N8" s="118">
        <v>1</v>
      </c>
      <c r="O8" s="118">
        <v>1.1000000000000001</v>
      </c>
      <c r="Q8" s="417"/>
      <c r="R8" s="417"/>
      <c r="S8" s="417"/>
    </row>
    <row r="9" spans="1:19" x14ac:dyDescent="0.25">
      <c r="A9" s="120" t="s">
        <v>168</v>
      </c>
      <c r="B9" s="117">
        <v>60</v>
      </c>
      <c r="C9" s="118">
        <f t="shared" ref="C9:D9" si="2">AVERAGE(L9,L24)</f>
        <v>1.4</v>
      </c>
      <c r="D9" s="118">
        <f t="shared" si="2"/>
        <v>3.45</v>
      </c>
      <c r="E9" s="117">
        <v>10</v>
      </c>
      <c r="F9" s="118">
        <f t="shared" ref="F9:G9" si="3">AVERAGE(N9,N24)</f>
        <v>1.4</v>
      </c>
      <c r="G9" s="118">
        <f t="shared" si="3"/>
        <v>1.75</v>
      </c>
      <c r="J9" s="426"/>
      <c r="K9" s="120" t="s">
        <v>168</v>
      </c>
      <c r="L9" s="118">
        <v>0.7</v>
      </c>
      <c r="M9" s="118">
        <v>2.7</v>
      </c>
      <c r="N9" s="118">
        <v>0.7</v>
      </c>
      <c r="O9" s="118">
        <v>1.1000000000000001</v>
      </c>
      <c r="Q9" s="134" t="s">
        <v>305</v>
      </c>
    </row>
    <row r="10" spans="1:19" ht="13.95" customHeight="1" x14ac:dyDescent="0.25">
      <c r="A10" s="120" t="s">
        <v>169</v>
      </c>
      <c r="B10" s="117">
        <v>60</v>
      </c>
      <c r="C10" s="118">
        <f t="shared" ref="C10:D10" si="4">AVERAGE(L10,L25)</f>
        <v>1.75</v>
      </c>
      <c r="D10" s="118">
        <f t="shared" si="4"/>
        <v>6.95</v>
      </c>
      <c r="E10" s="117">
        <v>10</v>
      </c>
      <c r="F10" s="118">
        <f t="shared" ref="F10:G10" si="5">AVERAGE(N10,N25)</f>
        <v>1.75</v>
      </c>
      <c r="G10" s="118">
        <f t="shared" si="5"/>
        <v>3.55</v>
      </c>
      <c r="J10" s="426"/>
      <c r="K10" s="120" t="s">
        <v>169</v>
      </c>
      <c r="L10" s="118">
        <v>0.5</v>
      </c>
      <c r="M10" s="118">
        <v>1.9</v>
      </c>
      <c r="N10" s="118">
        <v>0.5</v>
      </c>
      <c r="O10" s="118">
        <v>0.8</v>
      </c>
      <c r="Q10" s="425" t="s">
        <v>320</v>
      </c>
      <c r="R10" s="425"/>
      <c r="S10" s="425"/>
    </row>
    <row r="11" spans="1:19" x14ac:dyDescent="0.25">
      <c r="A11" s="120" t="s">
        <v>170</v>
      </c>
      <c r="B11" s="117">
        <v>60</v>
      </c>
      <c r="C11" s="118">
        <f t="shared" ref="C11:D11" si="6">AVERAGE(L11,L26)</f>
        <v>0.75</v>
      </c>
      <c r="D11" s="118">
        <f t="shared" si="6"/>
        <v>2.5</v>
      </c>
      <c r="E11" s="117">
        <v>10</v>
      </c>
      <c r="F11" s="118">
        <f t="shared" ref="F11:G11" si="7">AVERAGE(N11,N26)</f>
        <v>0.75</v>
      </c>
      <c r="G11" s="118">
        <f t="shared" si="7"/>
        <v>1</v>
      </c>
      <c r="J11" s="426"/>
      <c r="K11" s="120" t="s">
        <v>170</v>
      </c>
      <c r="L11" s="118">
        <v>0.4</v>
      </c>
      <c r="M11" s="118">
        <v>1.7</v>
      </c>
      <c r="N11" s="118">
        <v>0.4</v>
      </c>
      <c r="O11" s="118">
        <v>0.7</v>
      </c>
      <c r="Q11" s="425"/>
      <c r="R11" s="425"/>
      <c r="S11" s="425"/>
    </row>
    <row r="12" spans="1:19" x14ac:dyDescent="0.25">
      <c r="A12" s="120" t="s">
        <v>171</v>
      </c>
      <c r="B12" s="117">
        <v>60</v>
      </c>
      <c r="C12" s="118">
        <f t="shared" ref="C12:D12" si="8">AVERAGE(L12,L27)</f>
        <v>0.70000000000000007</v>
      </c>
      <c r="D12" s="118">
        <f t="shared" si="8"/>
        <v>3</v>
      </c>
      <c r="E12" s="117">
        <v>10</v>
      </c>
      <c r="F12" s="118">
        <f t="shared" ref="F12:G12" si="9">AVERAGE(N12,N27)</f>
        <v>0.70000000000000007</v>
      </c>
      <c r="G12" s="118">
        <f t="shared" si="9"/>
        <v>1.05</v>
      </c>
      <c r="J12" s="426"/>
      <c r="K12" s="120" t="s">
        <v>171</v>
      </c>
      <c r="L12" s="118">
        <v>0.3</v>
      </c>
      <c r="M12" s="118">
        <v>3.6</v>
      </c>
      <c r="N12" s="118">
        <v>0.3</v>
      </c>
      <c r="O12" s="118">
        <v>0.8</v>
      </c>
      <c r="Q12" s="425"/>
      <c r="R12" s="425"/>
      <c r="S12" s="425"/>
    </row>
    <row r="13" spans="1:19" ht="13.95" customHeight="1" x14ac:dyDescent="0.25">
      <c r="A13" s="120" t="s">
        <v>172</v>
      </c>
      <c r="B13" s="117">
        <v>60</v>
      </c>
      <c r="C13" s="118">
        <f t="shared" ref="C13:D13" si="10">AVERAGE(L13,L28)</f>
        <v>0.5</v>
      </c>
      <c r="D13" s="118">
        <f t="shared" si="10"/>
        <v>16.05</v>
      </c>
      <c r="E13" s="117">
        <v>10</v>
      </c>
      <c r="F13" s="118">
        <f t="shared" ref="F13:G13" si="11">AVERAGE(N13,N28)</f>
        <v>0.5</v>
      </c>
      <c r="G13" s="118">
        <f t="shared" si="11"/>
        <v>1.05</v>
      </c>
      <c r="J13" s="426"/>
      <c r="K13" s="120" t="s">
        <v>172</v>
      </c>
      <c r="L13" s="118">
        <v>0.3</v>
      </c>
      <c r="M13" s="118">
        <v>29.5</v>
      </c>
      <c r="N13" s="118">
        <v>0.3</v>
      </c>
      <c r="O13" s="118">
        <v>1.1000000000000001</v>
      </c>
      <c r="Q13" s="425" t="s">
        <v>326</v>
      </c>
      <c r="R13" s="425"/>
      <c r="S13" s="425"/>
    </row>
    <row r="14" spans="1:19" x14ac:dyDescent="0.25">
      <c r="A14" s="120" t="s">
        <v>173</v>
      </c>
      <c r="B14" s="117">
        <v>60</v>
      </c>
      <c r="C14" s="118">
        <f t="shared" ref="C14:D14" si="12">AVERAGE(L14,L29)</f>
        <v>1.65</v>
      </c>
      <c r="D14" s="118">
        <f t="shared" si="12"/>
        <v>7.35</v>
      </c>
      <c r="E14" s="117">
        <v>10</v>
      </c>
      <c r="F14" s="118">
        <f t="shared" ref="F14:G14" si="13">AVERAGE(N14,N29)</f>
        <v>1.65</v>
      </c>
      <c r="G14" s="118">
        <f t="shared" si="13"/>
        <v>5.0999999999999996</v>
      </c>
      <c r="J14" s="426"/>
      <c r="K14" s="120" t="s">
        <v>173</v>
      </c>
      <c r="L14" s="118">
        <v>0.8</v>
      </c>
      <c r="M14" s="118">
        <v>5.7</v>
      </c>
      <c r="N14" s="118">
        <v>0.8</v>
      </c>
      <c r="O14" s="118">
        <v>3.9</v>
      </c>
      <c r="Q14" s="425"/>
      <c r="R14" s="425"/>
      <c r="S14" s="425"/>
    </row>
    <row r="15" spans="1:19" x14ac:dyDescent="0.25">
      <c r="A15" s="120" t="s">
        <v>174</v>
      </c>
      <c r="B15" s="117">
        <v>60</v>
      </c>
      <c r="C15" s="118">
        <f t="shared" ref="C15:D15" si="14">AVERAGE(L15,L30)</f>
        <v>3.25</v>
      </c>
      <c r="D15" s="118">
        <f t="shared" si="14"/>
        <v>10.55</v>
      </c>
      <c r="E15" s="117">
        <v>10</v>
      </c>
      <c r="F15" s="118">
        <f t="shared" ref="F15:G15" si="15">AVERAGE(N15,N30)</f>
        <v>3.25</v>
      </c>
      <c r="G15" s="118">
        <f t="shared" si="15"/>
        <v>6.3</v>
      </c>
      <c r="J15" s="426"/>
      <c r="K15" s="120" t="s">
        <v>174</v>
      </c>
      <c r="L15" s="118">
        <v>2.5</v>
      </c>
      <c r="M15" s="118">
        <v>10.1</v>
      </c>
      <c r="N15" s="118">
        <v>2.5</v>
      </c>
      <c r="O15" s="118">
        <v>5.5</v>
      </c>
      <c r="Q15" s="425"/>
      <c r="R15" s="425"/>
      <c r="S15" s="425"/>
    </row>
    <row r="16" spans="1:19" x14ac:dyDescent="0.25">
      <c r="A16" s="120" t="s">
        <v>175</v>
      </c>
      <c r="B16" s="117">
        <v>60</v>
      </c>
      <c r="C16" s="118">
        <f t="shared" ref="C16:D16" si="16">AVERAGE(L16,L31)</f>
        <v>2.35</v>
      </c>
      <c r="D16" s="118">
        <f t="shared" si="16"/>
        <v>6.3</v>
      </c>
      <c r="E16" s="117">
        <v>10</v>
      </c>
      <c r="F16" s="118">
        <f t="shared" ref="F16:G16" si="17">AVERAGE(N16,N31)</f>
        <v>2.35</v>
      </c>
      <c r="G16" s="118">
        <f t="shared" si="17"/>
        <v>3.7</v>
      </c>
      <c r="J16" s="426"/>
      <c r="K16" s="120" t="s">
        <v>175</v>
      </c>
      <c r="L16" s="118">
        <v>1</v>
      </c>
      <c r="M16" s="118">
        <v>2.4</v>
      </c>
      <c r="N16" s="118">
        <v>1</v>
      </c>
      <c r="O16" s="118">
        <v>1.5</v>
      </c>
      <c r="Q16" s="425"/>
      <c r="R16" s="425"/>
      <c r="S16" s="425"/>
    </row>
    <row r="17" spans="1:15" x14ac:dyDescent="0.25">
      <c r="A17" s="120" t="s">
        <v>176</v>
      </c>
      <c r="B17" s="117">
        <v>60</v>
      </c>
      <c r="C17" s="118">
        <f t="shared" ref="C17:D17" si="18">AVERAGE(L17,L32)</f>
        <v>2.1</v>
      </c>
      <c r="D17" s="118">
        <f t="shared" si="18"/>
        <v>5.35</v>
      </c>
      <c r="E17" s="117">
        <v>10</v>
      </c>
      <c r="F17" s="118">
        <f t="shared" ref="F17:G17" si="19">AVERAGE(N17,N32)</f>
        <v>2.1</v>
      </c>
      <c r="G17" s="118">
        <f t="shared" si="19"/>
        <v>3.1</v>
      </c>
      <c r="J17" s="426"/>
      <c r="K17" s="120" t="s">
        <v>176</v>
      </c>
      <c r="L17" s="118">
        <v>0.9</v>
      </c>
      <c r="M17" s="118">
        <v>3.3</v>
      </c>
      <c r="N17" s="118">
        <v>0.9</v>
      </c>
      <c r="O17" s="118">
        <v>1.2</v>
      </c>
    </row>
    <row r="18" spans="1:15" x14ac:dyDescent="0.25">
      <c r="A18" s="120" t="s">
        <v>177</v>
      </c>
      <c r="B18" s="117">
        <v>60</v>
      </c>
      <c r="C18" s="118">
        <f t="shared" ref="C18:D18" si="20">AVERAGE(L18,L33)</f>
        <v>2.1</v>
      </c>
      <c r="D18" s="118">
        <f t="shared" si="20"/>
        <v>7.45</v>
      </c>
      <c r="E18" s="117">
        <v>10</v>
      </c>
      <c r="F18" s="118">
        <f t="shared" ref="F18:G18" si="21">AVERAGE(N18,N33)</f>
        <v>2.1</v>
      </c>
      <c r="G18" s="118">
        <f t="shared" si="21"/>
        <v>3.7</v>
      </c>
      <c r="J18" s="426"/>
      <c r="K18" s="120" t="s">
        <v>177</v>
      </c>
      <c r="L18" s="118">
        <v>0.9</v>
      </c>
      <c r="M18" s="118">
        <v>4.4000000000000004</v>
      </c>
      <c r="N18" s="118">
        <v>0.9</v>
      </c>
      <c r="O18" s="118">
        <v>1.5</v>
      </c>
    </row>
    <row r="19" spans="1:15" x14ac:dyDescent="0.25">
      <c r="J19" s="426"/>
      <c r="K19" s="116" t="s">
        <v>267</v>
      </c>
      <c r="L19" s="116">
        <f>AVERAGE(L7:L18)</f>
        <v>0.8666666666666667</v>
      </c>
      <c r="M19" s="116">
        <f>MAX(M7:M18)</f>
        <v>29.5</v>
      </c>
      <c r="N19" s="116">
        <f>AVERAGE(N7:N18)</f>
        <v>0.8666666666666667</v>
      </c>
      <c r="O19" s="116">
        <f>MAX(O7:O18)</f>
        <v>5.5</v>
      </c>
    </row>
    <row r="21" spans="1:15" ht="41.4" x14ac:dyDescent="0.25">
      <c r="J21" s="115">
        <f>+A6</f>
        <v>2022</v>
      </c>
      <c r="K21" s="115" t="s">
        <v>265</v>
      </c>
      <c r="L21" s="121" t="s">
        <v>161</v>
      </c>
      <c r="M21" s="121" t="s">
        <v>162</v>
      </c>
      <c r="N21" s="121" t="s">
        <v>164</v>
      </c>
      <c r="O21" s="121" t="s">
        <v>165</v>
      </c>
    </row>
    <row r="22" spans="1:15" x14ac:dyDescent="0.25">
      <c r="J22" s="426" t="s">
        <v>113</v>
      </c>
      <c r="K22" s="120" t="s">
        <v>166</v>
      </c>
      <c r="L22" s="118">
        <v>2.2000000000000002</v>
      </c>
      <c r="M22" s="118">
        <v>9</v>
      </c>
      <c r="N22" s="118">
        <v>2.2000000000000002</v>
      </c>
      <c r="O22" s="118">
        <v>4</v>
      </c>
    </row>
    <row r="23" spans="1:15" x14ac:dyDescent="0.25">
      <c r="J23" s="426"/>
      <c r="K23" s="120" t="s">
        <v>167</v>
      </c>
      <c r="L23" s="118">
        <v>2</v>
      </c>
      <c r="M23" s="118">
        <v>6.7</v>
      </c>
      <c r="N23" s="118">
        <v>2</v>
      </c>
      <c r="O23" s="118">
        <v>2.2999999999999998</v>
      </c>
    </row>
    <row r="24" spans="1:15" x14ac:dyDescent="0.25">
      <c r="J24" s="426"/>
      <c r="K24" s="120" t="s">
        <v>168</v>
      </c>
      <c r="L24" s="118">
        <v>2.1</v>
      </c>
      <c r="M24" s="118">
        <v>4.2</v>
      </c>
      <c r="N24" s="118">
        <v>2.1</v>
      </c>
      <c r="O24" s="118">
        <v>2.4</v>
      </c>
    </row>
    <row r="25" spans="1:15" x14ac:dyDescent="0.25">
      <c r="J25" s="426"/>
      <c r="K25" s="120" t="s">
        <v>169</v>
      </c>
      <c r="L25" s="118">
        <v>3</v>
      </c>
      <c r="M25" s="118">
        <v>12</v>
      </c>
      <c r="N25" s="118">
        <v>3</v>
      </c>
      <c r="O25" s="118">
        <v>6.3</v>
      </c>
    </row>
    <row r="26" spans="1:15" x14ac:dyDescent="0.25">
      <c r="J26" s="426"/>
      <c r="K26" s="120" t="s">
        <v>170</v>
      </c>
      <c r="L26" s="118">
        <v>1.1000000000000001</v>
      </c>
      <c r="M26" s="118">
        <v>3.3</v>
      </c>
      <c r="N26" s="118">
        <v>1.1000000000000001</v>
      </c>
      <c r="O26" s="118">
        <v>1.3</v>
      </c>
    </row>
    <row r="27" spans="1:15" x14ac:dyDescent="0.25">
      <c r="J27" s="426"/>
      <c r="K27" s="120" t="s">
        <v>171</v>
      </c>
      <c r="L27" s="118">
        <v>1.1000000000000001</v>
      </c>
      <c r="M27" s="118">
        <v>2.4</v>
      </c>
      <c r="N27" s="118">
        <v>1.1000000000000001</v>
      </c>
      <c r="O27" s="118">
        <v>1.3</v>
      </c>
    </row>
    <row r="28" spans="1:15" x14ac:dyDescent="0.25">
      <c r="J28" s="426"/>
      <c r="K28" s="120" t="s">
        <v>172</v>
      </c>
      <c r="L28" s="118">
        <v>0.7</v>
      </c>
      <c r="M28" s="118">
        <v>2.6</v>
      </c>
      <c r="N28" s="118">
        <v>0.7</v>
      </c>
      <c r="O28" s="118">
        <v>1</v>
      </c>
    </row>
    <row r="29" spans="1:15" x14ac:dyDescent="0.25">
      <c r="J29" s="426"/>
      <c r="K29" s="120" t="s">
        <v>173</v>
      </c>
      <c r="L29" s="118">
        <v>2.5</v>
      </c>
      <c r="M29" s="118">
        <v>9</v>
      </c>
      <c r="N29" s="118">
        <v>2.5</v>
      </c>
      <c r="O29" s="118">
        <v>6.3</v>
      </c>
    </row>
    <row r="30" spans="1:15" x14ac:dyDescent="0.25">
      <c r="J30" s="426"/>
      <c r="K30" s="120" t="s">
        <v>174</v>
      </c>
      <c r="L30" s="118">
        <v>4</v>
      </c>
      <c r="M30" s="118">
        <v>11</v>
      </c>
      <c r="N30" s="118">
        <v>4</v>
      </c>
      <c r="O30" s="118">
        <v>7.1</v>
      </c>
    </row>
    <row r="31" spans="1:15" x14ac:dyDescent="0.25">
      <c r="J31" s="426"/>
      <c r="K31" s="120" t="s">
        <v>175</v>
      </c>
      <c r="L31" s="118">
        <v>3.7</v>
      </c>
      <c r="M31" s="118">
        <v>10.199999999999999</v>
      </c>
      <c r="N31" s="118">
        <v>3.7</v>
      </c>
      <c r="O31" s="118">
        <v>5.9</v>
      </c>
    </row>
    <row r="32" spans="1:15" x14ac:dyDescent="0.25">
      <c r="J32" s="426"/>
      <c r="K32" s="120" t="s">
        <v>176</v>
      </c>
      <c r="L32" s="118">
        <v>3.3</v>
      </c>
      <c r="M32" s="118">
        <v>7.4</v>
      </c>
      <c r="N32" s="118">
        <v>3.3</v>
      </c>
      <c r="O32" s="118">
        <v>5</v>
      </c>
    </row>
    <row r="33" spans="1:15" x14ac:dyDescent="0.25">
      <c r="J33" s="426"/>
      <c r="K33" s="120" t="s">
        <v>177</v>
      </c>
      <c r="L33" s="118">
        <v>3.3</v>
      </c>
      <c r="M33" s="118">
        <v>10.5</v>
      </c>
      <c r="N33" s="118">
        <v>3.3</v>
      </c>
      <c r="O33" s="118">
        <v>5.9</v>
      </c>
    </row>
    <row r="34" spans="1:15" x14ac:dyDescent="0.25">
      <c r="J34" s="426"/>
      <c r="K34" s="116" t="s">
        <v>267</v>
      </c>
      <c r="L34" s="116">
        <f>AVERAGE(L22:L33)</f>
        <v>2.4166666666666665</v>
      </c>
      <c r="M34" s="116">
        <f>MAX(M22:M33)</f>
        <v>12</v>
      </c>
      <c r="N34" s="116">
        <f>AVERAGE(N22:N33)</f>
        <v>2.4166666666666665</v>
      </c>
      <c r="O34" s="116">
        <f>MAX(O22:O33)</f>
        <v>7.1</v>
      </c>
    </row>
    <row r="36" spans="1:15" ht="41.4" x14ac:dyDescent="0.25">
      <c r="J36" s="115">
        <f>+A6</f>
        <v>2022</v>
      </c>
      <c r="K36" s="115" t="s">
        <v>265</v>
      </c>
      <c r="L36" s="121" t="s">
        <v>161</v>
      </c>
      <c r="M36" s="121" t="s">
        <v>162</v>
      </c>
      <c r="N36" s="121" t="s">
        <v>164</v>
      </c>
      <c r="O36" s="121" t="s">
        <v>165</v>
      </c>
    </row>
    <row r="37" spans="1:15" x14ac:dyDescent="0.25">
      <c r="J37" s="426" t="s">
        <v>114</v>
      </c>
      <c r="K37" s="120" t="s">
        <v>166</v>
      </c>
      <c r="L37" s="118"/>
      <c r="M37" s="118"/>
      <c r="N37" s="118"/>
      <c r="O37" s="118"/>
    </row>
    <row r="38" spans="1:15" x14ac:dyDescent="0.25">
      <c r="J38" s="426"/>
      <c r="K38" s="120" t="s">
        <v>167</v>
      </c>
      <c r="L38" s="118"/>
      <c r="M38" s="118"/>
      <c r="N38" s="118"/>
      <c r="O38" s="118"/>
    </row>
    <row r="39" spans="1:15" x14ac:dyDescent="0.25">
      <c r="J39" s="426"/>
      <c r="K39" s="120" t="s">
        <v>168</v>
      </c>
      <c r="L39" s="118"/>
      <c r="M39" s="118"/>
      <c r="N39" s="118"/>
      <c r="O39" s="118"/>
    </row>
    <row r="40" spans="1:15" x14ac:dyDescent="0.25">
      <c r="J40" s="426"/>
      <c r="K40" s="120" t="s">
        <v>169</v>
      </c>
      <c r="L40" s="118"/>
      <c r="M40" s="118"/>
      <c r="N40" s="118"/>
      <c r="O40" s="118"/>
    </row>
    <row r="41" spans="1:15" x14ac:dyDescent="0.25">
      <c r="J41" s="426"/>
      <c r="K41" s="120" t="s">
        <v>170</v>
      </c>
      <c r="L41" s="118"/>
      <c r="M41" s="118"/>
      <c r="N41" s="118"/>
      <c r="O41" s="118"/>
    </row>
    <row r="42" spans="1:15" x14ac:dyDescent="0.25">
      <c r="J42" s="426"/>
      <c r="K42" s="120" t="s">
        <v>171</v>
      </c>
      <c r="L42" s="118"/>
      <c r="M42" s="118"/>
      <c r="N42" s="118"/>
      <c r="O42" s="118"/>
    </row>
    <row r="43" spans="1:15" x14ac:dyDescent="0.25">
      <c r="J43" s="426"/>
      <c r="K43" s="120" t="s">
        <v>172</v>
      </c>
      <c r="L43" s="118"/>
      <c r="M43" s="118"/>
      <c r="N43" s="118"/>
      <c r="O43" s="118"/>
    </row>
    <row r="44" spans="1:15" x14ac:dyDescent="0.25">
      <c r="J44" s="426"/>
      <c r="K44" s="120" t="s">
        <v>173</v>
      </c>
      <c r="L44" s="118"/>
      <c r="M44" s="118"/>
      <c r="N44" s="118"/>
      <c r="O44" s="118"/>
    </row>
    <row r="45" spans="1:15" x14ac:dyDescent="0.25">
      <c r="J45" s="426"/>
      <c r="K45" s="120" t="s">
        <v>174</v>
      </c>
      <c r="L45" s="118"/>
      <c r="M45" s="118"/>
      <c r="N45" s="118"/>
      <c r="O45" s="118"/>
    </row>
    <row r="46" spans="1:15" x14ac:dyDescent="0.25">
      <c r="J46" s="426"/>
      <c r="K46" s="120" t="s">
        <v>175</v>
      </c>
      <c r="L46" s="118"/>
      <c r="M46" s="118"/>
      <c r="N46" s="118"/>
      <c r="O46" s="118"/>
    </row>
    <row r="47" spans="1:15" x14ac:dyDescent="0.25">
      <c r="J47" s="426"/>
      <c r="K47" s="120" t="s">
        <v>176</v>
      </c>
      <c r="L47" s="118"/>
      <c r="M47" s="118"/>
      <c r="N47" s="118"/>
      <c r="O47" s="118"/>
    </row>
    <row r="48" spans="1:15" x14ac:dyDescent="0.25">
      <c r="A48" s="438" t="s">
        <v>208</v>
      </c>
      <c r="B48" s="439"/>
      <c r="C48" s="439"/>
      <c r="D48" s="439"/>
      <c r="E48" s="439"/>
      <c r="F48" s="439"/>
      <c r="G48" s="440"/>
      <c r="J48" s="426"/>
      <c r="K48" s="120" t="s">
        <v>177</v>
      </c>
      <c r="L48" s="118"/>
      <c r="M48" s="118"/>
      <c r="N48" s="118"/>
      <c r="O48" s="118"/>
    </row>
    <row r="49" spans="1:15" x14ac:dyDescent="0.25">
      <c r="A49" s="429"/>
      <c r="B49" s="430"/>
      <c r="C49" s="430"/>
      <c r="D49" s="430"/>
      <c r="E49" s="430"/>
      <c r="F49" s="430"/>
      <c r="G49" s="431"/>
      <c r="J49" s="426"/>
      <c r="K49" s="116" t="s">
        <v>267</v>
      </c>
      <c r="L49" s="116" t="e">
        <f>AVERAGE(L37:L48)</f>
        <v>#DIV/0!</v>
      </c>
      <c r="M49" s="116">
        <f>MAX(M37:M48)</f>
        <v>0</v>
      </c>
      <c r="N49" s="116" t="e">
        <f>AVERAGE(N37:N48)</f>
        <v>#DIV/0!</v>
      </c>
      <c r="O49" s="116">
        <f>MAX(O37:O48)</f>
        <v>0</v>
      </c>
    </row>
    <row r="50" spans="1:15" x14ac:dyDescent="0.25">
      <c r="A50" s="432"/>
      <c r="B50" s="433"/>
      <c r="C50" s="433"/>
      <c r="D50" s="433"/>
      <c r="E50" s="433"/>
      <c r="F50" s="433"/>
      <c r="G50" s="434"/>
    </row>
    <row r="51" spans="1:15" ht="41.4" x14ac:dyDescent="0.25">
      <c r="A51" s="432"/>
      <c r="B51" s="433"/>
      <c r="C51" s="433"/>
      <c r="D51" s="433"/>
      <c r="E51" s="433"/>
      <c r="F51" s="433"/>
      <c r="G51" s="434"/>
      <c r="J51" s="115">
        <f>+A6</f>
        <v>2022</v>
      </c>
      <c r="K51" s="115" t="s">
        <v>265</v>
      </c>
      <c r="L51" s="121" t="s">
        <v>161</v>
      </c>
      <c r="M51" s="121" t="s">
        <v>162</v>
      </c>
      <c r="N51" s="121" t="s">
        <v>164</v>
      </c>
      <c r="O51" s="121" t="s">
        <v>165</v>
      </c>
    </row>
    <row r="52" spans="1:15" x14ac:dyDescent="0.25">
      <c r="A52" s="435"/>
      <c r="B52" s="436"/>
      <c r="C52" s="436"/>
      <c r="D52" s="436"/>
      <c r="E52" s="436"/>
      <c r="F52" s="436"/>
      <c r="G52" s="437"/>
      <c r="J52" s="426" t="s">
        <v>115</v>
      </c>
      <c r="K52" s="120" t="s">
        <v>166</v>
      </c>
      <c r="L52" s="118"/>
      <c r="M52" s="118"/>
      <c r="N52" s="118"/>
      <c r="O52" s="118"/>
    </row>
    <row r="53" spans="1:15" x14ac:dyDescent="0.25">
      <c r="J53" s="426"/>
      <c r="K53" s="120" t="s">
        <v>167</v>
      </c>
      <c r="L53" s="118"/>
      <c r="M53" s="118"/>
      <c r="N53" s="118"/>
      <c r="O53" s="118"/>
    </row>
    <row r="54" spans="1:15" x14ac:dyDescent="0.25">
      <c r="C54" s="197">
        <v>44981</v>
      </c>
      <c r="J54" s="426"/>
      <c r="K54" s="120" t="s">
        <v>168</v>
      </c>
      <c r="L54" s="118"/>
      <c r="M54" s="118"/>
      <c r="N54" s="118"/>
      <c r="O54" s="118"/>
    </row>
    <row r="55" spans="1:15" x14ac:dyDescent="0.25">
      <c r="J55" s="426"/>
      <c r="K55" s="120" t="s">
        <v>169</v>
      </c>
      <c r="L55" s="118"/>
      <c r="M55" s="118"/>
      <c r="N55" s="118"/>
      <c r="O55" s="118"/>
    </row>
    <row r="56" spans="1:15" x14ac:dyDescent="0.25">
      <c r="J56" s="426"/>
      <c r="K56" s="120" t="s">
        <v>170</v>
      </c>
      <c r="L56" s="118"/>
      <c r="M56" s="118"/>
      <c r="N56" s="118"/>
      <c r="O56" s="118"/>
    </row>
    <row r="57" spans="1:15" x14ac:dyDescent="0.25">
      <c r="J57" s="426"/>
      <c r="K57" s="120" t="s">
        <v>171</v>
      </c>
      <c r="L57" s="118"/>
      <c r="M57" s="118"/>
      <c r="N57" s="118"/>
      <c r="O57" s="118"/>
    </row>
    <row r="58" spans="1:15" x14ac:dyDescent="0.25">
      <c r="J58" s="426"/>
      <c r="K58" s="120" t="s">
        <v>172</v>
      </c>
      <c r="L58" s="118"/>
      <c r="M58" s="118"/>
      <c r="N58" s="118"/>
      <c r="O58" s="118"/>
    </row>
    <row r="59" spans="1:15" x14ac:dyDescent="0.25">
      <c r="J59" s="426"/>
      <c r="K59" s="120" t="s">
        <v>173</v>
      </c>
      <c r="L59" s="118"/>
      <c r="M59" s="118"/>
      <c r="N59" s="118"/>
      <c r="O59" s="118"/>
    </row>
    <row r="60" spans="1:15" x14ac:dyDescent="0.25">
      <c r="J60" s="426"/>
      <c r="K60" s="120" t="s">
        <v>174</v>
      </c>
      <c r="L60" s="118"/>
      <c r="M60" s="118"/>
      <c r="N60" s="118"/>
      <c r="O60" s="118"/>
    </row>
    <row r="61" spans="1:15" x14ac:dyDescent="0.25">
      <c r="J61" s="426"/>
      <c r="K61" s="120" t="s">
        <v>175</v>
      </c>
      <c r="L61" s="118"/>
      <c r="M61" s="118"/>
      <c r="N61" s="118"/>
      <c r="O61" s="118"/>
    </row>
    <row r="62" spans="1:15" x14ac:dyDescent="0.25">
      <c r="J62" s="426"/>
      <c r="K62" s="120" t="s">
        <v>176</v>
      </c>
      <c r="L62" s="118"/>
      <c r="M62" s="118"/>
      <c r="N62" s="118"/>
      <c r="O62" s="118"/>
    </row>
    <row r="63" spans="1:15" x14ac:dyDescent="0.25">
      <c r="J63" s="426"/>
      <c r="K63" s="120" t="s">
        <v>177</v>
      </c>
      <c r="L63" s="118"/>
      <c r="M63" s="118"/>
      <c r="N63" s="118"/>
      <c r="O63" s="118"/>
    </row>
    <row r="64" spans="1:15" x14ac:dyDescent="0.25">
      <c r="J64" s="426"/>
      <c r="K64" s="116" t="s">
        <v>267</v>
      </c>
      <c r="L64" s="116" t="e">
        <f>AVERAGE(L52:L63)</f>
        <v>#DIV/0!</v>
      </c>
      <c r="M64" s="116">
        <f>MAX(M52:M63)</f>
        <v>0</v>
      </c>
      <c r="N64" s="116" t="e">
        <f>AVERAGE(N52:N63)</f>
        <v>#DIV/0!</v>
      </c>
      <c r="O64" s="116">
        <f>MAX(O52:O63)</f>
        <v>0</v>
      </c>
    </row>
    <row r="66" spans="10:15" ht="41.4" x14ac:dyDescent="0.25">
      <c r="J66" s="115">
        <f>+A6</f>
        <v>2022</v>
      </c>
      <c r="K66" s="115" t="s">
        <v>265</v>
      </c>
      <c r="L66" s="121" t="s">
        <v>161</v>
      </c>
      <c r="M66" s="121" t="s">
        <v>162</v>
      </c>
      <c r="N66" s="121" t="s">
        <v>164</v>
      </c>
      <c r="O66" s="121" t="s">
        <v>165</v>
      </c>
    </row>
    <row r="67" spans="10:15" x14ac:dyDescent="0.25">
      <c r="J67" s="426" t="s">
        <v>116</v>
      </c>
      <c r="K67" s="120" t="s">
        <v>166</v>
      </c>
      <c r="L67" s="118"/>
      <c r="M67" s="118"/>
      <c r="N67" s="118"/>
      <c r="O67" s="118"/>
    </row>
    <row r="68" spans="10:15" x14ac:dyDescent="0.25">
      <c r="J68" s="426"/>
      <c r="K68" s="120" t="s">
        <v>167</v>
      </c>
      <c r="L68" s="118"/>
      <c r="M68" s="118"/>
      <c r="N68" s="118"/>
      <c r="O68" s="118"/>
    </row>
    <row r="69" spans="10:15" x14ac:dyDescent="0.25">
      <c r="J69" s="426"/>
      <c r="K69" s="120" t="s">
        <v>168</v>
      </c>
      <c r="L69" s="118"/>
      <c r="M69" s="118"/>
      <c r="N69" s="118"/>
      <c r="O69" s="118"/>
    </row>
    <row r="70" spans="10:15" x14ac:dyDescent="0.25">
      <c r="J70" s="426"/>
      <c r="K70" s="120" t="s">
        <v>169</v>
      </c>
      <c r="L70" s="118"/>
      <c r="M70" s="118"/>
      <c r="N70" s="118"/>
      <c r="O70" s="118"/>
    </row>
    <row r="71" spans="10:15" x14ac:dyDescent="0.25">
      <c r="J71" s="426"/>
      <c r="K71" s="120" t="s">
        <v>170</v>
      </c>
      <c r="L71" s="118"/>
      <c r="M71" s="118"/>
      <c r="N71" s="118"/>
      <c r="O71" s="118"/>
    </row>
    <row r="72" spans="10:15" x14ac:dyDescent="0.25">
      <c r="J72" s="426"/>
      <c r="K72" s="120" t="s">
        <v>171</v>
      </c>
      <c r="L72" s="118"/>
      <c r="M72" s="118"/>
      <c r="N72" s="118"/>
      <c r="O72" s="118"/>
    </row>
    <row r="73" spans="10:15" x14ac:dyDescent="0.25">
      <c r="J73" s="426"/>
      <c r="K73" s="120" t="s">
        <v>172</v>
      </c>
      <c r="L73" s="118"/>
      <c r="M73" s="118"/>
      <c r="N73" s="118"/>
      <c r="O73" s="118"/>
    </row>
    <row r="74" spans="10:15" x14ac:dyDescent="0.25">
      <c r="J74" s="426"/>
      <c r="K74" s="120" t="s">
        <v>173</v>
      </c>
      <c r="L74" s="118"/>
      <c r="M74" s="118"/>
      <c r="N74" s="118"/>
      <c r="O74" s="118"/>
    </row>
    <row r="75" spans="10:15" x14ac:dyDescent="0.25">
      <c r="J75" s="426"/>
      <c r="K75" s="120" t="s">
        <v>174</v>
      </c>
      <c r="L75" s="118"/>
      <c r="M75" s="118"/>
      <c r="N75" s="118"/>
      <c r="O75" s="118"/>
    </row>
    <row r="76" spans="10:15" x14ac:dyDescent="0.25">
      <c r="J76" s="426"/>
      <c r="K76" s="120" t="s">
        <v>175</v>
      </c>
      <c r="L76" s="118"/>
      <c r="M76" s="118"/>
      <c r="N76" s="118"/>
      <c r="O76" s="118"/>
    </row>
    <row r="77" spans="10:15" x14ac:dyDescent="0.25">
      <c r="J77" s="426"/>
      <c r="K77" s="120" t="s">
        <v>176</v>
      </c>
      <c r="L77" s="118"/>
      <c r="M77" s="118"/>
      <c r="N77" s="118"/>
      <c r="O77" s="118"/>
    </row>
    <row r="78" spans="10:15" x14ac:dyDescent="0.25">
      <c r="J78" s="426"/>
      <c r="K78" s="120" t="s">
        <v>177</v>
      </c>
      <c r="L78" s="118"/>
      <c r="M78" s="118"/>
      <c r="N78" s="118"/>
      <c r="O78" s="118"/>
    </row>
    <row r="79" spans="10:15" x14ac:dyDescent="0.25">
      <c r="J79" s="426"/>
      <c r="K79" s="116" t="s">
        <v>267</v>
      </c>
      <c r="L79" s="116" t="e">
        <f>AVERAGE(L67:L78)</f>
        <v>#DIV/0!</v>
      </c>
      <c r="M79" s="116">
        <f>MAX(M67:M78)</f>
        <v>0</v>
      </c>
      <c r="N79" s="116" t="e">
        <f>AVERAGE(N67:N78)</f>
        <v>#DIV/0!</v>
      </c>
      <c r="O79" s="116">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view="pageBreakPreview" zoomScaleNormal="85" zoomScaleSheetLayoutView="100" workbookViewId="0">
      <selection activeCell="C52" sqref="C52"/>
    </sheetView>
  </sheetViews>
  <sheetFormatPr defaultRowHeight="13.8" x14ac:dyDescent="0.25"/>
  <cols>
    <col min="1" max="1" width="14" style="3" customWidth="1"/>
    <col min="2" max="4" width="17" style="70" customWidth="1"/>
    <col min="5" max="5" width="14.77734375" style="70" customWidth="1"/>
    <col min="6" max="7" width="17" style="70"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2"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x14ac:dyDescent="0.25">
      <c r="A1" s="2" t="str">
        <f>+'Cover Page'!$B$29</f>
        <v>Annual Performance Report 2022</v>
      </c>
      <c r="B1" s="2"/>
      <c r="C1" s="2"/>
      <c r="D1" s="2"/>
      <c r="E1" s="2" t="str">
        <f>+'Cover Page'!$B$33</f>
        <v>Severnside Energy Recovery Centre</v>
      </c>
      <c r="F1" s="2"/>
      <c r="G1" s="2"/>
    </row>
    <row r="3" spans="1:19" ht="14.4" x14ac:dyDescent="0.3">
      <c r="A3" s="114" t="s">
        <v>268</v>
      </c>
      <c r="D3" s="132" t="s">
        <v>299</v>
      </c>
      <c r="G3" s="136" t="s">
        <v>306</v>
      </c>
      <c r="J3" s="10" t="str">
        <f>+A3</f>
        <v>Monitoring of Sulphur dioxide emissions</v>
      </c>
      <c r="L3" s="10"/>
      <c r="N3" s="10" t="s">
        <v>300</v>
      </c>
      <c r="Q3" s="135" t="s">
        <v>294</v>
      </c>
      <c r="R3" s="130"/>
      <c r="S3" s="130"/>
    </row>
    <row r="4" spans="1:19" ht="13.95" customHeight="1" x14ac:dyDescent="0.25">
      <c r="Q4" s="417" t="s">
        <v>304</v>
      </c>
      <c r="R4" s="417"/>
      <c r="S4" s="417"/>
    </row>
    <row r="5" spans="1:19" ht="16.2" x14ac:dyDescent="0.25">
      <c r="A5" s="122" t="s">
        <v>266</v>
      </c>
      <c r="B5" s="428" t="s">
        <v>264</v>
      </c>
      <c r="C5" s="428"/>
      <c r="D5" s="428"/>
      <c r="E5" s="428" t="s">
        <v>263</v>
      </c>
      <c r="F5" s="428"/>
      <c r="G5" s="428"/>
      <c r="J5" s="427"/>
      <c r="K5" s="427"/>
      <c r="L5" s="427"/>
      <c r="M5" s="427"/>
      <c r="N5" s="427"/>
      <c r="O5" s="427"/>
      <c r="Q5" s="417"/>
      <c r="R5" s="417"/>
      <c r="S5" s="417"/>
    </row>
    <row r="6" spans="1:19" s="112" customFormat="1" ht="37.5" customHeight="1" x14ac:dyDescent="0.3">
      <c r="A6" s="119">
        <f>+'Cover Page'!C39</f>
        <v>2022</v>
      </c>
      <c r="B6" s="108" t="s">
        <v>178</v>
      </c>
      <c r="C6" s="108" t="s">
        <v>161</v>
      </c>
      <c r="D6" s="108" t="s">
        <v>315</v>
      </c>
      <c r="E6" s="108" t="s">
        <v>179</v>
      </c>
      <c r="F6" s="108" t="s">
        <v>164</v>
      </c>
      <c r="G6" s="108" t="s">
        <v>316</v>
      </c>
      <c r="H6" s="113"/>
      <c r="J6" s="115">
        <f>+A6</f>
        <v>2022</v>
      </c>
      <c r="K6" s="115" t="s">
        <v>265</v>
      </c>
      <c r="L6" s="121" t="s">
        <v>161</v>
      </c>
      <c r="M6" s="121" t="s">
        <v>162</v>
      </c>
      <c r="N6" s="121" t="s">
        <v>164</v>
      </c>
      <c r="O6" s="121" t="s">
        <v>165</v>
      </c>
      <c r="Q6" s="417"/>
      <c r="R6" s="417"/>
      <c r="S6" s="417"/>
    </row>
    <row r="7" spans="1:19" x14ac:dyDescent="0.25">
      <c r="A7" s="120" t="s">
        <v>166</v>
      </c>
      <c r="B7" s="117">
        <v>200</v>
      </c>
      <c r="C7" s="118">
        <f>AVERAGE(L7,L22)</f>
        <v>11</v>
      </c>
      <c r="D7" s="118">
        <f>AVERAGE(M7,M22)</f>
        <v>195.5</v>
      </c>
      <c r="E7" s="117">
        <v>50</v>
      </c>
      <c r="F7" s="118">
        <f>AVERAGE(N7,N22)</f>
        <v>11</v>
      </c>
      <c r="G7" s="118">
        <f>AVERAGE(O7,O22)</f>
        <v>18.5</v>
      </c>
      <c r="J7" s="426" t="s">
        <v>112</v>
      </c>
      <c r="K7" s="120" t="s">
        <v>166</v>
      </c>
      <c r="L7" s="118">
        <v>11</v>
      </c>
      <c r="M7" s="118">
        <v>224</v>
      </c>
      <c r="N7" s="118">
        <v>11</v>
      </c>
      <c r="O7" s="118">
        <v>21</v>
      </c>
      <c r="Q7" s="417"/>
      <c r="R7" s="417"/>
      <c r="S7" s="417"/>
    </row>
    <row r="8" spans="1:19" x14ac:dyDescent="0.25">
      <c r="A8" s="120" t="s">
        <v>167</v>
      </c>
      <c r="B8" s="117">
        <v>200</v>
      </c>
      <c r="C8" s="118">
        <f t="shared" ref="C8:D8" si="0">AVERAGE(L8,L23)</f>
        <v>12.5</v>
      </c>
      <c r="D8" s="118">
        <f t="shared" si="0"/>
        <v>126</v>
      </c>
      <c r="E8" s="117">
        <v>50</v>
      </c>
      <c r="F8" s="118">
        <f t="shared" ref="F8:G8" si="1">AVERAGE(N8,N23)</f>
        <v>12.5</v>
      </c>
      <c r="G8" s="118">
        <f t="shared" si="1"/>
        <v>20.5</v>
      </c>
      <c r="J8" s="426"/>
      <c r="K8" s="120" t="s">
        <v>167</v>
      </c>
      <c r="L8" s="118">
        <v>11</v>
      </c>
      <c r="M8" s="118">
        <v>159</v>
      </c>
      <c r="N8" s="118">
        <v>11</v>
      </c>
      <c r="O8" s="118">
        <v>18</v>
      </c>
      <c r="Q8" s="417"/>
      <c r="R8" s="417"/>
      <c r="S8" s="417"/>
    </row>
    <row r="9" spans="1:19" x14ac:dyDescent="0.25">
      <c r="A9" s="120" t="s">
        <v>168</v>
      </c>
      <c r="B9" s="117">
        <v>200</v>
      </c>
      <c r="C9" s="118">
        <f t="shared" ref="C9:D9" si="2">AVERAGE(L9,L24)</f>
        <v>13</v>
      </c>
      <c r="D9" s="118">
        <f t="shared" si="2"/>
        <v>77</v>
      </c>
      <c r="E9" s="117">
        <v>50</v>
      </c>
      <c r="F9" s="118">
        <f t="shared" ref="F9:G9" si="3">AVERAGE(N9,N24)</f>
        <v>13</v>
      </c>
      <c r="G9" s="118">
        <f t="shared" si="3"/>
        <v>21.5</v>
      </c>
      <c r="J9" s="426"/>
      <c r="K9" s="120" t="s">
        <v>168</v>
      </c>
      <c r="L9" s="118">
        <v>10</v>
      </c>
      <c r="M9" s="118">
        <v>58</v>
      </c>
      <c r="N9" s="118">
        <v>10</v>
      </c>
      <c r="O9" s="118">
        <v>19</v>
      </c>
      <c r="Q9" s="134" t="s">
        <v>305</v>
      </c>
    </row>
    <row r="10" spans="1:19" ht="14.25" customHeight="1" x14ac:dyDescent="0.25">
      <c r="A10" s="120" t="s">
        <v>169</v>
      </c>
      <c r="B10" s="117">
        <v>200</v>
      </c>
      <c r="C10" s="118">
        <f t="shared" ref="C10:D10" si="4">AVERAGE(L10,L25)</f>
        <v>10.5</v>
      </c>
      <c r="D10" s="118">
        <f t="shared" si="4"/>
        <v>61.5</v>
      </c>
      <c r="E10" s="117">
        <v>50</v>
      </c>
      <c r="F10" s="118">
        <f t="shared" ref="F10:G10" si="5">AVERAGE(N10,N25)</f>
        <v>10.5</v>
      </c>
      <c r="G10" s="118">
        <f t="shared" si="5"/>
        <v>18</v>
      </c>
      <c r="J10" s="426"/>
      <c r="K10" s="120" t="s">
        <v>169</v>
      </c>
      <c r="L10" s="118">
        <v>10</v>
      </c>
      <c r="M10" s="118">
        <v>69</v>
      </c>
      <c r="N10" s="118">
        <v>10</v>
      </c>
      <c r="O10" s="118">
        <v>17</v>
      </c>
      <c r="Q10" s="425" t="s">
        <v>320</v>
      </c>
      <c r="R10" s="425"/>
      <c r="S10" s="425"/>
    </row>
    <row r="11" spans="1:19" x14ac:dyDescent="0.25">
      <c r="A11" s="120" t="s">
        <v>170</v>
      </c>
      <c r="B11" s="117">
        <v>200</v>
      </c>
      <c r="C11" s="118">
        <f t="shared" ref="C11:D11" si="6">AVERAGE(L11,L26)</f>
        <v>10</v>
      </c>
      <c r="D11" s="118">
        <f t="shared" si="6"/>
        <v>56.5</v>
      </c>
      <c r="E11" s="117">
        <v>50</v>
      </c>
      <c r="F11" s="118">
        <f t="shared" ref="F11:G11" si="7">AVERAGE(N11,N26)</f>
        <v>10</v>
      </c>
      <c r="G11" s="118">
        <f t="shared" si="7"/>
        <v>16</v>
      </c>
      <c r="J11" s="426"/>
      <c r="K11" s="120" t="s">
        <v>170</v>
      </c>
      <c r="L11" s="118">
        <v>11</v>
      </c>
      <c r="M11" s="118">
        <v>69</v>
      </c>
      <c r="N11" s="118">
        <v>11</v>
      </c>
      <c r="O11" s="118">
        <v>18</v>
      </c>
      <c r="Q11" s="425"/>
      <c r="R11" s="425"/>
      <c r="S11" s="425"/>
    </row>
    <row r="12" spans="1:19" x14ac:dyDescent="0.25">
      <c r="A12" s="120" t="s">
        <v>171</v>
      </c>
      <c r="B12" s="117">
        <v>200</v>
      </c>
      <c r="C12" s="118">
        <f t="shared" ref="C12:D12" si="8">AVERAGE(L12,L27)</f>
        <v>10.5</v>
      </c>
      <c r="D12" s="118">
        <f t="shared" si="8"/>
        <v>65.5</v>
      </c>
      <c r="E12" s="117">
        <v>50</v>
      </c>
      <c r="F12" s="118">
        <f t="shared" ref="F12:G12" si="9">AVERAGE(N12,N27)</f>
        <v>10.5</v>
      </c>
      <c r="G12" s="118">
        <f t="shared" si="9"/>
        <v>17.5</v>
      </c>
      <c r="J12" s="426"/>
      <c r="K12" s="120" t="s">
        <v>171</v>
      </c>
      <c r="L12" s="118">
        <v>10</v>
      </c>
      <c r="M12" s="118">
        <v>72</v>
      </c>
      <c r="N12" s="118">
        <v>10</v>
      </c>
      <c r="O12" s="118">
        <v>18</v>
      </c>
      <c r="Q12" s="425"/>
      <c r="R12" s="425"/>
      <c r="S12" s="425"/>
    </row>
    <row r="13" spans="1:19" ht="14.25" customHeight="1" x14ac:dyDescent="0.25">
      <c r="A13" s="120" t="s">
        <v>172</v>
      </c>
      <c r="B13" s="117">
        <v>200</v>
      </c>
      <c r="C13" s="118">
        <f t="shared" ref="C13:D13" si="10">AVERAGE(L13,L28)</f>
        <v>8.5</v>
      </c>
      <c r="D13" s="118">
        <f t="shared" si="10"/>
        <v>89</v>
      </c>
      <c r="E13" s="117">
        <v>50</v>
      </c>
      <c r="F13" s="118">
        <f t="shared" ref="F13:G13" si="11">AVERAGE(N13,N28)</f>
        <v>8.5</v>
      </c>
      <c r="G13" s="118">
        <f t="shared" si="11"/>
        <v>14.5</v>
      </c>
      <c r="J13" s="426"/>
      <c r="K13" s="120" t="s">
        <v>172</v>
      </c>
      <c r="L13" s="118">
        <v>9</v>
      </c>
      <c r="M13" s="118">
        <v>147</v>
      </c>
      <c r="N13" s="118">
        <v>9</v>
      </c>
      <c r="O13" s="118">
        <v>19</v>
      </c>
      <c r="Q13" s="425" t="s">
        <v>326</v>
      </c>
      <c r="R13" s="425"/>
      <c r="S13" s="425"/>
    </row>
    <row r="14" spans="1:19" x14ac:dyDescent="0.25">
      <c r="A14" s="120" t="s">
        <v>173</v>
      </c>
      <c r="B14" s="117">
        <v>200</v>
      </c>
      <c r="C14" s="118">
        <f t="shared" ref="C14:D14" si="12">AVERAGE(L14,L29)</f>
        <v>12</v>
      </c>
      <c r="D14" s="118">
        <f t="shared" si="12"/>
        <v>79.5</v>
      </c>
      <c r="E14" s="117">
        <v>50</v>
      </c>
      <c r="F14" s="118">
        <f t="shared" ref="F14:G14" si="13">AVERAGE(N14,N29)</f>
        <v>12</v>
      </c>
      <c r="G14" s="118">
        <f t="shared" si="13"/>
        <v>26.5</v>
      </c>
      <c r="J14" s="426"/>
      <c r="K14" s="120" t="s">
        <v>173</v>
      </c>
      <c r="L14" s="118">
        <v>15</v>
      </c>
      <c r="M14" s="118">
        <v>81</v>
      </c>
      <c r="N14" s="118">
        <v>15</v>
      </c>
      <c r="O14" s="118">
        <v>33</v>
      </c>
      <c r="Q14" s="425"/>
      <c r="R14" s="425"/>
      <c r="S14" s="425"/>
    </row>
    <row r="15" spans="1:19" x14ac:dyDescent="0.25">
      <c r="A15" s="120" t="s">
        <v>174</v>
      </c>
      <c r="B15" s="117">
        <v>200</v>
      </c>
      <c r="C15" s="118">
        <f t="shared" ref="C15:D15" si="14">AVERAGE(L15,L30)</f>
        <v>8</v>
      </c>
      <c r="D15" s="118">
        <f t="shared" si="14"/>
        <v>87</v>
      </c>
      <c r="E15" s="117">
        <v>50</v>
      </c>
      <c r="F15" s="118">
        <f t="shared" ref="F15:G15" si="15">AVERAGE(N15,N30)</f>
        <v>8</v>
      </c>
      <c r="G15" s="118">
        <f t="shared" si="15"/>
        <v>17.5</v>
      </c>
      <c r="J15" s="426"/>
      <c r="K15" s="120" t="s">
        <v>174</v>
      </c>
      <c r="L15" s="118">
        <v>10</v>
      </c>
      <c r="M15" s="118">
        <v>77</v>
      </c>
      <c r="N15" s="118">
        <v>10</v>
      </c>
      <c r="O15" s="118">
        <v>23</v>
      </c>
      <c r="Q15" s="425"/>
      <c r="R15" s="425"/>
      <c r="S15" s="425"/>
    </row>
    <row r="16" spans="1:19" x14ac:dyDescent="0.25">
      <c r="A16" s="120" t="s">
        <v>175</v>
      </c>
      <c r="B16" s="117">
        <v>200</v>
      </c>
      <c r="C16" s="118">
        <f t="shared" ref="C16:D16" si="16">AVERAGE(L16,L31)</f>
        <v>8</v>
      </c>
      <c r="D16" s="118">
        <f t="shared" si="16"/>
        <v>62.5</v>
      </c>
      <c r="E16" s="117">
        <v>50</v>
      </c>
      <c r="F16" s="118">
        <f t="shared" ref="F16:G16" si="17">AVERAGE(N16,N31)</f>
        <v>8</v>
      </c>
      <c r="G16" s="118">
        <f t="shared" si="17"/>
        <v>15.5</v>
      </c>
      <c r="J16" s="426"/>
      <c r="K16" s="120" t="s">
        <v>175</v>
      </c>
      <c r="L16" s="118">
        <v>12</v>
      </c>
      <c r="M16" s="118">
        <v>65</v>
      </c>
      <c r="N16" s="118">
        <v>12</v>
      </c>
      <c r="O16" s="118">
        <v>20</v>
      </c>
      <c r="Q16" s="425"/>
      <c r="R16" s="425"/>
      <c r="S16" s="425"/>
    </row>
    <row r="17" spans="1:15" x14ac:dyDescent="0.25">
      <c r="A17" s="120" t="s">
        <v>176</v>
      </c>
      <c r="B17" s="117">
        <v>200</v>
      </c>
      <c r="C17" s="118">
        <f t="shared" ref="C17:D17" si="18">AVERAGE(L17,L32)</f>
        <v>8</v>
      </c>
      <c r="D17" s="118">
        <f t="shared" si="18"/>
        <v>59</v>
      </c>
      <c r="E17" s="117">
        <v>50</v>
      </c>
      <c r="F17" s="118">
        <f t="shared" ref="F17:G17" si="19">AVERAGE(N17,N32)</f>
        <v>8</v>
      </c>
      <c r="G17" s="118">
        <f t="shared" si="19"/>
        <v>15.5</v>
      </c>
      <c r="J17" s="426"/>
      <c r="K17" s="120" t="s">
        <v>176</v>
      </c>
      <c r="L17" s="118">
        <v>11</v>
      </c>
      <c r="M17" s="118">
        <v>56</v>
      </c>
      <c r="N17" s="118">
        <v>11</v>
      </c>
      <c r="O17" s="118">
        <v>18</v>
      </c>
    </row>
    <row r="18" spans="1:15" x14ac:dyDescent="0.25">
      <c r="A18" s="120" t="s">
        <v>177</v>
      </c>
      <c r="B18" s="117">
        <v>200</v>
      </c>
      <c r="C18" s="118">
        <f t="shared" ref="C18:D18" si="20">AVERAGE(L18,L33)</f>
        <v>9</v>
      </c>
      <c r="D18" s="118">
        <f t="shared" si="20"/>
        <v>99.5</v>
      </c>
      <c r="E18" s="117">
        <v>50</v>
      </c>
      <c r="F18" s="118">
        <f t="shared" ref="F18:G18" si="21">AVERAGE(N18,N33)</f>
        <v>9</v>
      </c>
      <c r="G18" s="118">
        <f t="shared" si="21"/>
        <v>17.5</v>
      </c>
      <c r="J18" s="426"/>
      <c r="K18" s="120" t="s">
        <v>177</v>
      </c>
      <c r="L18" s="118">
        <v>13</v>
      </c>
      <c r="M18" s="118">
        <v>94</v>
      </c>
      <c r="N18" s="118">
        <v>13</v>
      </c>
      <c r="O18" s="118">
        <v>20</v>
      </c>
    </row>
    <row r="19" spans="1:15" x14ac:dyDescent="0.25">
      <c r="J19" s="426"/>
      <c r="K19" s="116" t="s">
        <v>267</v>
      </c>
      <c r="L19" s="116">
        <f>AVERAGE(L7:L18)</f>
        <v>11.083333333333334</v>
      </c>
      <c r="M19" s="116">
        <f>MAX(M7:M18)</f>
        <v>224</v>
      </c>
      <c r="N19" s="116">
        <f>AVERAGE(N7:N18)</f>
        <v>11.083333333333334</v>
      </c>
      <c r="O19" s="116">
        <f>MAX(O7:O18)</f>
        <v>33</v>
      </c>
    </row>
    <row r="21" spans="1:15" ht="41.4" x14ac:dyDescent="0.25">
      <c r="J21" s="115">
        <f>+A6</f>
        <v>2022</v>
      </c>
      <c r="K21" s="115" t="s">
        <v>265</v>
      </c>
      <c r="L21" s="121" t="s">
        <v>161</v>
      </c>
      <c r="M21" s="121" t="s">
        <v>162</v>
      </c>
      <c r="N21" s="121" t="s">
        <v>164</v>
      </c>
      <c r="O21" s="121" t="s">
        <v>165</v>
      </c>
    </row>
    <row r="22" spans="1:15" x14ac:dyDescent="0.25">
      <c r="J22" s="426" t="s">
        <v>113</v>
      </c>
      <c r="K22" s="120" t="s">
        <v>166</v>
      </c>
      <c r="L22" s="118">
        <v>11</v>
      </c>
      <c r="M22" s="118">
        <v>167</v>
      </c>
      <c r="N22" s="118">
        <v>11</v>
      </c>
      <c r="O22" s="118">
        <v>16</v>
      </c>
    </row>
    <row r="23" spans="1:15" x14ac:dyDescent="0.25">
      <c r="J23" s="426"/>
      <c r="K23" s="120" t="s">
        <v>167</v>
      </c>
      <c r="L23" s="118">
        <v>14</v>
      </c>
      <c r="M23" s="118">
        <v>93</v>
      </c>
      <c r="N23" s="118">
        <v>14</v>
      </c>
      <c r="O23" s="118">
        <v>23</v>
      </c>
    </row>
    <row r="24" spans="1:15" x14ac:dyDescent="0.25">
      <c r="J24" s="426"/>
      <c r="K24" s="120" t="s">
        <v>168</v>
      </c>
      <c r="L24" s="118">
        <v>16</v>
      </c>
      <c r="M24" s="118">
        <v>96</v>
      </c>
      <c r="N24" s="118">
        <v>16</v>
      </c>
      <c r="O24" s="118">
        <v>24</v>
      </c>
    </row>
    <row r="25" spans="1:15" x14ac:dyDescent="0.25">
      <c r="J25" s="426"/>
      <c r="K25" s="120" t="s">
        <v>169</v>
      </c>
      <c r="L25" s="118">
        <v>11</v>
      </c>
      <c r="M25" s="118">
        <v>54</v>
      </c>
      <c r="N25" s="118">
        <v>11</v>
      </c>
      <c r="O25" s="118">
        <v>19</v>
      </c>
    </row>
    <row r="26" spans="1:15" x14ac:dyDescent="0.25">
      <c r="J26" s="426"/>
      <c r="K26" s="120" t="s">
        <v>170</v>
      </c>
      <c r="L26" s="118">
        <v>9</v>
      </c>
      <c r="M26" s="118">
        <v>44</v>
      </c>
      <c r="N26" s="118">
        <v>9</v>
      </c>
      <c r="O26" s="118">
        <v>14</v>
      </c>
    </row>
    <row r="27" spans="1:15" x14ac:dyDescent="0.25">
      <c r="J27" s="426"/>
      <c r="K27" s="120" t="s">
        <v>171</v>
      </c>
      <c r="L27" s="118">
        <v>11</v>
      </c>
      <c r="M27" s="118">
        <v>59</v>
      </c>
      <c r="N27" s="118">
        <v>11</v>
      </c>
      <c r="O27" s="118">
        <v>17</v>
      </c>
    </row>
    <row r="28" spans="1:15" x14ac:dyDescent="0.25">
      <c r="J28" s="426"/>
      <c r="K28" s="120" t="s">
        <v>172</v>
      </c>
      <c r="L28" s="118">
        <v>8</v>
      </c>
      <c r="M28" s="118">
        <v>31</v>
      </c>
      <c r="N28" s="118">
        <v>8</v>
      </c>
      <c r="O28" s="118">
        <v>10</v>
      </c>
    </row>
    <row r="29" spans="1:15" x14ac:dyDescent="0.25">
      <c r="J29" s="426"/>
      <c r="K29" s="120" t="s">
        <v>173</v>
      </c>
      <c r="L29" s="118">
        <v>9</v>
      </c>
      <c r="M29" s="118">
        <v>78</v>
      </c>
      <c r="N29" s="118">
        <v>9</v>
      </c>
      <c r="O29" s="118">
        <v>20</v>
      </c>
    </row>
    <row r="30" spans="1:15" x14ac:dyDescent="0.25">
      <c r="J30" s="426"/>
      <c r="K30" s="120" t="s">
        <v>174</v>
      </c>
      <c r="L30" s="118">
        <v>6</v>
      </c>
      <c r="M30" s="118">
        <v>97</v>
      </c>
      <c r="N30" s="118">
        <v>6</v>
      </c>
      <c r="O30" s="118">
        <v>12</v>
      </c>
    </row>
    <row r="31" spans="1:15" x14ac:dyDescent="0.25">
      <c r="J31" s="426"/>
      <c r="K31" s="120" t="s">
        <v>175</v>
      </c>
      <c r="L31" s="118">
        <v>4</v>
      </c>
      <c r="M31" s="118">
        <v>60</v>
      </c>
      <c r="N31" s="118">
        <v>4</v>
      </c>
      <c r="O31" s="118">
        <v>11</v>
      </c>
    </row>
    <row r="32" spans="1:15" x14ac:dyDescent="0.25">
      <c r="J32" s="426"/>
      <c r="K32" s="120" t="s">
        <v>176</v>
      </c>
      <c r="L32" s="118">
        <v>5</v>
      </c>
      <c r="M32" s="118">
        <v>62</v>
      </c>
      <c r="N32" s="118">
        <v>5</v>
      </c>
      <c r="O32" s="118">
        <v>13</v>
      </c>
    </row>
    <row r="33" spans="1:15" x14ac:dyDescent="0.25">
      <c r="J33" s="426"/>
      <c r="K33" s="120" t="s">
        <v>177</v>
      </c>
      <c r="L33" s="118">
        <v>5</v>
      </c>
      <c r="M33" s="118">
        <v>105</v>
      </c>
      <c r="N33" s="118">
        <v>5</v>
      </c>
      <c r="O33" s="118">
        <v>15</v>
      </c>
    </row>
    <row r="34" spans="1:15" x14ac:dyDescent="0.25">
      <c r="J34" s="426"/>
      <c r="K34" s="116" t="s">
        <v>267</v>
      </c>
      <c r="L34" s="116">
        <f>AVERAGE(L22:L33)</f>
        <v>9.0833333333333339</v>
      </c>
      <c r="M34" s="116">
        <f>MAX(M22:M33)</f>
        <v>167</v>
      </c>
      <c r="N34" s="116">
        <f>AVERAGE(N22:N33)</f>
        <v>9.0833333333333339</v>
      </c>
      <c r="O34" s="116">
        <f>MAX(O22:O33)</f>
        <v>24</v>
      </c>
    </row>
    <row r="36" spans="1:15" ht="41.4" x14ac:dyDescent="0.25">
      <c r="J36" s="115">
        <f>+A6</f>
        <v>2022</v>
      </c>
      <c r="K36" s="115" t="s">
        <v>265</v>
      </c>
      <c r="L36" s="121" t="s">
        <v>161</v>
      </c>
      <c r="M36" s="121" t="s">
        <v>162</v>
      </c>
      <c r="N36" s="121" t="s">
        <v>164</v>
      </c>
      <c r="O36" s="121" t="s">
        <v>165</v>
      </c>
    </row>
    <row r="37" spans="1:15" x14ac:dyDescent="0.25">
      <c r="J37" s="426" t="s">
        <v>114</v>
      </c>
      <c r="K37" s="120" t="s">
        <v>166</v>
      </c>
      <c r="L37" s="118"/>
      <c r="M37" s="118"/>
      <c r="N37" s="118"/>
      <c r="O37" s="118"/>
    </row>
    <row r="38" spans="1:15" x14ac:dyDescent="0.25">
      <c r="J38" s="426"/>
      <c r="K38" s="120" t="s">
        <v>167</v>
      </c>
      <c r="L38" s="118"/>
      <c r="M38" s="118"/>
      <c r="N38" s="118"/>
      <c r="O38" s="118"/>
    </row>
    <row r="39" spans="1:15" x14ac:dyDescent="0.25">
      <c r="J39" s="426"/>
      <c r="K39" s="120" t="s">
        <v>168</v>
      </c>
      <c r="L39" s="118"/>
      <c r="M39" s="118"/>
      <c r="N39" s="118"/>
      <c r="O39" s="118"/>
    </row>
    <row r="40" spans="1:15" x14ac:dyDescent="0.25">
      <c r="J40" s="426"/>
      <c r="K40" s="120" t="s">
        <v>169</v>
      </c>
      <c r="L40" s="118"/>
      <c r="M40" s="118"/>
      <c r="N40" s="118"/>
      <c r="O40" s="118"/>
    </row>
    <row r="41" spans="1:15" x14ac:dyDescent="0.25">
      <c r="J41" s="426"/>
      <c r="K41" s="120" t="s">
        <v>170</v>
      </c>
      <c r="L41" s="118"/>
      <c r="M41" s="118"/>
      <c r="N41" s="118"/>
      <c r="O41" s="118"/>
    </row>
    <row r="42" spans="1:15" x14ac:dyDescent="0.25">
      <c r="J42" s="426"/>
      <c r="K42" s="120" t="s">
        <v>171</v>
      </c>
      <c r="L42" s="118"/>
      <c r="M42" s="118"/>
      <c r="N42" s="118"/>
      <c r="O42" s="118"/>
    </row>
    <row r="43" spans="1:15" x14ac:dyDescent="0.25">
      <c r="J43" s="426"/>
      <c r="K43" s="120" t="s">
        <v>172</v>
      </c>
      <c r="L43" s="118"/>
      <c r="M43" s="118"/>
      <c r="N43" s="118"/>
      <c r="O43" s="118"/>
    </row>
    <row r="44" spans="1:15" x14ac:dyDescent="0.25">
      <c r="J44" s="426"/>
      <c r="K44" s="120" t="s">
        <v>173</v>
      </c>
      <c r="L44" s="118"/>
      <c r="M44" s="118"/>
      <c r="N44" s="118"/>
      <c r="O44" s="118"/>
    </row>
    <row r="45" spans="1:15" x14ac:dyDescent="0.25">
      <c r="J45" s="426"/>
      <c r="K45" s="120" t="s">
        <v>174</v>
      </c>
      <c r="L45" s="118"/>
      <c r="M45" s="118"/>
      <c r="N45" s="118"/>
      <c r="O45" s="118"/>
    </row>
    <row r="46" spans="1:15" x14ac:dyDescent="0.25">
      <c r="J46" s="426"/>
      <c r="K46" s="120" t="s">
        <v>175</v>
      </c>
      <c r="L46" s="118"/>
      <c r="M46" s="118"/>
      <c r="N46" s="118"/>
      <c r="O46" s="118"/>
    </row>
    <row r="47" spans="1:15" x14ac:dyDescent="0.25">
      <c r="J47" s="426"/>
      <c r="K47" s="120" t="s">
        <v>176</v>
      </c>
      <c r="L47" s="118"/>
      <c r="M47" s="118"/>
      <c r="N47" s="118"/>
      <c r="O47" s="118"/>
    </row>
    <row r="48" spans="1:15" x14ac:dyDescent="0.25">
      <c r="A48" s="438" t="s">
        <v>208</v>
      </c>
      <c r="B48" s="439"/>
      <c r="C48" s="439"/>
      <c r="D48" s="439"/>
      <c r="E48" s="439"/>
      <c r="F48" s="439"/>
      <c r="G48" s="440"/>
      <c r="J48" s="426"/>
      <c r="K48" s="120" t="s">
        <v>177</v>
      </c>
      <c r="L48" s="118"/>
      <c r="M48" s="118"/>
      <c r="N48" s="118"/>
      <c r="O48" s="118"/>
    </row>
    <row r="49" spans="1:15" x14ac:dyDescent="0.25">
      <c r="A49" s="429"/>
      <c r="B49" s="430"/>
      <c r="C49" s="430"/>
      <c r="D49" s="430"/>
      <c r="E49" s="430"/>
      <c r="F49" s="430"/>
      <c r="G49" s="431"/>
      <c r="J49" s="426"/>
      <c r="K49" s="116" t="s">
        <v>267</v>
      </c>
      <c r="L49" s="116" t="e">
        <f>AVERAGE(L37:L48)</f>
        <v>#DIV/0!</v>
      </c>
      <c r="M49" s="116">
        <f>MAX(M37:M48)</f>
        <v>0</v>
      </c>
      <c r="N49" s="116" t="e">
        <f>AVERAGE(N37:N48)</f>
        <v>#DIV/0!</v>
      </c>
      <c r="O49" s="116">
        <f>MAX(O37:O48)</f>
        <v>0</v>
      </c>
    </row>
    <row r="50" spans="1:15" x14ac:dyDescent="0.25">
      <c r="A50" s="432"/>
      <c r="B50" s="433"/>
      <c r="C50" s="433"/>
      <c r="D50" s="433"/>
      <c r="E50" s="433"/>
      <c r="F50" s="433"/>
      <c r="G50" s="434"/>
    </row>
    <row r="51" spans="1:15" ht="41.4" x14ac:dyDescent="0.25">
      <c r="A51" s="432"/>
      <c r="B51" s="433"/>
      <c r="C51" s="433"/>
      <c r="D51" s="433"/>
      <c r="E51" s="433"/>
      <c r="F51" s="433"/>
      <c r="G51" s="434"/>
      <c r="J51" s="115">
        <f>+A6</f>
        <v>2022</v>
      </c>
      <c r="K51" s="115" t="s">
        <v>265</v>
      </c>
      <c r="L51" s="121" t="s">
        <v>161</v>
      </c>
      <c r="M51" s="121" t="s">
        <v>162</v>
      </c>
      <c r="N51" s="121" t="s">
        <v>164</v>
      </c>
      <c r="O51" s="121" t="s">
        <v>165</v>
      </c>
    </row>
    <row r="52" spans="1:15" x14ac:dyDescent="0.25">
      <c r="A52" s="435"/>
      <c r="B52" s="436"/>
      <c r="C52" s="436"/>
      <c r="D52" s="436"/>
      <c r="E52" s="436"/>
      <c r="F52" s="436"/>
      <c r="G52" s="437"/>
      <c r="J52" s="426" t="s">
        <v>115</v>
      </c>
      <c r="K52" s="120" t="s">
        <v>166</v>
      </c>
      <c r="L52" s="118"/>
      <c r="M52" s="118"/>
      <c r="N52" s="118"/>
      <c r="O52" s="118"/>
    </row>
    <row r="53" spans="1:15" x14ac:dyDescent="0.25">
      <c r="J53" s="426"/>
      <c r="K53" s="120" t="s">
        <v>167</v>
      </c>
      <c r="L53" s="118"/>
      <c r="M53" s="118"/>
      <c r="N53" s="118"/>
      <c r="O53" s="118"/>
    </row>
    <row r="54" spans="1:15" x14ac:dyDescent="0.25">
      <c r="C54" s="197">
        <v>44981</v>
      </c>
      <c r="J54" s="426"/>
      <c r="K54" s="120" t="s">
        <v>168</v>
      </c>
      <c r="L54" s="118"/>
      <c r="M54" s="118"/>
      <c r="N54" s="118"/>
      <c r="O54" s="118"/>
    </row>
    <row r="55" spans="1:15" x14ac:dyDescent="0.25">
      <c r="J55" s="426"/>
      <c r="K55" s="120" t="s">
        <v>169</v>
      </c>
      <c r="L55" s="118"/>
      <c r="M55" s="118"/>
      <c r="N55" s="118"/>
      <c r="O55" s="118"/>
    </row>
    <row r="56" spans="1:15" x14ac:dyDescent="0.25">
      <c r="J56" s="426"/>
      <c r="K56" s="120" t="s">
        <v>170</v>
      </c>
      <c r="L56" s="118"/>
      <c r="M56" s="118"/>
      <c r="N56" s="118"/>
      <c r="O56" s="118"/>
    </row>
    <row r="57" spans="1:15" x14ac:dyDescent="0.25">
      <c r="J57" s="426"/>
      <c r="K57" s="120" t="s">
        <v>171</v>
      </c>
      <c r="L57" s="118"/>
      <c r="M57" s="118"/>
      <c r="N57" s="118"/>
      <c r="O57" s="118"/>
    </row>
    <row r="58" spans="1:15" x14ac:dyDescent="0.25">
      <c r="J58" s="426"/>
      <c r="K58" s="120" t="s">
        <v>172</v>
      </c>
      <c r="L58" s="118"/>
      <c r="M58" s="118"/>
      <c r="N58" s="118"/>
      <c r="O58" s="118"/>
    </row>
    <row r="59" spans="1:15" x14ac:dyDescent="0.25">
      <c r="J59" s="426"/>
      <c r="K59" s="120" t="s">
        <v>173</v>
      </c>
      <c r="L59" s="118"/>
      <c r="M59" s="118"/>
      <c r="N59" s="118"/>
      <c r="O59" s="118"/>
    </row>
    <row r="60" spans="1:15" x14ac:dyDescent="0.25">
      <c r="J60" s="426"/>
      <c r="K60" s="120" t="s">
        <v>174</v>
      </c>
      <c r="L60" s="118"/>
      <c r="M60" s="118"/>
      <c r="N60" s="118"/>
      <c r="O60" s="118"/>
    </row>
    <row r="61" spans="1:15" x14ac:dyDescent="0.25">
      <c r="J61" s="426"/>
      <c r="K61" s="120" t="s">
        <v>175</v>
      </c>
      <c r="L61" s="118"/>
      <c r="M61" s="118"/>
      <c r="N61" s="118"/>
      <c r="O61" s="118"/>
    </row>
    <row r="62" spans="1:15" x14ac:dyDescent="0.25">
      <c r="J62" s="426"/>
      <c r="K62" s="120" t="s">
        <v>176</v>
      </c>
      <c r="L62" s="118"/>
      <c r="M62" s="118"/>
      <c r="N62" s="118"/>
      <c r="O62" s="118"/>
    </row>
    <row r="63" spans="1:15" x14ac:dyDescent="0.25">
      <c r="J63" s="426"/>
      <c r="K63" s="120" t="s">
        <v>177</v>
      </c>
      <c r="L63" s="118"/>
      <c r="M63" s="118"/>
      <c r="N63" s="118"/>
      <c r="O63" s="118"/>
    </row>
    <row r="64" spans="1:15" x14ac:dyDescent="0.25">
      <c r="J64" s="426"/>
      <c r="K64" s="116" t="s">
        <v>267</v>
      </c>
      <c r="L64" s="116" t="e">
        <f>AVERAGE(L52:L63)</f>
        <v>#DIV/0!</v>
      </c>
      <c r="M64" s="116">
        <f>MAX(M52:M63)</f>
        <v>0</v>
      </c>
      <c r="N64" s="116" t="e">
        <f>AVERAGE(N52:N63)</f>
        <v>#DIV/0!</v>
      </c>
      <c r="O64" s="116">
        <f>MAX(O52:O63)</f>
        <v>0</v>
      </c>
    </row>
    <row r="66" spans="10:15" ht="41.4" x14ac:dyDescent="0.25">
      <c r="J66" s="115">
        <f>+A6</f>
        <v>2022</v>
      </c>
      <c r="K66" s="115" t="s">
        <v>265</v>
      </c>
      <c r="L66" s="121" t="s">
        <v>161</v>
      </c>
      <c r="M66" s="121" t="s">
        <v>162</v>
      </c>
      <c r="N66" s="121" t="s">
        <v>164</v>
      </c>
      <c r="O66" s="121" t="s">
        <v>165</v>
      </c>
    </row>
    <row r="67" spans="10:15" x14ac:dyDescent="0.25">
      <c r="J67" s="426" t="s">
        <v>116</v>
      </c>
      <c r="K67" s="120" t="s">
        <v>166</v>
      </c>
      <c r="L67" s="118"/>
      <c r="M67" s="118"/>
      <c r="N67" s="118"/>
      <c r="O67" s="118"/>
    </row>
    <row r="68" spans="10:15" x14ac:dyDescent="0.25">
      <c r="J68" s="426"/>
      <c r="K68" s="120" t="s">
        <v>167</v>
      </c>
      <c r="L68" s="118"/>
      <c r="M68" s="118"/>
      <c r="N68" s="118"/>
      <c r="O68" s="118"/>
    </row>
    <row r="69" spans="10:15" x14ac:dyDescent="0.25">
      <c r="J69" s="426"/>
      <c r="K69" s="120" t="s">
        <v>168</v>
      </c>
      <c r="L69" s="118"/>
      <c r="M69" s="118"/>
      <c r="N69" s="118"/>
      <c r="O69" s="118"/>
    </row>
    <row r="70" spans="10:15" x14ac:dyDescent="0.25">
      <c r="J70" s="426"/>
      <c r="K70" s="120" t="s">
        <v>169</v>
      </c>
      <c r="L70" s="118"/>
      <c r="M70" s="118"/>
      <c r="N70" s="118"/>
      <c r="O70" s="118"/>
    </row>
    <row r="71" spans="10:15" x14ac:dyDescent="0.25">
      <c r="J71" s="426"/>
      <c r="K71" s="120" t="s">
        <v>170</v>
      </c>
      <c r="L71" s="118"/>
      <c r="M71" s="118"/>
      <c r="N71" s="118"/>
      <c r="O71" s="118"/>
    </row>
    <row r="72" spans="10:15" x14ac:dyDescent="0.25">
      <c r="J72" s="426"/>
      <c r="K72" s="120" t="s">
        <v>171</v>
      </c>
      <c r="L72" s="118"/>
      <c r="M72" s="118"/>
      <c r="N72" s="118"/>
      <c r="O72" s="118"/>
    </row>
    <row r="73" spans="10:15" x14ac:dyDescent="0.25">
      <c r="J73" s="426"/>
      <c r="K73" s="120" t="s">
        <v>172</v>
      </c>
      <c r="L73" s="118"/>
      <c r="M73" s="118"/>
      <c r="N73" s="118"/>
      <c r="O73" s="118"/>
    </row>
    <row r="74" spans="10:15" x14ac:dyDescent="0.25">
      <c r="J74" s="426"/>
      <c r="K74" s="120" t="s">
        <v>173</v>
      </c>
      <c r="L74" s="118"/>
      <c r="M74" s="118"/>
      <c r="N74" s="118"/>
      <c r="O74" s="118"/>
    </row>
    <row r="75" spans="10:15" x14ac:dyDescent="0.25">
      <c r="J75" s="426"/>
      <c r="K75" s="120" t="s">
        <v>174</v>
      </c>
      <c r="L75" s="118"/>
      <c r="M75" s="118"/>
      <c r="N75" s="118"/>
      <c r="O75" s="118"/>
    </row>
    <row r="76" spans="10:15" x14ac:dyDescent="0.25">
      <c r="J76" s="426"/>
      <c r="K76" s="120" t="s">
        <v>175</v>
      </c>
      <c r="L76" s="118"/>
      <c r="M76" s="118"/>
      <c r="N76" s="118"/>
      <c r="O76" s="118"/>
    </row>
    <row r="77" spans="10:15" x14ac:dyDescent="0.25">
      <c r="J77" s="426"/>
      <c r="K77" s="120" t="s">
        <v>176</v>
      </c>
      <c r="L77" s="118"/>
      <c r="M77" s="118"/>
      <c r="N77" s="118"/>
      <c r="O77" s="118"/>
    </row>
    <row r="78" spans="10:15" x14ac:dyDescent="0.25">
      <c r="J78" s="426"/>
      <c r="K78" s="120" t="s">
        <v>177</v>
      </c>
      <c r="L78" s="118"/>
      <c r="M78" s="118"/>
      <c r="N78" s="118"/>
      <c r="O78" s="118"/>
    </row>
    <row r="79" spans="10:15" x14ac:dyDescent="0.25">
      <c r="J79" s="426"/>
      <c r="K79" s="116" t="s">
        <v>267</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view="pageBreakPreview" zoomScaleNormal="85" zoomScaleSheetLayoutView="100" workbookViewId="0">
      <selection activeCell="C52" sqref="C52"/>
    </sheetView>
  </sheetViews>
  <sheetFormatPr defaultRowHeight="13.8" x14ac:dyDescent="0.25"/>
  <cols>
    <col min="1" max="1" width="14" style="3" customWidth="1"/>
    <col min="2" max="4" width="17" style="70" customWidth="1"/>
    <col min="5" max="5" width="14.77734375" style="70" customWidth="1"/>
    <col min="6" max="7" width="17" style="70"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1.55468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x14ac:dyDescent="0.25">
      <c r="A1" s="2" t="str">
        <f>+'Cover Page'!$B$29</f>
        <v>Annual Performance Report 2022</v>
      </c>
      <c r="B1" s="2"/>
      <c r="C1" s="2"/>
      <c r="D1" s="2"/>
      <c r="E1" s="2" t="str">
        <f>+'Cover Page'!$B$33</f>
        <v>Severnside Energy Recovery Centre</v>
      </c>
      <c r="F1" s="2"/>
    </row>
    <row r="3" spans="1:19" ht="14.4" x14ac:dyDescent="0.3">
      <c r="A3" s="114" t="s">
        <v>269</v>
      </c>
      <c r="D3" s="132" t="s">
        <v>299</v>
      </c>
      <c r="G3" s="136" t="s">
        <v>306</v>
      </c>
      <c r="J3" s="10" t="str">
        <f>+A3</f>
        <v>Monitoring of Oxides of Nitrogen emissions</v>
      </c>
      <c r="L3" s="10"/>
      <c r="N3" s="10" t="s">
        <v>300</v>
      </c>
      <c r="Q3" s="135" t="s">
        <v>294</v>
      </c>
      <c r="R3" s="130"/>
      <c r="S3" s="130"/>
    </row>
    <row r="4" spans="1:19" ht="13.95" customHeight="1" x14ac:dyDescent="0.25">
      <c r="Q4" s="417" t="s">
        <v>304</v>
      </c>
      <c r="R4" s="417"/>
      <c r="S4" s="417"/>
    </row>
    <row r="5" spans="1:19" ht="16.2" x14ac:dyDescent="0.25">
      <c r="A5" s="122" t="s">
        <v>266</v>
      </c>
      <c r="B5" s="428" t="s">
        <v>264</v>
      </c>
      <c r="C5" s="428"/>
      <c r="D5" s="428"/>
      <c r="E5" s="428" t="s">
        <v>263</v>
      </c>
      <c r="F5" s="428"/>
      <c r="G5" s="428"/>
      <c r="J5" s="427"/>
      <c r="K5" s="427"/>
      <c r="L5" s="427"/>
      <c r="M5" s="427"/>
      <c r="N5" s="427"/>
      <c r="O5" s="427"/>
      <c r="Q5" s="417"/>
      <c r="R5" s="417"/>
      <c r="S5" s="417"/>
    </row>
    <row r="6" spans="1:19" s="112" customFormat="1" ht="37.5" customHeight="1" x14ac:dyDescent="0.3">
      <c r="A6" s="119">
        <f>+'Cover Page'!C39</f>
        <v>2022</v>
      </c>
      <c r="B6" s="108" t="s">
        <v>180</v>
      </c>
      <c r="C6" s="108" t="s">
        <v>161</v>
      </c>
      <c r="D6" s="108" t="s">
        <v>315</v>
      </c>
      <c r="E6" s="108" t="s">
        <v>181</v>
      </c>
      <c r="F6" s="108" t="s">
        <v>164</v>
      </c>
      <c r="G6" s="108" t="s">
        <v>316</v>
      </c>
      <c r="H6" s="113"/>
      <c r="J6" s="115">
        <f>+A6</f>
        <v>2022</v>
      </c>
      <c r="K6" s="115" t="s">
        <v>265</v>
      </c>
      <c r="L6" s="121" t="s">
        <v>161</v>
      </c>
      <c r="M6" s="121" t="s">
        <v>162</v>
      </c>
      <c r="N6" s="121" t="s">
        <v>164</v>
      </c>
      <c r="O6" s="121" t="s">
        <v>165</v>
      </c>
      <c r="Q6" s="417"/>
      <c r="R6" s="417"/>
      <c r="S6" s="417"/>
    </row>
    <row r="7" spans="1:19" x14ac:dyDescent="0.25">
      <c r="A7" s="120" t="s">
        <v>166</v>
      </c>
      <c r="B7" s="117">
        <v>400</v>
      </c>
      <c r="C7" s="118">
        <f>AVERAGE(L7,L22)</f>
        <v>136</v>
      </c>
      <c r="D7" s="118">
        <f>AVERAGE(M7,M22)</f>
        <v>192.5</v>
      </c>
      <c r="E7" s="117">
        <v>200</v>
      </c>
      <c r="F7" s="118">
        <f>AVERAGE(N7,N22)</f>
        <v>136</v>
      </c>
      <c r="G7" s="118">
        <f>AVERAGE(O7,O22)</f>
        <v>142</v>
      </c>
      <c r="J7" s="426" t="s">
        <v>112</v>
      </c>
      <c r="K7" s="120" t="s">
        <v>166</v>
      </c>
      <c r="L7" s="118">
        <v>136</v>
      </c>
      <c r="M7" s="118">
        <v>209</v>
      </c>
      <c r="N7" s="118">
        <v>136</v>
      </c>
      <c r="O7" s="118">
        <v>142</v>
      </c>
      <c r="Q7" s="417"/>
      <c r="R7" s="417"/>
      <c r="S7" s="417"/>
    </row>
    <row r="8" spans="1:19" x14ac:dyDescent="0.25">
      <c r="A8" s="120" t="s">
        <v>167</v>
      </c>
      <c r="B8" s="117">
        <v>400</v>
      </c>
      <c r="C8" s="118">
        <f t="shared" ref="C8:D8" si="0">AVERAGE(L8,L23)</f>
        <v>135.5</v>
      </c>
      <c r="D8" s="118">
        <f t="shared" si="0"/>
        <v>191</v>
      </c>
      <c r="E8" s="117">
        <v>200</v>
      </c>
      <c r="F8" s="118">
        <f t="shared" ref="F8:G8" si="1">AVERAGE(N8,N23)</f>
        <v>135.5</v>
      </c>
      <c r="G8" s="118">
        <f t="shared" si="1"/>
        <v>138.5</v>
      </c>
      <c r="J8" s="426"/>
      <c r="K8" s="120" t="s">
        <v>167</v>
      </c>
      <c r="L8" s="118">
        <v>136</v>
      </c>
      <c r="M8" s="118">
        <v>191</v>
      </c>
      <c r="N8" s="118">
        <v>136</v>
      </c>
      <c r="O8" s="118">
        <v>141</v>
      </c>
      <c r="Q8" s="417"/>
      <c r="R8" s="417"/>
      <c r="S8" s="417"/>
    </row>
    <row r="9" spans="1:19" x14ac:dyDescent="0.25">
      <c r="A9" s="120" t="s">
        <v>168</v>
      </c>
      <c r="B9" s="117">
        <v>400</v>
      </c>
      <c r="C9" s="118">
        <f t="shared" ref="C9:D9" si="2">AVERAGE(L9,L24)</f>
        <v>135</v>
      </c>
      <c r="D9" s="118">
        <f t="shared" si="2"/>
        <v>171</v>
      </c>
      <c r="E9" s="117">
        <v>200</v>
      </c>
      <c r="F9" s="118">
        <f t="shared" ref="F9:G9" si="3">AVERAGE(N9,N24)</f>
        <v>135</v>
      </c>
      <c r="G9" s="118">
        <f t="shared" si="3"/>
        <v>137</v>
      </c>
      <c r="J9" s="426"/>
      <c r="K9" s="120" t="s">
        <v>168</v>
      </c>
      <c r="L9" s="118">
        <v>135</v>
      </c>
      <c r="M9" s="118">
        <v>175</v>
      </c>
      <c r="N9" s="118">
        <v>135</v>
      </c>
      <c r="O9" s="118">
        <v>138</v>
      </c>
      <c r="Q9" s="134" t="s">
        <v>305</v>
      </c>
    </row>
    <row r="10" spans="1:19" ht="14.25" customHeight="1" x14ac:dyDescent="0.25">
      <c r="A10" s="120" t="s">
        <v>169</v>
      </c>
      <c r="B10" s="117">
        <v>400</v>
      </c>
      <c r="C10" s="118">
        <f t="shared" ref="C10:D10" si="4">AVERAGE(L10,L25)</f>
        <v>135.5</v>
      </c>
      <c r="D10" s="118">
        <f t="shared" si="4"/>
        <v>199</v>
      </c>
      <c r="E10" s="117">
        <v>200</v>
      </c>
      <c r="F10" s="118">
        <f t="shared" ref="F10:G10" si="5">AVERAGE(N10,N25)</f>
        <v>135.5</v>
      </c>
      <c r="G10" s="118">
        <f t="shared" si="5"/>
        <v>137.5</v>
      </c>
      <c r="J10" s="426"/>
      <c r="K10" s="120" t="s">
        <v>169</v>
      </c>
      <c r="L10" s="118">
        <v>135</v>
      </c>
      <c r="M10" s="118">
        <v>225</v>
      </c>
      <c r="N10" s="118">
        <v>135</v>
      </c>
      <c r="O10" s="118">
        <v>138</v>
      </c>
      <c r="Q10" s="425" t="s">
        <v>320</v>
      </c>
      <c r="R10" s="425"/>
      <c r="S10" s="425"/>
    </row>
    <row r="11" spans="1:19" x14ac:dyDescent="0.25">
      <c r="A11" s="120" t="s">
        <v>170</v>
      </c>
      <c r="B11" s="117">
        <v>400</v>
      </c>
      <c r="C11" s="118">
        <f t="shared" ref="C11:D11" si="6">AVERAGE(L11,L26)</f>
        <v>136</v>
      </c>
      <c r="D11" s="118">
        <f t="shared" si="6"/>
        <v>207</v>
      </c>
      <c r="E11" s="117">
        <v>200</v>
      </c>
      <c r="F11" s="118">
        <f t="shared" ref="F11:G11" si="7">AVERAGE(N11,N26)</f>
        <v>136</v>
      </c>
      <c r="G11" s="118">
        <f t="shared" si="7"/>
        <v>142</v>
      </c>
      <c r="J11" s="426"/>
      <c r="K11" s="120" t="s">
        <v>170</v>
      </c>
      <c r="L11" s="118">
        <v>136</v>
      </c>
      <c r="M11" s="118">
        <v>186</v>
      </c>
      <c r="N11" s="118">
        <v>136</v>
      </c>
      <c r="O11" s="118">
        <v>138</v>
      </c>
      <c r="Q11" s="425"/>
      <c r="R11" s="425"/>
      <c r="S11" s="425"/>
    </row>
    <row r="12" spans="1:19" x14ac:dyDescent="0.25">
      <c r="A12" s="120" t="s">
        <v>171</v>
      </c>
      <c r="B12" s="117">
        <v>400</v>
      </c>
      <c r="C12" s="118">
        <f t="shared" ref="C12:D12" si="8">AVERAGE(L12,L27)</f>
        <v>135.5</v>
      </c>
      <c r="D12" s="118">
        <f t="shared" si="8"/>
        <v>220</v>
      </c>
      <c r="E12" s="117">
        <v>200</v>
      </c>
      <c r="F12" s="118">
        <f t="shared" ref="F12:G12" si="9">AVERAGE(N12,N27)</f>
        <v>135.5</v>
      </c>
      <c r="G12" s="118">
        <f t="shared" si="9"/>
        <v>137</v>
      </c>
      <c r="J12" s="426"/>
      <c r="K12" s="120" t="s">
        <v>171</v>
      </c>
      <c r="L12" s="118">
        <v>136</v>
      </c>
      <c r="M12" s="118">
        <v>224</v>
      </c>
      <c r="N12" s="118">
        <v>136</v>
      </c>
      <c r="O12" s="118">
        <v>136</v>
      </c>
      <c r="Q12" s="425"/>
      <c r="R12" s="425"/>
      <c r="S12" s="425"/>
    </row>
    <row r="13" spans="1:19" ht="14.25" customHeight="1" x14ac:dyDescent="0.25">
      <c r="A13" s="120" t="s">
        <v>172</v>
      </c>
      <c r="B13" s="117">
        <v>400</v>
      </c>
      <c r="C13" s="118">
        <f t="shared" ref="C13:D13" si="10">AVERAGE(L13,L28)</f>
        <v>136</v>
      </c>
      <c r="D13" s="118">
        <f t="shared" si="10"/>
        <v>211</v>
      </c>
      <c r="E13" s="117">
        <v>200</v>
      </c>
      <c r="F13" s="118">
        <f t="shared" ref="F13:G13" si="11">AVERAGE(N13,N28)</f>
        <v>136</v>
      </c>
      <c r="G13" s="118">
        <f t="shared" si="11"/>
        <v>137.5</v>
      </c>
      <c r="J13" s="426"/>
      <c r="K13" s="120" t="s">
        <v>172</v>
      </c>
      <c r="L13" s="118">
        <v>136</v>
      </c>
      <c r="M13" s="118">
        <v>239</v>
      </c>
      <c r="N13" s="118">
        <v>136</v>
      </c>
      <c r="O13" s="118">
        <v>137</v>
      </c>
      <c r="Q13" s="425" t="s">
        <v>326</v>
      </c>
      <c r="R13" s="425"/>
      <c r="S13" s="425"/>
    </row>
    <row r="14" spans="1:19" x14ac:dyDescent="0.25">
      <c r="A14" s="120" t="s">
        <v>173</v>
      </c>
      <c r="B14" s="117">
        <v>400</v>
      </c>
      <c r="C14" s="118">
        <f t="shared" ref="C14:D14" si="12">AVERAGE(L14,L29)</f>
        <v>136.5</v>
      </c>
      <c r="D14" s="118">
        <f t="shared" si="12"/>
        <v>205</v>
      </c>
      <c r="E14" s="117">
        <v>200</v>
      </c>
      <c r="F14" s="118">
        <f t="shared" ref="F14:G14" si="13">AVERAGE(N14,N29)</f>
        <v>136.5</v>
      </c>
      <c r="G14" s="118">
        <f t="shared" si="13"/>
        <v>144.5</v>
      </c>
      <c r="J14" s="426"/>
      <c r="K14" s="120" t="s">
        <v>173</v>
      </c>
      <c r="L14" s="118">
        <v>136</v>
      </c>
      <c r="M14" s="118">
        <v>185</v>
      </c>
      <c r="N14" s="118">
        <v>136</v>
      </c>
      <c r="O14" s="118">
        <v>137</v>
      </c>
      <c r="Q14" s="425"/>
      <c r="R14" s="425"/>
      <c r="S14" s="425"/>
    </row>
    <row r="15" spans="1:19" x14ac:dyDescent="0.25">
      <c r="A15" s="120" t="s">
        <v>174</v>
      </c>
      <c r="B15" s="117">
        <v>400</v>
      </c>
      <c r="C15" s="118">
        <f t="shared" ref="C15:D15" si="14">AVERAGE(L15,L30)</f>
        <v>135.5</v>
      </c>
      <c r="D15" s="118">
        <f t="shared" si="14"/>
        <v>250</v>
      </c>
      <c r="E15" s="117">
        <v>200</v>
      </c>
      <c r="F15" s="118">
        <f t="shared" ref="F15:G15" si="15">AVERAGE(N15,N30)</f>
        <v>135.5</v>
      </c>
      <c r="G15" s="118">
        <f t="shared" si="15"/>
        <v>143</v>
      </c>
      <c r="J15" s="426"/>
      <c r="K15" s="120" t="s">
        <v>174</v>
      </c>
      <c r="L15" s="118">
        <v>135</v>
      </c>
      <c r="M15" s="118">
        <v>249</v>
      </c>
      <c r="N15" s="118">
        <v>135</v>
      </c>
      <c r="O15" s="118">
        <v>140</v>
      </c>
      <c r="Q15" s="425"/>
      <c r="R15" s="425"/>
      <c r="S15" s="425"/>
    </row>
    <row r="16" spans="1:19" x14ac:dyDescent="0.25">
      <c r="A16" s="120" t="s">
        <v>175</v>
      </c>
      <c r="B16" s="117">
        <v>400</v>
      </c>
      <c r="C16" s="118">
        <f t="shared" ref="C16:D16" si="16">AVERAGE(L16,L31)</f>
        <v>135</v>
      </c>
      <c r="D16" s="118">
        <f t="shared" si="16"/>
        <v>181.5</v>
      </c>
      <c r="E16" s="117">
        <v>200</v>
      </c>
      <c r="F16" s="118">
        <f t="shared" ref="F16:G16" si="17">AVERAGE(N16,N31)</f>
        <v>135</v>
      </c>
      <c r="G16" s="118">
        <f t="shared" si="17"/>
        <v>137</v>
      </c>
      <c r="J16" s="426"/>
      <c r="K16" s="120" t="s">
        <v>175</v>
      </c>
      <c r="L16" s="118">
        <v>135</v>
      </c>
      <c r="M16" s="118">
        <v>180</v>
      </c>
      <c r="N16" s="118">
        <v>135</v>
      </c>
      <c r="O16" s="118">
        <v>137</v>
      </c>
      <c r="Q16" s="425"/>
      <c r="R16" s="425"/>
      <c r="S16" s="425"/>
    </row>
    <row r="17" spans="1:15" x14ac:dyDescent="0.25">
      <c r="A17" s="120" t="s">
        <v>176</v>
      </c>
      <c r="B17" s="117">
        <v>400</v>
      </c>
      <c r="C17" s="118">
        <f t="shared" ref="C17:D17" si="18">AVERAGE(L17,L32)</f>
        <v>136</v>
      </c>
      <c r="D17" s="118">
        <f t="shared" si="18"/>
        <v>197</v>
      </c>
      <c r="E17" s="117">
        <v>200</v>
      </c>
      <c r="F17" s="118">
        <f t="shared" ref="F17:G17" si="19">AVERAGE(N17,N32)</f>
        <v>136</v>
      </c>
      <c r="G17" s="118">
        <f t="shared" si="19"/>
        <v>137.5</v>
      </c>
      <c r="J17" s="426"/>
      <c r="K17" s="120" t="s">
        <v>176</v>
      </c>
      <c r="L17" s="118">
        <v>136</v>
      </c>
      <c r="M17" s="118">
        <v>193</v>
      </c>
      <c r="N17" s="118">
        <v>136</v>
      </c>
      <c r="O17" s="118">
        <v>137</v>
      </c>
    </row>
    <row r="18" spans="1:15" x14ac:dyDescent="0.25">
      <c r="A18" s="120" t="s">
        <v>177</v>
      </c>
      <c r="B18" s="117">
        <v>400</v>
      </c>
      <c r="C18" s="118">
        <f t="shared" ref="C18:D18" si="20">AVERAGE(L18,L33)</f>
        <v>135</v>
      </c>
      <c r="D18" s="118">
        <f t="shared" si="20"/>
        <v>223.5</v>
      </c>
      <c r="E18" s="117">
        <v>200</v>
      </c>
      <c r="F18" s="118">
        <f t="shared" ref="F18:G18" si="21">AVERAGE(N18,N33)</f>
        <v>135</v>
      </c>
      <c r="G18" s="118">
        <f t="shared" si="21"/>
        <v>138</v>
      </c>
      <c r="J18" s="426"/>
      <c r="K18" s="120" t="s">
        <v>177</v>
      </c>
      <c r="L18" s="118">
        <v>135</v>
      </c>
      <c r="M18" s="118">
        <v>240</v>
      </c>
      <c r="N18" s="118">
        <v>135</v>
      </c>
      <c r="O18" s="118">
        <v>138</v>
      </c>
    </row>
    <row r="19" spans="1:15" x14ac:dyDescent="0.25">
      <c r="J19" s="426"/>
      <c r="K19" s="116" t="s">
        <v>267</v>
      </c>
      <c r="L19" s="116">
        <f>AVERAGE(L7:L18)</f>
        <v>135.58333333333334</v>
      </c>
      <c r="M19" s="116">
        <f>MAX(M7:M18)</f>
        <v>249</v>
      </c>
      <c r="N19" s="116">
        <f>AVERAGE(N7:N18)</f>
        <v>135.58333333333334</v>
      </c>
      <c r="O19" s="116">
        <f>MAX(O7:O18)</f>
        <v>142</v>
      </c>
    </row>
    <row r="21" spans="1:15" ht="41.4" x14ac:dyDescent="0.25">
      <c r="J21" s="115">
        <f>+A6</f>
        <v>2022</v>
      </c>
      <c r="K21" s="115" t="s">
        <v>265</v>
      </c>
      <c r="L21" s="121" t="s">
        <v>161</v>
      </c>
      <c r="M21" s="121" t="s">
        <v>162</v>
      </c>
      <c r="N21" s="121" t="s">
        <v>164</v>
      </c>
      <c r="O21" s="121" t="s">
        <v>165</v>
      </c>
    </row>
    <row r="22" spans="1:15" x14ac:dyDescent="0.25">
      <c r="J22" s="426" t="s">
        <v>113</v>
      </c>
      <c r="K22" s="120" t="s">
        <v>166</v>
      </c>
      <c r="L22" s="118">
        <v>136</v>
      </c>
      <c r="M22" s="118">
        <v>176</v>
      </c>
      <c r="N22" s="118">
        <v>136</v>
      </c>
      <c r="O22" s="118">
        <v>142</v>
      </c>
    </row>
    <row r="23" spans="1:15" x14ac:dyDescent="0.25">
      <c r="J23" s="426"/>
      <c r="K23" s="120" t="s">
        <v>167</v>
      </c>
      <c r="L23" s="118">
        <v>135</v>
      </c>
      <c r="M23" s="118">
        <v>191</v>
      </c>
      <c r="N23" s="118">
        <v>135</v>
      </c>
      <c r="O23" s="118">
        <v>136</v>
      </c>
    </row>
    <row r="24" spans="1:15" x14ac:dyDescent="0.25">
      <c r="J24" s="426"/>
      <c r="K24" s="120" t="s">
        <v>168</v>
      </c>
      <c r="L24" s="118">
        <v>135</v>
      </c>
      <c r="M24" s="118">
        <v>167</v>
      </c>
      <c r="N24" s="118">
        <v>135</v>
      </c>
      <c r="O24" s="118">
        <v>136</v>
      </c>
    </row>
    <row r="25" spans="1:15" x14ac:dyDescent="0.25">
      <c r="J25" s="426"/>
      <c r="K25" s="120" t="s">
        <v>169</v>
      </c>
      <c r="L25" s="118">
        <v>136</v>
      </c>
      <c r="M25" s="118">
        <v>173</v>
      </c>
      <c r="N25" s="118">
        <v>136</v>
      </c>
      <c r="O25" s="118">
        <v>137</v>
      </c>
    </row>
    <row r="26" spans="1:15" x14ac:dyDescent="0.25">
      <c r="J26" s="426"/>
      <c r="K26" s="120" t="s">
        <v>170</v>
      </c>
      <c r="L26" s="118">
        <v>136</v>
      </c>
      <c r="M26" s="118">
        <v>228</v>
      </c>
      <c r="N26" s="118">
        <v>136</v>
      </c>
      <c r="O26" s="118">
        <v>146</v>
      </c>
    </row>
    <row r="27" spans="1:15" x14ac:dyDescent="0.25">
      <c r="J27" s="426"/>
      <c r="K27" s="120" t="s">
        <v>171</v>
      </c>
      <c r="L27" s="118">
        <v>135</v>
      </c>
      <c r="M27" s="118">
        <v>216</v>
      </c>
      <c r="N27" s="118">
        <v>135</v>
      </c>
      <c r="O27" s="118">
        <v>138</v>
      </c>
    </row>
    <row r="28" spans="1:15" x14ac:dyDescent="0.25">
      <c r="J28" s="426"/>
      <c r="K28" s="120" t="s">
        <v>172</v>
      </c>
      <c r="L28" s="118">
        <v>136</v>
      </c>
      <c r="M28" s="118">
        <v>183</v>
      </c>
      <c r="N28" s="118">
        <v>136</v>
      </c>
      <c r="O28" s="118">
        <v>138</v>
      </c>
    </row>
    <row r="29" spans="1:15" x14ac:dyDescent="0.25">
      <c r="J29" s="426"/>
      <c r="K29" s="120" t="s">
        <v>173</v>
      </c>
      <c r="L29" s="118">
        <v>137</v>
      </c>
      <c r="M29" s="118">
        <v>225</v>
      </c>
      <c r="N29" s="118">
        <v>137</v>
      </c>
      <c r="O29" s="118">
        <v>152</v>
      </c>
    </row>
    <row r="30" spans="1:15" x14ac:dyDescent="0.25">
      <c r="J30" s="426"/>
      <c r="K30" s="120" t="s">
        <v>174</v>
      </c>
      <c r="L30" s="118">
        <v>136</v>
      </c>
      <c r="M30" s="118">
        <v>251</v>
      </c>
      <c r="N30" s="118">
        <v>136</v>
      </c>
      <c r="O30" s="118">
        <v>146</v>
      </c>
    </row>
    <row r="31" spans="1:15" x14ac:dyDescent="0.25">
      <c r="J31" s="426"/>
      <c r="K31" s="120" t="s">
        <v>175</v>
      </c>
      <c r="L31" s="118">
        <v>135</v>
      </c>
      <c r="M31" s="118">
        <v>183</v>
      </c>
      <c r="N31" s="118">
        <v>135</v>
      </c>
      <c r="O31" s="118">
        <v>137</v>
      </c>
    </row>
    <row r="32" spans="1:15" x14ac:dyDescent="0.25">
      <c r="J32" s="426"/>
      <c r="K32" s="120" t="s">
        <v>176</v>
      </c>
      <c r="L32" s="118">
        <v>136</v>
      </c>
      <c r="M32" s="118">
        <v>201</v>
      </c>
      <c r="N32" s="118">
        <v>136</v>
      </c>
      <c r="O32" s="118">
        <v>138</v>
      </c>
    </row>
    <row r="33" spans="1:15" x14ac:dyDescent="0.25">
      <c r="J33" s="426"/>
      <c r="K33" s="120" t="s">
        <v>177</v>
      </c>
      <c r="L33" s="118">
        <v>135</v>
      </c>
      <c r="M33" s="118">
        <v>207</v>
      </c>
      <c r="N33" s="118">
        <v>135</v>
      </c>
      <c r="O33" s="118">
        <v>138</v>
      </c>
    </row>
    <row r="34" spans="1:15" x14ac:dyDescent="0.25">
      <c r="J34" s="426"/>
      <c r="K34" s="116" t="s">
        <v>267</v>
      </c>
      <c r="L34" s="116">
        <f>AVERAGE(L22:L33)</f>
        <v>135.66666666666666</v>
      </c>
      <c r="M34" s="116">
        <f>MAX(M22:M33)</f>
        <v>251</v>
      </c>
      <c r="N34" s="116">
        <f>AVERAGE(N22:N33)</f>
        <v>135.66666666666666</v>
      </c>
      <c r="O34" s="116">
        <f>MAX(O22:O33)</f>
        <v>152</v>
      </c>
    </row>
    <row r="36" spans="1:15" ht="41.4" x14ac:dyDescent="0.25">
      <c r="J36" s="115">
        <f>+A6</f>
        <v>2022</v>
      </c>
      <c r="K36" s="115" t="s">
        <v>265</v>
      </c>
      <c r="L36" s="121" t="s">
        <v>161</v>
      </c>
      <c r="M36" s="121" t="s">
        <v>162</v>
      </c>
      <c r="N36" s="121" t="s">
        <v>164</v>
      </c>
      <c r="O36" s="121" t="s">
        <v>165</v>
      </c>
    </row>
    <row r="37" spans="1:15" x14ac:dyDescent="0.25">
      <c r="J37" s="426" t="s">
        <v>114</v>
      </c>
      <c r="K37" s="120" t="s">
        <v>166</v>
      </c>
      <c r="L37" s="118"/>
      <c r="M37" s="118"/>
      <c r="N37" s="118"/>
      <c r="O37" s="118"/>
    </row>
    <row r="38" spans="1:15" x14ac:dyDescent="0.25">
      <c r="J38" s="426"/>
      <c r="K38" s="120" t="s">
        <v>167</v>
      </c>
      <c r="L38" s="118"/>
      <c r="M38" s="118"/>
      <c r="N38" s="118"/>
      <c r="O38" s="118"/>
    </row>
    <row r="39" spans="1:15" x14ac:dyDescent="0.25">
      <c r="J39" s="426"/>
      <c r="K39" s="120" t="s">
        <v>168</v>
      </c>
      <c r="L39" s="118"/>
      <c r="M39" s="118"/>
      <c r="N39" s="118"/>
      <c r="O39" s="118"/>
    </row>
    <row r="40" spans="1:15" x14ac:dyDescent="0.25">
      <c r="J40" s="426"/>
      <c r="K40" s="120" t="s">
        <v>169</v>
      </c>
      <c r="L40" s="118"/>
      <c r="M40" s="118"/>
      <c r="N40" s="118"/>
      <c r="O40" s="118"/>
    </row>
    <row r="41" spans="1:15" x14ac:dyDescent="0.25">
      <c r="J41" s="426"/>
      <c r="K41" s="120" t="s">
        <v>170</v>
      </c>
      <c r="L41" s="118"/>
      <c r="M41" s="118"/>
      <c r="N41" s="118"/>
      <c r="O41" s="118"/>
    </row>
    <row r="42" spans="1:15" x14ac:dyDescent="0.25">
      <c r="J42" s="426"/>
      <c r="K42" s="120" t="s">
        <v>171</v>
      </c>
      <c r="L42" s="118"/>
      <c r="M42" s="118"/>
      <c r="N42" s="118"/>
      <c r="O42" s="118"/>
    </row>
    <row r="43" spans="1:15" x14ac:dyDescent="0.25">
      <c r="J43" s="426"/>
      <c r="K43" s="120" t="s">
        <v>172</v>
      </c>
      <c r="L43" s="118"/>
      <c r="M43" s="118"/>
      <c r="N43" s="118"/>
      <c r="O43" s="118"/>
    </row>
    <row r="44" spans="1:15" x14ac:dyDescent="0.25">
      <c r="J44" s="426"/>
      <c r="K44" s="120" t="s">
        <v>173</v>
      </c>
      <c r="L44" s="118"/>
      <c r="M44" s="118"/>
      <c r="N44" s="118"/>
      <c r="O44" s="118"/>
    </row>
    <row r="45" spans="1:15" x14ac:dyDescent="0.25">
      <c r="J45" s="426"/>
      <c r="K45" s="120" t="s">
        <v>174</v>
      </c>
      <c r="L45" s="118"/>
      <c r="M45" s="118"/>
      <c r="N45" s="118"/>
      <c r="O45" s="118"/>
    </row>
    <row r="46" spans="1:15" x14ac:dyDescent="0.25">
      <c r="J46" s="426"/>
      <c r="K46" s="120" t="s">
        <v>175</v>
      </c>
      <c r="L46" s="118"/>
      <c r="M46" s="118"/>
      <c r="N46" s="118"/>
      <c r="O46" s="118"/>
    </row>
    <row r="47" spans="1:15" x14ac:dyDescent="0.25">
      <c r="J47" s="426"/>
      <c r="K47" s="120" t="s">
        <v>176</v>
      </c>
      <c r="L47" s="118"/>
      <c r="M47" s="118"/>
      <c r="N47" s="118"/>
      <c r="O47" s="118"/>
    </row>
    <row r="48" spans="1:15" x14ac:dyDescent="0.25">
      <c r="A48" s="438" t="s">
        <v>208</v>
      </c>
      <c r="B48" s="439"/>
      <c r="C48" s="439"/>
      <c r="D48" s="439"/>
      <c r="E48" s="439"/>
      <c r="F48" s="439"/>
      <c r="G48" s="440"/>
      <c r="J48" s="426"/>
      <c r="K48" s="120" t="s">
        <v>177</v>
      </c>
      <c r="L48" s="118"/>
      <c r="M48" s="118"/>
      <c r="N48" s="118"/>
      <c r="O48" s="118"/>
    </row>
    <row r="49" spans="1:15" x14ac:dyDescent="0.25">
      <c r="A49" s="429"/>
      <c r="B49" s="430"/>
      <c r="C49" s="430"/>
      <c r="D49" s="430"/>
      <c r="E49" s="430"/>
      <c r="F49" s="430"/>
      <c r="G49" s="431"/>
      <c r="J49" s="426"/>
      <c r="K49" s="116" t="s">
        <v>267</v>
      </c>
      <c r="L49" s="116" t="e">
        <f>AVERAGE(L37:L48)</f>
        <v>#DIV/0!</v>
      </c>
      <c r="M49" s="116">
        <f>MAX(M37:M48)</f>
        <v>0</v>
      </c>
      <c r="N49" s="116" t="e">
        <f>AVERAGE(N37:N48)</f>
        <v>#DIV/0!</v>
      </c>
      <c r="O49" s="116">
        <f>MAX(O37:O48)</f>
        <v>0</v>
      </c>
    </row>
    <row r="50" spans="1:15" x14ac:dyDescent="0.25">
      <c r="A50" s="432"/>
      <c r="B50" s="433"/>
      <c r="C50" s="433"/>
      <c r="D50" s="433"/>
      <c r="E50" s="433"/>
      <c r="F50" s="433"/>
      <c r="G50" s="434"/>
    </row>
    <row r="51" spans="1:15" ht="41.4" x14ac:dyDescent="0.25">
      <c r="A51" s="432"/>
      <c r="B51" s="433"/>
      <c r="C51" s="433"/>
      <c r="D51" s="433"/>
      <c r="E51" s="433"/>
      <c r="F51" s="433"/>
      <c r="G51" s="434"/>
      <c r="J51" s="115">
        <f>+A6</f>
        <v>2022</v>
      </c>
      <c r="K51" s="115" t="s">
        <v>265</v>
      </c>
      <c r="L51" s="121" t="s">
        <v>161</v>
      </c>
      <c r="M51" s="121" t="s">
        <v>162</v>
      </c>
      <c r="N51" s="121" t="s">
        <v>164</v>
      </c>
      <c r="O51" s="121" t="s">
        <v>165</v>
      </c>
    </row>
    <row r="52" spans="1:15" x14ac:dyDescent="0.25">
      <c r="A52" s="435"/>
      <c r="B52" s="436"/>
      <c r="C52" s="436"/>
      <c r="D52" s="436"/>
      <c r="E52" s="436"/>
      <c r="F52" s="436"/>
      <c r="G52" s="437"/>
      <c r="J52" s="426" t="s">
        <v>115</v>
      </c>
      <c r="K52" s="120" t="s">
        <v>166</v>
      </c>
      <c r="L52" s="118"/>
      <c r="M52" s="118"/>
      <c r="N52" s="118"/>
      <c r="O52" s="118"/>
    </row>
    <row r="53" spans="1:15" x14ac:dyDescent="0.25">
      <c r="J53" s="426"/>
      <c r="K53" s="120" t="s">
        <v>167</v>
      </c>
      <c r="L53" s="118"/>
      <c r="M53" s="118"/>
      <c r="N53" s="118"/>
      <c r="O53" s="118"/>
    </row>
    <row r="54" spans="1:15" x14ac:dyDescent="0.25">
      <c r="C54" s="197">
        <v>44981</v>
      </c>
      <c r="J54" s="426"/>
      <c r="K54" s="120" t="s">
        <v>168</v>
      </c>
      <c r="L54" s="118"/>
      <c r="M54" s="118"/>
      <c r="N54" s="118"/>
      <c r="O54" s="118"/>
    </row>
    <row r="55" spans="1:15" x14ac:dyDescent="0.25">
      <c r="J55" s="426"/>
      <c r="K55" s="120" t="s">
        <v>169</v>
      </c>
      <c r="L55" s="118"/>
      <c r="M55" s="118"/>
      <c r="N55" s="118"/>
      <c r="O55" s="118"/>
    </row>
    <row r="56" spans="1:15" x14ac:dyDescent="0.25">
      <c r="J56" s="426"/>
      <c r="K56" s="120" t="s">
        <v>170</v>
      </c>
      <c r="L56" s="118"/>
      <c r="M56" s="118"/>
      <c r="N56" s="118"/>
      <c r="O56" s="118"/>
    </row>
    <row r="57" spans="1:15" x14ac:dyDescent="0.25">
      <c r="J57" s="426"/>
      <c r="K57" s="120" t="s">
        <v>171</v>
      </c>
      <c r="L57" s="118"/>
      <c r="M57" s="118"/>
      <c r="N57" s="118"/>
      <c r="O57" s="118"/>
    </row>
    <row r="58" spans="1:15" x14ac:dyDescent="0.25">
      <c r="J58" s="426"/>
      <c r="K58" s="120" t="s">
        <v>172</v>
      </c>
      <c r="L58" s="118"/>
      <c r="M58" s="118"/>
      <c r="N58" s="118"/>
      <c r="O58" s="118"/>
    </row>
    <row r="59" spans="1:15" x14ac:dyDescent="0.25">
      <c r="J59" s="426"/>
      <c r="K59" s="120" t="s">
        <v>173</v>
      </c>
      <c r="L59" s="118"/>
      <c r="M59" s="118"/>
      <c r="N59" s="118"/>
      <c r="O59" s="118"/>
    </row>
    <row r="60" spans="1:15" x14ac:dyDescent="0.25">
      <c r="J60" s="426"/>
      <c r="K60" s="120" t="s">
        <v>174</v>
      </c>
      <c r="L60" s="118"/>
      <c r="M60" s="118"/>
      <c r="N60" s="118"/>
      <c r="O60" s="118"/>
    </row>
    <row r="61" spans="1:15" x14ac:dyDescent="0.25">
      <c r="J61" s="426"/>
      <c r="K61" s="120" t="s">
        <v>175</v>
      </c>
      <c r="L61" s="118"/>
      <c r="M61" s="118"/>
      <c r="N61" s="118"/>
      <c r="O61" s="118"/>
    </row>
    <row r="62" spans="1:15" x14ac:dyDescent="0.25">
      <c r="J62" s="426"/>
      <c r="K62" s="120" t="s">
        <v>176</v>
      </c>
      <c r="L62" s="118"/>
      <c r="M62" s="118"/>
      <c r="N62" s="118"/>
      <c r="O62" s="118"/>
    </row>
    <row r="63" spans="1:15" x14ac:dyDescent="0.25">
      <c r="J63" s="426"/>
      <c r="K63" s="120" t="s">
        <v>177</v>
      </c>
      <c r="L63" s="118"/>
      <c r="M63" s="118"/>
      <c r="N63" s="118"/>
      <c r="O63" s="118"/>
    </row>
    <row r="64" spans="1:15" x14ac:dyDescent="0.25">
      <c r="J64" s="426"/>
      <c r="K64" s="116" t="s">
        <v>267</v>
      </c>
      <c r="L64" s="116" t="e">
        <f>AVERAGE(L52:L63)</f>
        <v>#DIV/0!</v>
      </c>
      <c r="M64" s="116">
        <f>MAX(M52:M63)</f>
        <v>0</v>
      </c>
      <c r="N64" s="116" t="e">
        <f>AVERAGE(N52:N63)</f>
        <v>#DIV/0!</v>
      </c>
      <c r="O64" s="116">
        <f>MAX(O52:O63)</f>
        <v>0</v>
      </c>
    </row>
    <row r="66" spans="10:15" ht="41.4" x14ac:dyDescent="0.25">
      <c r="J66" s="115">
        <f>+A6</f>
        <v>2022</v>
      </c>
      <c r="K66" s="115" t="s">
        <v>265</v>
      </c>
      <c r="L66" s="121" t="s">
        <v>161</v>
      </c>
      <c r="M66" s="121" t="s">
        <v>162</v>
      </c>
      <c r="N66" s="121" t="s">
        <v>164</v>
      </c>
      <c r="O66" s="121" t="s">
        <v>165</v>
      </c>
    </row>
    <row r="67" spans="10:15" x14ac:dyDescent="0.25">
      <c r="J67" s="426" t="s">
        <v>116</v>
      </c>
      <c r="K67" s="120" t="s">
        <v>166</v>
      </c>
      <c r="L67" s="118"/>
      <c r="M67" s="118"/>
      <c r="N67" s="118"/>
      <c r="O67" s="118"/>
    </row>
    <row r="68" spans="10:15" x14ac:dyDescent="0.25">
      <c r="J68" s="426"/>
      <c r="K68" s="120" t="s">
        <v>167</v>
      </c>
      <c r="L68" s="118"/>
      <c r="M68" s="118"/>
      <c r="N68" s="118"/>
      <c r="O68" s="118"/>
    </row>
    <row r="69" spans="10:15" x14ac:dyDescent="0.25">
      <c r="J69" s="426"/>
      <c r="K69" s="120" t="s">
        <v>168</v>
      </c>
      <c r="L69" s="118"/>
      <c r="M69" s="118"/>
      <c r="N69" s="118"/>
      <c r="O69" s="118"/>
    </row>
    <row r="70" spans="10:15" x14ac:dyDescent="0.25">
      <c r="J70" s="426"/>
      <c r="K70" s="120" t="s">
        <v>169</v>
      </c>
      <c r="L70" s="118"/>
      <c r="M70" s="118"/>
      <c r="N70" s="118"/>
      <c r="O70" s="118"/>
    </row>
    <row r="71" spans="10:15" x14ac:dyDescent="0.25">
      <c r="J71" s="426"/>
      <c r="K71" s="120" t="s">
        <v>170</v>
      </c>
      <c r="L71" s="118"/>
      <c r="M71" s="118"/>
      <c r="N71" s="118"/>
      <c r="O71" s="118"/>
    </row>
    <row r="72" spans="10:15" x14ac:dyDescent="0.25">
      <c r="J72" s="426"/>
      <c r="K72" s="120" t="s">
        <v>171</v>
      </c>
      <c r="L72" s="118"/>
      <c r="M72" s="118"/>
      <c r="N72" s="118"/>
      <c r="O72" s="118"/>
    </row>
    <row r="73" spans="10:15" x14ac:dyDescent="0.25">
      <c r="J73" s="426"/>
      <c r="K73" s="120" t="s">
        <v>172</v>
      </c>
      <c r="L73" s="118"/>
      <c r="M73" s="118"/>
      <c r="N73" s="118"/>
      <c r="O73" s="118"/>
    </row>
    <row r="74" spans="10:15" x14ac:dyDescent="0.25">
      <c r="J74" s="426"/>
      <c r="K74" s="120" t="s">
        <v>173</v>
      </c>
      <c r="L74" s="118"/>
      <c r="M74" s="118"/>
      <c r="N74" s="118"/>
      <c r="O74" s="118"/>
    </row>
    <row r="75" spans="10:15" x14ac:dyDescent="0.25">
      <c r="J75" s="426"/>
      <c r="K75" s="120" t="s">
        <v>174</v>
      </c>
      <c r="L75" s="118"/>
      <c r="M75" s="118"/>
      <c r="N75" s="118"/>
      <c r="O75" s="118"/>
    </row>
    <row r="76" spans="10:15" x14ac:dyDescent="0.25">
      <c r="J76" s="426"/>
      <c r="K76" s="120" t="s">
        <v>175</v>
      </c>
      <c r="L76" s="118"/>
      <c r="M76" s="118"/>
      <c r="N76" s="118"/>
      <c r="O76" s="118"/>
    </row>
    <row r="77" spans="10:15" x14ac:dyDescent="0.25">
      <c r="J77" s="426"/>
      <c r="K77" s="120" t="s">
        <v>176</v>
      </c>
      <c r="L77" s="118"/>
      <c r="M77" s="118"/>
      <c r="N77" s="118"/>
      <c r="O77" s="118"/>
    </row>
    <row r="78" spans="10:15" x14ac:dyDescent="0.25">
      <c r="J78" s="426"/>
      <c r="K78" s="120" t="s">
        <v>177</v>
      </c>
      <c r="L78" s="118"/>
      <c r="M78" s="118"/>
      <c r="N78" s="118"/>
      <c r="O78" s="118"/>
    </row>
    <row r="79" spans="10:15" x14ac:dyDescent="0.25">
      <c r="J79" s="426"/>
      <c r="K79" s="116" t="s">
        <v>267</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view="pageBreakPreview" zoomScaleNormal="85" zoomScaleSheetLayoutView="100" workbookViewId="0">
      <selection activeCell="C52" sqref="C52"/>
    </sheetView>
  </sheetViews>
  <sheetFormatPr defaultRowHeight="13.8" x14ac:dyDescent="0.25"/>
  <cols>
    <col min="1" max="1" width="14" style="3" customWidth="1"/>
    <col min="2" max="4" width="17" style="70" customWidth="1"/>
    <col min="5" max="5" width="14.77734375" style="70" customWidth="1"/>
    <col min="6" max="7" width="17" style="70"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1.777343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x14ac:dyDescent="0.25">
      <c r="A1" s="2" t="str">
        <f>+'Cover Page'!$B$29</f>
        <v>Annual Performance Report 2022</v>
      </c>
      <c r="B1" s="2"/>
      <c r="C1" s="2"/>
      <c r="D1" s="2"/>
      <c r="E1" s="2" t="str">
        <f>+'Cover Page'!$B$33</f>
        <v>Severnside Energy Recovery Centre</v>
      </c>
    </row>
    <row r="3" spans="1:19" ht="14.4" x14ac:dyDescent="0.3">
      <c r="A3" s="114" t="s">
        <v>270</v>
      </c>
      <c r="D3" s="132" t="s">
        <v>299</v>
      </c>
      <c r="G3" s="136" t="s">
        <v>306</v>
      </c>
      <c r="J3" s="10" t="str">
        <f>+A3</f>
        <v>Monitoring of Total organic carbon emissions</v>
      </c>
      <c r="L3" s="10"/>
      <c r="N3" s="10" t="s">
        <v>300</v>
      </c>
      <c r="Q3" s="135" t="s">
        <v>294</v>
      </c>
      <c r="R3" s="130"/>
      <c r="S3" s="130"/>
    </row>
    <row r="4" spans="1:19" ht="13.95" customHeight="1" x14ac:dyDescent="0.25">
      <c r="Q4" s="417" t="s">
        <v>304</v>
      </c>
      <c r="R4" s="417"/>
      <c r="S4" s="417"/>
    </row>
    <row r="5" spans="1:19" ht="16.2" x14ac:dyDescent="0.25">
      <c r="A5" s="122" t="s">
        <v>266</v>
      </c>
      <c r="B5" s="428" t="s">
        <v>264</v>
      </c>
      <c r="C5" s="428"/>
      <c r="D5" s="428"/>
      <c r="E5" s="428" t="s">
        <v>263</v>
      </c>
      <c r="F5" s="428"/>
      <c r="G5" s="428"/>
      <c r="J5" s="427"/>
      <c r="K5" s="427"/>
      <c r="L5" s="427"/>
      <c r="M5" s="427"/>
      <c r="N5" s="427"/>
      <c r="O5" s="427"/>
      <c r="Q5" s="417"/>
      <c r="R5" s="417"/>
      <c r="S5" s="417"/>
    </row>
    <row r="6" spans="1:19" s="112" customFormat="1" ht="37.5" customHeight="1" x14ac:dyDescent="0.3">
      <c r="A6" s="119">
        <f>+'Cover Page'!C39</f>
        <v>2022</v>
      </c>
      <c r="B6" s="108" t="s">
        <v>182</v>
      </c>
      <c r="C6" s="108" t="s">
        <v>161</v>
      </c>
      <c r="D6" s="108" t="s">
        <v>315</v>
      </c>
      <c r="E6" s="108" t="s">
        <v>183</v>
      </c>
      <c r="F6" s="108" t="s">
        <v>164</v>
      </c>
      <c r="G6" s="108" t="s">
        <v>316</v>
      </c>
      <c r="H6" s="113"/>
      <c r="J6" s="115">
        <f>+A6</f>
        <v>2022</v>
      </c>
      <c r="K6" s="115" t="s">
        <v>265</v>
      </c>
      <c r="L6" s="121" t="s">
        <v>161</v>
      </c>
      <c r="M6" s="121" t="s">
        <v>162</v>
      </c>
      <c r="N6" s="121" t="s">
        <v>164</v>
      </c>
      <c r="O6" s="121" t="s">
        <v>165</v>
      </c>
      <c r="Q6" s="417"/>
      <c r="R6" s="417"/>
      <c r="S6" s="417"/>
    </row>
    <row r="7" spans="1:19" x14ac:dyDescent="0.25">
      <c r="A7" s="120" t="s">
        <v>166</v>
      </c>
      <c r="B7" s="117">
        <v>20</v>
      </c>
      <c r="C7" s="118">
        <f>AVERAGE(L7,L22)</f>
        <v>0.4</v>
      </c>
      <c r="D7" s="118">
        <f>AVERAGE(M7,M22)</f>
        <v>4.6500000000000004</v>
      </c>
      <c r="E7" s="117">
        <v>10</v>
      </c>
      <c r="F7" s="118">
        <f>AVERAGE(N7,N22)</f>
        <v>0.4</v>
      </c>
      <c r="G7" s="118">
        <f>AVERAGE(O7,O22)</f>
        <v>0.55000000000000004</v>
      </c>
      <c r="J7" s="426" t="s">
        <v>112</v>
      </c>
      <c r="K7" s="120" t="s">
        <v>166</v>
      </c>
      <c r="L7" s="118">
        <v>0.4</v>
      </c>
      <c r="M7" s="118">
        <v>4.4000000000000004</v>
      </c>
      <c r="N7" s="118">
        <v>0.4</v>
      </c>
      <c r="O7" s="118">
        <v>0.6</v>
      </c>
      <c r="Q7" s="417"/>
      <c r="R7" s="417"/>
      <c r="S7" s="417"/>
    </row>
    <row r="8" spans="1:19" x14ac:dyDescent="0.25">
      <c r="A8" s="120" t="s">
        <v>167</v>
      </c>
      <c r="B8" s="117">
        <v>20</v>
      </c>
      <c r="C8" s="118">
        <f t="shared" ref="C8:D8" si="0">AVERAGE(L8,L23)</f>
        <v>0.4</v>
      </c>
      <c r="D8" s="118">
        <f t="shared" si="0"/>
        <v>3.8</v>
      </c>
      <c r="E8" s="117">
        <v>10</v>
      </c>
      <c r="F8" s="118">
        <f t="shared" ref="F8:G8" si="1">AVERAGE(N8,N23)</f>
        <v>0.4</v>
      </c>
      <c r="G8" s="118">
        <f t="shared" si="1"/>
        <v>0.55000000000000004</v>
      </c>
      <c r="J8" s="426"/>
      <c r="K8" s="120" t="s">
        <v>167</v>
      </c>
      <c r="L8" s="118">
        <v>0.4</v>
      </c>
      <c r="M8" s="118">
        <v>3.1</v>
      </c>
      <c r="N8" s="118">
        <v>0.4</v>
      </c>
      <c r="O8" s="118">
        <v>0.6</v>
      </c>
      <c r="Q8" s="417"/>
      <c r="R8" s="417"/>
      <c r="S8" s="417"/>
    </row>
    <row r="9" spans="1:19" x14ac:dyDescent="0.25">
      <c r="A9" s="120" t="s">
        <v>168</v>
      </c>
      <c r="B9" s="117">
        <v>20</v>
      </c>
      <c r="C9" s="118">
        <f t="shared" ref="C9:D9" si="2">AVERAGE(L9,L24)</f>
        <v>0.4</v>
      </c>
      <c r="D9" s="118">
        <f t="shared" si="2"/>
        <v>3.25</v>
      </c>
      <c r="E9" s="117">
        <v>10</v>
      </c>
      <c r="F9" s="118">
        <f t="shared" ref="F9:G9" si="3">AVERAGE(N9,N24)</f>
        <v>0.4</v>
      </c>
      <c r="G9" s="118">
        <f t="shared" si="3"/>
        <v>0.5</v>
      </c>
      <c r="J9" s="426"/>
      <c r="K9" s="120" t="s">
        <v>168</v>
      </c>
      <c r="L9" s="118">
        <v>0.4</v>
      </c>
      <c r="M9" s="118">
        <v>2.9</v>
      </c>
      <c r="N9" s="118">
        <v>0.4</v>
      </c>
      <c r="O9" s="118">
        <v>0.5</v>
      </c>
      <c r="Q9" s="134" t="s">
        <v>305</v>
      </c>
    </row>
    <row r="10" spans="1:19" ht="14.25" customHeight="1" x14ac:dyDescent="0.25">
      <c r="A10" s="120" t="s">
        <v>169</v>
      </c>
      <c r="B10" s="117">
        <v>20</v>
      </c>
      <c r="C10" s="118">
        <f t="shared" ref="C10:D10" si="4">AVERAGE(L10,L25)</f>
        <v>0.25</v>
      </c>
      <c r="D10" s="118">
        <f t="shared" si="4"/>
        <v>1.75</v>
      </c>
      <c r="E10" s="117">
        <v>10</v>
      </c>
      <c r="F10" s="118">
        <f t="shared" ref="F10:G10" si="5">AVERAGE(N10,N25)</f>
        <v>0.25</v>
      </c>
      <c r="G10" s="118">
        <f t="shared" si="5"/>
        <v>0.45</v>
      </c>
      <c r="J10" s="426"/>
      <c r="K10" s="120" t="s">
        <v>169</v>
      </c>
      <c r="L10" s="118">
        <v>0.3</v>
      </c>
      <c r="M10" s="118">
        <v>1.4</v>
      </c>
      <c r="N10" s="118">
        <v>0.3</v>
      </c>
      <c r="O10" s="118">
        <v>0.4</v>
      </c>
      <c r="Q10" s="425" t="s">
        <v>320</v>
      </c>
      <c r="R10" s="425"/>
      <c r="S10" s="425"/>
    </row>
    <row r="11" spans="1:19" x14ac:dyDescent="0.25">
      <c r="A11" s="120" t="s">
        <v>170</v>
      </c>
      <c r="B11" s="117">
        <v>20</v>
      </c>
      <c r="C11" s="118">
        <f t="shared" ref="C11:D11" si="6">AVERAGE(L11,L26)</f>
        <v>0.25</v>
      </c>
      <c r="D11" s="118">
        <f t="shared" si="6"/>
        <v>6.3</v>
      </c>
      <c r="E11" s="117">
        <v>10</v>
      </c>
      <c r="F11" s="118">
        <f t="shared" ref="F11:G11" si="7">AVERAGE(N11,N26)</f>
        <v>0.25</v>
      </c>
      <c r="G11" s="118">
        <f t="shared" si="7"/>
        <v>0.44999999999999996</v>
      </c>
      <c r="J11" s="426"/>
      <c r="K11" s="120" t="s">
        <v>170</v>
      </c>
      <c r="L11" s="118">
        <v>0.3</v>
      </c>
      <c r="M11" s="118">
        <v>7.6</v>
      </c>
      <c r="N11" s="118">
        <v>0.3</v>
      </c>
      <c r="O11" s="118">
        <v>0.6</v>
      </c>
      <c r="Q11" s="425"/>
      <c r="R11" s="425"/>
      <c r="S11" s="425"/>
    </row>
    <row r="12" spans="1:19" x14ac:dyDescent="0.25">
      <c r="A12" s="120" t="s">
        <v>171</v>
      </c>
      <c r="B12" s="117">
        <v>20</v>
      </c>
      <c r="C12" s="118">
        <f t="shared" ref="C12:D12" si="8">AVERAGE(L12,L27)</f>
        <v>0.2</v>
      </c>
      <c r="D12" s="118">
        <f t="shared" si="8"/>
        <v>8.4499999999999993</v>
      </c>
      <c r="E12" s="117">
        <v>10</v>
      </c>
      <c r="F12" s="118">
        <f t="shared" ref="F12:G12" si="9">AVERAGE(N12,N27)</f>
        <v>0.2</v>
      </c>
      <c r="G12" s="118">
        <f t="shared" si="9"/>
        <v>0.45</v>
      </c>
      <c r="J12" s="426"/>
      <c r="K12" s="120" t="s">
        <v>171</v>
      </c>
      <c r="L12" s="118">
        <v>0.3</v>
      </c>
      <c r="M12" s="118">
        <v>5.2</v>
      </c>
      <c r="N12" s="118">
        <v>0.3</v>
      </c>
      <c r="O12" s="118">
        <v>0.5</v>
      </c>
      <c r="Q12" s="425"/>
      <c r="R12" s="425"/>
      <c r="S12" s="425"/>
    </row>
    <row r="13" spans="1:19" ht="14.25" customHeight="1" x14ac:dyDescent="0.25">
      <c r="A13" s="120" t="s">
        <v>172</v>
      </c>
      <c r="B13" s="117">
        <v>20</v>
      </c>
      <c r="C13" s="118">
        <f t="shared" ref="C13:D13" si="10">AVERAGE(L13,L28)</f>
        <v>0.2</v>
      </c>
      <c r="D13" s="118">
        <f t="shared" si="10"/>
        <v>5.15</v>
      </c>
      <c r="E13" s="117">
        <v>10</v>
      </c>
      <c r="F13" s="118">
        <f t="shared" ref="F13:G13" si="11">AVERAGE(N13,N28)</f>
        <v>0.2</v>
      </c>
      <c r="G13" s="118">
        <f t="shared" si="11"/>
        <v>0.30000000000000004</v>
      </c>
      <c r="J13" s="426"/>
      <c r="K13" s="120" t="s">
        <v>172</v>
      </c>
      <c r="L13" s="118">
        <v>0.3</v>
      </c>
      <c r="M13" s="118">
        <v>8.1</v>
      </c>
      <c r="N13" s="118">
        <v>0.3</v>
      </c>
      <c r="O13" s="118">
        <v>0.4</v>
      </c>
      <c r="Q13" s="425" t="s">
        <v>326</v>
      </c>
      <c r="R13" s="425"/>
      <c r="S13" s="425"/>
    </row>
    <row r="14" spans="1:19" x14ac:dyDescent="0.25">
      <c r="A14" s="120" t="s">
        <v>173</v>
      </c>
      <c r="B14" s="117">
        <v>20</v>
      </c>
      <c r="C14" s="118">
        <f t="shared" ref="C14:D14" si="12">AVERAGE(L14,L29)</f>
        <v>0.2</v>
      </c>
      <c r="D14" s="118">
        <f t="shared" si="12"/>
        <v>5.5</v>
      </c>
      <c r="E14" s="117">
        <v>10</v>
      </c>
      <c r="F14" s="118">
        <f t="shared" ref="F14:G14" si="13">AVERAGE(N14,N29)</f>
        <v>0.2</v>
      </c>
      <c r="G14" s="118">
        <f t="shared" si="13"/>
        <v>0.35</v>
      </c>
      <c r="J14" s="426"/>
      <c r="K14" s="120" t="s">
        <v>173</v>
      </c>
      <c r="L14" s="118">
        <v>0.3</v>
      </c>
      <c r="M14" s="118">
        <v>7.6</v>
      </c>
      <c r="N14" s="118">
        <v>0.3</v>
      </c>
      <c r="O14" s="118">
        <v>0.5</v>
      </c>
      <c r="Q14" s="425"/>
      <c r="R14" s="425"/>
      <c r="S14" s="425"/>
    </row>
    <row r="15" spans="1:19" x14ac:dyDescent="0.25">
      <c r="A15" s="120" t="s">
        <v>174</v>
      </c>
      <c r="B15" s="117">
        <v>20</v>
      </c>
      <c r="C15" s="118">
        <f t="shared" ref="C15:D15" si="14">AVERAGE(L15,L30)</f>
        <v>0.64999999999999991</v>
      </c>
      <c r="D15" s="118">
        <f t="shared" si="14"/>
        <v>30.65</v>
      </c>
      <c r="E15" s="117">
        <v>10</v>
      </c>
      <c r="F15" s="118">
        <f t="shared" ref="F15:G15" si="15">AVERAGE(N15,N30)</f>
        <v>0.64999999999999991</v>
      </c>
      <c r="G15" s="118">
        <f t="shared" si="15"/>
        <v>6.05</v>
      </c>
      <c r="J15" s="426"/>
      <c r="K15" s="120" t="s">
        <v>174</v>
      </c>
      <c r="L15" s="118">
        <v>0.7</v>
      </c>
      <c r="M15" s="118">
        <v>30.2</v>
      </c>
      <c r="N15" s="118">
        <v>0.7</v>
      </c>
      <c r="O15" s="118">
        <v>6.3</v>
      </c>
      <c r="Q15" s="425"/>
      <c r="R15" s="425"/>
      <c r="S15" s="425"/>
    </row>
    <row r="16" spans="1:19" x14ac:dyDescent="0.25">
      <c r="A16" s="120" t="s">
        <v>175</v>
      </c>
      <c r="B16" s="117">
        <v>20</v>
      </c>
      <c r="C16" s="118">
        <f t="shared" ref="C16:D16" si="16">AVERAGE(L16,L31)</f>
        <v>0.45</v>
      </c>
      <c r="D16" s="118">
        <f t="shared" si="16"/>
        <v>8.4499999999999993</v>
      </c>
      <c r="E16" s="117">
        <v>10</v>
      </c>
      <c r="F16" s="118">
        <f t="shared" ref="F16:G16" si="17">AVERAGE(N16,N31)</f>
        <v>0.45</v>
      </c>
      <c r="G16" s="118">
        <f t="shared" si="17"/>
        <v>1.25</v>
      </c>
      <c r="J16" s="426"/>
      <c r="K16" s="120" t="s">
        <v>175</v>
      </c>
      <c r="L16" s="118">
        <v>0.5</v>
      </c>
      <c r="M16" s="118">
        <v>9.4</v>
      </c>
      <c r="N16" s="118">
        <v>0.5</v>
      </c>
      <c r="O16" s="118">
        <v>1.2</v>
      </c>
      <c r="Q16" s="425"/>
      <c r="R16" s="425"/>
      <c r="S16" s="425"/>
    </row>
    <row r="17" spans="1:15" x14ac:dyDescent="0.25">
      <c r="A17" s="120" t="s">
        <v>176</v>
      </c>
      <c r="B17" s="117">
        <v>20</v>
      </c>
      <c r="C17" s="118">
        <f t="shared" ref="C17:D17" si="18">AVERAGE(L17,L32)</f>
        <v>0.15000000000000002</v>
      </c>
      <c r="D17" s="118">
        <f t="shared" si="18"/>
        <v>5.75</v>
      </c>
      <c r="E17" s="117">
        <v>10</v>
      </c>
      <c r="F17" s="118">
        <f t="shared" ref="F17:G17" si="19">AVERAGE(N17,N32)</f>
        <v>0.15000000000000002</v>
      </c>
      <c r="G17" s="118">
        <f t="shared" si="19"/>
        <v>0.35</v>
      </c>
      <c r="J17" s="426"/>
      <c r="K17" s="120" t="s">
        <v>176</v>
      </c>
      <c r="L17" s="118">
        <v>0.2</v>
      </c>
      <c r="M17" s="118">
        <v>6.3</v>
      </c>
      <c r="N17" s="118">
        <v>0.2</v>
      </c>
      <c r="O17" s="118">
        <v>0.4</v>
      </c>
    </row>
    <row r="18" spans="1:15" x14ac:dyDescent="0.25">
      <c r="A18" s="120" t="s">
        <v>177</v>
      </c>
      <c r="B18" s="117">
        <v>20</v>
      </c>
      <c r="C18" s="118">
        <f t="shared" ref="C18:D18" si="20">AVERAGE(L18,L33)</f>
        <v>0.2</v>
      </c>
      <c r="D18" s="118">
        <f t="shared" si="20"/>
        <v>1.9</v>
      </c>
      <c r="E18" s="117">
        <v>10</v>
      </c>
      <c r="F18" s="118">
        <f t="shared" ref="F18:G18" si="21">AVERAGE(N18,N33)</f>
        <v>0.2</v>
      </c>
      <c r="G18" s="118">
        <f t="shared" si="21"/>
        <v>0.35</v>
      </c>
      <c r="J18" s="426"/>
      <c r="K18" s="120" t="s">
        <v>177</v>
      </c>
      <c r="L18" s="118">
        <v>0.4</v>
      </c>
      <c r="M18" s="118">
        <v>2.9</v>
      </c>
      <c r="N18" s="118">
        <v>0.4</v>
      </c>
      <c r="O18" s="118">
        <v>0.6</v>
      </c>
    </row>
    <row r="19" spans="1:15" x14ac:dyDescent="0.25">
      <c r="J19" s="426"/>
      <c r="K19" s="116" t="s">
        <v>267</v>
      </c>
      <c r="L19" s="116">
        <f>AVERAGE(L7:L18)</f>
        <v>0.375</v>
      </c>
      <c r="M19" s="116">
        <f>MAX(M7:M18)</f>
        <v>30.2</v>
      </c>
      <c r="N19" s="116">
        <f>AVERAGE(N7:N18)</f>
        <v>0.375</v>
      </c>
      <c r="O19" s="116">
        <f>MAX(O7:O18)</f>
        <v>6.3</v>
      </c>
    </row>
    <row r="21" spans="1:15" ht="41.4" x14ac:dyDescent="0.25">
      <c r="J21" s="115">
        <f>+A6</f>
        <v>2022</v>
      </c>
      <c r="K21" s="115" t="s">
        <v>265</v>
      </c>
      <c r="L21" s="121" t="s">
        <v>161</v>
      </c>
      <c r="M21" s="121" t="s">
        <v>162</v>
      </c>
      <c r="N21" s="121" t="s">
        <v>164</v>
      </c>
      <c r="O21" s="121" t="s">
        <v>165</v>
      </c>
    </row>
    <row r="22" spans="1:15" x14ac:dyDescent="0.25">
      <c r="J22" s="426" t="s">
        <v>113</v>
      </c>
      <c r="K22" s="120" t="s">
        <v>166</v>
      </c>
      <c r="L22" s="118">
        <v>0.4</v>
      </c>
      <c r="M22" s="118">
        <v>4.9000000000000004</v>
      </c>
      <c r="N22" s="118">
        <v>0.4</v>
      </c>
      <c r="O22" s="118">
        <v>0.5</v>
      </c>
    </row>
    <row r="23" spans="1:15" x14ac:dyDescent="0.25">
      <c r="J23" s="426"/>
      <c r="K23" s="120" t="s">
        <v>167</v>
      </c>
      <c r="L23" s="118">
        <v>0.4</v>
      </c>
      <c r="M23" s="118">
        <v>4.5</v>
      </c>
      <c r="N23" s="118">
        <v>0.4</v>
      </c>
      <c r="O23" s="118">
        <v>0.5</v>
      </c>
    </row>
    <row r="24" spans="1:15" x14ac:dyDescent="0.25">
      <c r="J24" s="426"/>
      <c r="K24" s="120" t="s">
        <v>168</v>
      </c>
      <c r="L24" s="118">
        <v>0.4</v>
      </c>
      <c r="M24" s="118">
        <v>3.6</v>
      </c>
      <c r="N24" s="118">
        <v>0.4</v>
      </c>
      <c r="O24" s="118">
        <v>0.5</v>
      </c>
    </row>
    <row r="25" spans="1:15" x14ac:dyDescent="0.25">
      <c r="J25" s="426"/>
      <c r="K25" s="120" t="s">
        <v>169</v>
      </c>
      <c r="L25" s="118">
        <v>0.2</v>
      </c>
      <c r="M25" s="118">
        <v>2.1</v>
      </c>
      <c r="N25" s="118">
        <v>0.2</v>
      </c>
      <c r="O25" s="118">
        <v>0.5</v>
      </c>
    </row>
    <row r="26" spans="1:15" x14ac:dyDescent="0.25">
      <c r="J26" s="426"/>
      <c r="K26" s="120" t="s">
        <v>170</v>
      </c>
      <c r="L26" s="118">
        <v>0.2</v>
      </c>
      <c r="M26" s="118">
        <v>5</v>
      </c>
      <c r="N26" s="118">
        <v>0.2</v>
      </c>
      <c r="O26" s="118">
        <v>0.3</v>
      </c>
    </row>
    <row r="27" spans="1:15" x14ac:dyDescent="0.25">
      <c r="J27" s="426"/>
      <c r="K27" s="120" t="s">
        <v>171</v>
      </c>
      <c r="L27" s="118">
        <v>0.1</v>
      </c>
      <c r="M27" s="118">
        <v>11.7</v>
      </c>
      <c r="N27" s="118">
        <v>0.1</v>
      </c>
      <c r="O27" s="118">
        <v>0.4</v>
      </c>
    </row>
    <row r="28" spans="1:15" x14ac:dyDescent="0.25">
      <c r="J28" s="426"/>
      <c r="K28" s="120" t="s">
        <v>172</v>
      </c>
      <c r="L28" s="118">
        <v>0.1</v>
      </c>
      <c r="M28" s="118">
        <v>2.2000000000000002</v>
      </c>
      <c r="N28" s="118">
        <v>0.1</v>
      </c>
      <c r="O28" s="118">
        <v>0.2</v>
      </c>
    </row>
    <row r="29" spans="1:15" x14ac:dyDescent="0.25">
      <c r="J29" s="426"/>
      <c r="K29" s="120" t="s">
        <v>173</v>
      </c>
      <c r="L29" s="118">
        <v>0.1</v>
      </c>
      <c r="M29" s="118">
        <v>3.4</v>
      </c>
      <c r="N29" s="118">
        <v>0.1</v>
      </c>
      <c r="O29" s="118">
        <v>0.2</v>
      </c>
    </row>
    <row r="30" spans="1:15" x14ac:dyDescent="0.25">
      <c r="J30" s="426"/>
      <c r="K30" s="120" t="s">
        <v>174</v>
      </c>
      <c r="L30" s="118">
        <v>0.6</v>
      </c>
      <c r="M30" s="118">
        <v>31.1</v>
      </c>
      <c r="N30" s="118">
        <v>0.6</v>
      </c>
      <c r="O30" s="118">
        <v>5.8</v>
      </c>
    </row>
    <row r="31" spans="1:15" x14ac:dyDescent="0.25">
      <c r="J31" s="426"/>
      <c r="K31" s="120" t="s">
        <v>175</v>
      </c>
      <c r="L31" s="118">
        <v>0.4</v>
      </c>
      <c r="M31" s="118">
        <v>7.5</v>
      </c>
      <c r="N31" s="118">
        <v>0.4</v>
      </c>
      <c r="O31" s="118">
        <v>1.3</v>
      </c>
    </row>
    <row r="32" spans="1:15" x14ac:dyDescent="0.25">
      <c r="J32" s="426"/>
      <c r="K32" s="120" t="s">
        <v>176</v>
      </c>
      <c r="L32" s="118">
        <v>0.1</v>
      </c>
      <c r="M32" s="118">
        <v>5.2</v>
      </c>
      <c r="N32" s="118">
        <v>0.1</v>
      </c>
      <c r="O32" s="118">
        <v>0.3</v>
      </c>
    </row>
    <row r="33" spans="1:15" x14ac:dyDescent="0.25">
      <c r="J33" s="426"/>
      <c r="K33" s="120" t="s">
        <v>177</v>
      </c>
      <c r="L33" s="118">
        <v>0</v>
      </c>
      <c r="M33" s="118">
        <v>0.9</v>
      </c>
      <c r="N33" s="118">
        <v>0</v>
      </c>
      <c r="O33" s="118">
        <v>0.1</v>
      </c>
    </row>
    <row r="34" spans="1:15" x14ac:dyDescent="0.25">
      <c r="J34" s="426"/>
      <c r="K34" s="116" t="s">
        <v>267</v>
      </c>
      <c r="L34" s="116">
        <f>AVERAGE(L22:L33)</f>
        <v>0.25000000000000006</v>
      </c>
      <c r="M34" s="116">
        <f>MAX(M22:M33)</f>
        <v>31.1</v>
      </c>
      <c r="N34" s="116">
        <f>AVERAGE(N22:N33)</f>
        <v>0.25000000000000006</v>
      </c>
      <c r="O34" s="116">
        <f>MAX(O22:O33)</f>
        <v>5.8</v>
      </c>
    </row>
    <row r="36" spans="1:15" ht="41.4" x14ac:dyDescent="0.25">
      <c r="J36" s="115">
        <f>+A6</f>
        <v>2022</v>
      </c>
      <c r="K36" s="115" t="s">
        <v>265</v>
      </c>
      <c r="L36" s="121" t="s">
        <v>161</v>
      </c>
      <c r="M36" s="121" t="s">
        <v>162</v>
      </c>
      <c r="N36" s="121" t="s">
        <v>164</v>
      </c>
      <c r="O36" s="121" t="s">
        <v>165</v>
      </c>
    </row>
    <row r="37" spans="1:15" x14ac:dyDescent="0.25">
      <c r="J37" s="426" t="s">
        <v>114</v>
      </c>
      <c r="K37" s="120" t="s">
        <v>166</v>
      </c>
      <c r="L37" s="118"/>
      <c r="M37" s="118"/>
      <c r="N37" s="118"/>
      <c r="O37" s="118"/>
    </row>
    <row r="38" spans="1:15" x14ac:dyDescent="0.25">
      <c r="J38" s="426"/>
      <c r="K38" s="120" t="s">
        <v>167</v>
      </c>
      <c r="L38" s="118"/>
      <c r="M38" s="118"/>
      <c r="N38" s="118"/>
      <c r="O38" s="118"/>
    </row>
    <row r="39" spans="1:15" x14ac:dyDescent="0.25">
      <c r="J39" s="426"/>
      <c r="K39" s="120" t="s">
        <v>168</v>
      </c>
      <c r="L39" s="118"/>
      <c r="M39" s="118"/>
      <c r="N39" s="118"/>
      <c r="O39" s="118"/>
    </row>
    <row r="40" spans="1:15" x14ac:dyDescent="0.25">
      <c r="J40" s="426"/>
      <c r="K40" s="120" t="s">
        <v>169</v>
      </c>
      <c r="L40" s="118"/>
      <c r="M40" s="118"/>
      <c r="N40" s="118"/>
      <c r="O40" s="118"/>
    </row>
    <row r="41" spans="1:15" x14ac:dyDescent="0.25">
      <c r="J41" s="426"/>
      <c r="K41" s="120" t="s">
        <v>170</v>
      </c>
      <c r="L41" s="118"/>
      <c r="M41" s="118"/>
      <c r="N41" s="118"/>
      <c r="O41" s="118"/>
    </row>
    <row r="42" spans="1:15" x14ac:dyDescent="0.25">
      <c r="J42" s="426"/>
      <c r="K42" s="120" t="s">
        <v>171</v>
      </c>
      <c r="L42" s="118"/>
      <c r="M42" s="118"/>
      <c r="N42" s="118"/>
      <c r="O42" s="118"/>
    </row>
    <row r="43" spans="1:15" x14ac:dyDescent="0.25">
      <c r="J43" s="426"/>
      <c r="K43" s="120" t="s">
        <v>172</v>
      </c>
      <c r="L43" s="118"/>
      <c r="M43" s="118"/>
      <c r="N43" s="118"/>
      <c r="O43" s="118"/>
    </row>
    <row r="44" spans="1:15" x14ac:dyDescent="0.25">
      <c r="J44" s="426"/>
      <c r="K44" s="120" t="s">
        <v>173</v>
      </c>
      <c r="L44" s="118"/>
      <c r="M44" s="118"/>
      <c r="N44" s="118"/>
      <c r="O44" s="118"/>
    </row>
    <row r="45" spans="1:15" x14ac:dyDescent="0.25">
      <c r="J45" s="426"/>
      <c r="K45" s="120" t="s">
        <v>174</v>
      </c>
      <c r="L45" s="118"/>
      <c r="M45" s="118"/>
      <c r="N45" s="118"/>
      <c r="O45" s="118"/>
    </row>
    <row r="46" spans="1:15" x14ac:dyDescent="0.25">
      <c r="J46" s="426"/>
      <c r="K46" s="120" t="s">
        <v>175</v>
      </c>
      <c r="L46" s="118"/>
      <c r="M46" s="118"/>
      <c r="N46" s="118"/>
      <c r="O46" s="118"/>
    </row>
    <row r="47" spans="1:15" x14ac:dyDescent="0.25">
      <c r="J47" s="426"/>
      <c r="K47" s="120" t="s">
        <v>176</v>
      </c>
      <c r="L47" s="118"/>
      <c r="M47" s="118"/>
      <c r="N47" s="118"/>
      <c r="O47" s="118"/>
    </row>
    <row r="48" spans="1:15" x14ac:dyDescent="0.25">
      <c r="A48" s="438" t="s">
        <v>208</v>
      </c>
      <c r="B48" s="439"/>
      <c r="C48" s="439"/>
      <c r="D48" s="439"/>
      <c r="E48" s="439"/>
      <c r="F48" s="439"/>
      <c r="G48" s="440"/>
      <c r="J48" s="426"/>
      <c r="K48" s="120" t="s">
        <v>177</v>
      </c>
      <c r="L48" s="118"/>
      <c r="M48" s="118"/>
      <c r="N48" s="118"/>
      <c r="O48" s="118"/>
    </row>
    <row r="49" spans="1:15" x14ac:dyDescent="0.25">
      <c r="A49" s="429"/>
      <c r="B49" s="430"/>
      <c r="C49" s="430"/>
      <c r="D49" s="430"/>
      <c r="E49" s="430"/>
      <c r="F49" s="430"/>
      <c r="G49" s="431"/>
      <c r="J49" s="426"/>
      <c r="K49" s="116" t="s">
        <v>267</v>
      </c>
      <c r="L49" s="116" t="e">
        <f>AVERAGE(L37:L48)</f>
        <v>#DIV/0!</v>
      </c>
      <c r="M49" s="116">
        <f>MAX(M37:M48)</f>
        <v>0</v>
      </c>
      <c r="N49" s="116" t="e">
        <f>AVERAGE(N37:N48)</f>
        <v>#DIV/0!</v>
      </c>
      <c r="O49" s="116">
        <f>MAX(O37:O48)</f>
        <v>0</v>
      </c>
    </row>
    <row r="50" spans="1:15" x14ac:dyDescent="0.25">
      <c r="A50" s="432"/>
      <c r="B50" s="433"/>
      <c r="C50" s="433"/>
      <c r="D50" s="433"/>
      <c r="E50" s="433"/>
      <c r="F50" s="433"/>
      <c r="G50" s="434"/>
    </row>
    <row r="51" spans="1:15" ht="41.4" x14ac:dyDescent="0.25">
      <c r="A51" s="432"/>
      <c r="B51" s="433"/>
      <c r="C51" s="433"/>
      <c r="D51" s="433"/>
      <c r="E51" s="433"/>
      <c r="F51" s="433"/>
      <c r="G51" s="434"/>
      <c r="J51" s="115">
        <f>+A6</f>
        <v>2022</v>
      </c>
      <c r="K51" s="115" t="s">
        <v>265</v>
      </c>
      <c r="L51" s="121" t="s">
        <v>161</v>
      </c>
      <c r="M51" s="121" t="s">
        <v>162</v>
      </c>
      <c r="N51" s="121" t="s">
        <v>164</v>
      </c>
      <c r="O51" s="121" t="s">
        <v>165</v>
      </c>
    </row>
    <row r="52" spans="1:15" x14ac:dyDescent="0.25">
      <c r="A52" s="435"/>
      <c r="B52" s="436"/>
      <c r="C52" s="436"/>
      <c r="D52" s="436"/>
      <c r="E52" s="436"/>
      <c r="F52" s="436"/>
      <c r="G52" s="437"/>
      <c r="J52" s="426" t="s">
        <v>115</v>
      </c>
      <c r="K52" s="120" t="s">
        <v>166</v>
      </c>
      <c r="L52" s="118"/>
      <c r="M52" s="118"/>
      <c r="N52" s="118"/>
      <c r="O52" s="118"/>
    </row>
    <row r="53" spans="1:15" x14ac:dyDescent="0.25">
      <c r="J53" s="426"/>
      <c r="K53" s="120" t="s">
        <v>167</v>
      </c>
      <c r="L53" s="118"/>
      <c r="M53" s="118"/>
      <c r="N53" s="118"/>
      <c r="O53" s="118"/>
    </row>
    <row r="54" spans="1:15" x14ac:dyDescent="0.25">
      <c r="C54" s="197">
        <v>44981</v>
      </c>
      <c r="J54" s="426"/>
      <c r="K54" s="120" t="s">
        <v>168</v>
      </c>
      <c r="L54" s="118"/>
      <c r="M54" s="118"/>
      <c r="N54" s="118"/>
      <c r="O54" s="118"/>
    </row>
    <row r="55" spans="1:15" x14ac:dyDescent="0.25">
      <c r="J55" s="426"/>
      <c r="K55" s="120" t="s">
        <v>169</v>
      </c>
      <c r="L55" s="118"/>
      <c r="M55" s="118"/>
      <c r="N55" s="118"/>
      <c r="O55" s="118"/>
    </row>
    <row r="56" spans="1:15" x14ac:dyDescent="0.25">
      <c r="J56" s="426"/>
      <c r="K56" s="120" t="s">
        <v>170</v>
      </c>
      <c r="L56" s="118"/>
      <c r="M56" s="118"/>
      <c r="N56" s="118"/>
      <c r="O56" s="118"/>
    </row>
    <row r="57" spans="1:15" x14ac:dyDescent="0.25">
      <c r="J57" s="426"/>
      <c r="K57" s="120" t="s">
        <v>171</v>
      </c>
      <c r="L57" s="118"/>
      <c r="M57" s="118"/>
      <c r="N57" s="118"/>
      <c r="O57" s="118"/>
    </row>
    <row r="58" spans="1:15" x14ac:dyDescent="0.25">
      <c r="J58" s="426"/>
      <c r="K58" s="120" t="s">
        <v>172</v>
      </c>
      <c r="L58" s="118"/>
      <c r="M58" s="118"/>
      <c r="N58" s="118"/>
      <c r="O58" s="118"/>
    </row>
    <row r="59" spans="1:15" x14ac:dyDescent="0.25">
      <c r="J59" s="426"/>
      <c r="K59" s="120" t="s">
        <v>173</v>
      </c>
      <c r="L59" s="118"/>
      <c r="M59" s="118"/>
      <c r="N59" s="118"/>
      <c r="O59" s="118"/>
    </row>
    <row r="60" spans="1:15" x14ac:dyDescent="0.25">
      <c r="J60" s="426"/>
      <c r="K60" s="120" t="s">
        <v>174</v>
      </c>
      <c r="L60" s="118"/>
      <c r="M60" s="118"/>
      <c r="N60" s="118"/>
      <c r="O60" s="118"/>
    </row>
    <row r="61" spans="1:15" x14ac:dyDescent="0.25">
      <c r="J61" s="426"/>
      <c r="K61" s="120" t="s">
        <v>175</v>
      </c>
      <c r="L61" s="118"/>
      <c r="M61" s="118"/>
      <c r="N61" s="118"/>
      <c r="O61" s="118"/>
    </row>
    <row r="62" spans="1:15" x14ac:dyDescent="0.25">
      <c r="J62" s="426"/>
      <c r="K62" s="120" t="s">
        <v>176</v>
      </c>
      <c r="L62" s="118"/>
      <c r="M62" s="118"/>
      <c r="N62" s="118"/>
      <c r="O62" s="118"/>
    </row>
    <row r="63" spans="1:15" x14ac:dyDescent="0.25">
      <c r="J63" s="426"/>
      <c r="K63" s="120" t="s">
        <v>177</v>
      </c>
      <c r="L63" s="118"/>
      <c r="M63" s="118"/>
      <c r="N63" s="118"/>
      <c r="O63" s="118"/>
    </row>
    <row r="64" spans="1:15" x14ac:dyDescent="0.25">
      <c r="J64" s="426"/>
      <c r="K64" s="116" t="s">
        <v>267</v>
      </c>
      <c r="L64" s="116" t="e">
        <f>AVERAGE(L52:L63)</f>
        <v>#DIV/0!</v>
      </c>
      <c r="M64" s="116">
        <f>MAX(M52:M63)</f>
        <v>0</v>
      </c>
      <c r="N64" s="116" t="e">
        <f>AVERAGE(N52:N63)</f>
        <v>#DIV/0!</v>
      </c>
      <c r="O64" s="116">
        <f>MAX(O52:O63)</f>
        <v>0</v>
      </c>
    </row>
    <row r="66" spans="10:15" ht="41.4" x14ac:dyDescent="0.25">
      <c r="J66" s="115">
        <f>+A6</f>
        <v>2022</v>
      </c>
      <c r="K66" s="115" t="s">
        <v>265</v>
      </c>
      <c r="L66" s="121" t="s">
        <v>161</v>
      </c>
      <c r="M66" s="121" t="s">
        <v>162</v>
      </c>
      <c r="N66" s="121" t="s">
        <v>164</v>
      </c>
      <c r="O66" s="121" t="s">
        <v>165</v>
      </c>
    </row>
    <row r="67" spans="10:15" x14ac:dyDescent="0.25">
      <c r="J67" s="426" t="s">
        <v>116</v>
      </c>
      <c r="K67" s="120" t="s">
        <v>166</v>
      </c>
      <c r="L67" s="118"/>
      <c r="M67" s="118"/>
      <c r="N67" s="118"/>
      <c r="O67" s="118"/>
    </row>
    <row r="68" spans="10:15" x14ac:dyDescent="0.25">
      <c r="J68" s="426"/>
      <c r="K68" s="120" t="s">
        <v>167</v>
      </c>
      <c r="L68" s="118"/>
      <c r="M68" s="118"/>
      <c r="N68" s="118"/>
      <c r="O68" s="118"/>
    </row>
    <row r="69" spans="10:15" x14ac:dyDescent="0.25">
      <c r="J69" s="426"/>
      <c r="K69" s="120" t="s">
        <v>168</v>
      </c>
      <c r="L69" s="118"/>
      <c r="M69" s="118"/>
      <c r="N69" s="118"/>
      <c r="O69" s="118"/>
    </row>
    <row r="70" spans="10:15" x14ac:dyDescent="0.25">
      <c r="J70" s="426"/>
      <c r="K70" s="120" t="s">
        <v>169</v>
      </c>
      <c r="L70" s="118"/>
      <c r="M70" s="118"/>
      <c r="N70" s="118"/>
      <c r="O70" s="118"/>
    </row>
    <row r="71" spans="10:15" x14ac:dyDescent="0.25">
      <c r="J71" s="426"/>
      <c r="K71" s="120" t="s">
        <v>170</v>
      </c>
      <c r="L71" s="118"/>
      <c r="M71" s="118"/>
      <c r="N71" s="118"/>
      <c r="O71" s="118"/>
    </row>
    <row r="72" spans="10:15" x14ac:dyDescent="0.25">
      <c r="J72" s="426"/>
      <c r="K72" s="120" t="s">
        <v>171</v>
      </c>
      <c r="L72" s="118"/>
      <c r="M72" s="118"/>
      <c r="N72" s="118"/>
      <c r="O72" s="118"/>
    </row>
    <row r="73" spans="10:15" x14ac:dyDescent="0.25">
      <c r="J73" s="426"/>
      <c r="K73" s="120" t="s">
        <v>172</v>
      </c>
      <c r="L73" s="118"/>
      <c r="M73" s="118"/>
      <c r="N73" s="118"/>
      <c r="O73" s="118"/>
    </row>
    <row r="74" spans="10:15" x14ac:dyDescent="0.25">
      <c r="J74" s="426"/>
      <c r="K74" s="120" t="s">
        <v>173</v>
      </c>
      <c r="L74" s="118"/>
      <c r="M74" s="118"/>
      <c r="N74" s="118"/>
      <c r="O74" s="118"/>
    </row>
    <row r="75" spans="10:15" x14ac:dyDescent="0.25">
      <c r="J75" s="426"/>
      <c r="K75" s="120" t="s">
        <v>174</v>
      </c>
      <c r="L75" s="118"/>
      <c r="M75" s="118"/>
      <c r="N75" s="118"/>
      <c r="O75" s="118"/>
    </row>
    <row r="76" spans="10:15" x14ac:dyDescent="0.25">
      <c r="J76" s="426"/>
      <c r="K76" s="120" t="s">
        <v>175</v>
      </c>
      <c r="L76" s="118"/>
      <c r="M76" s="118"/>
      <c r="N76" s="118"/>
      <c r="O76" s="118"/>
    </row>
    <row r="77" spans="10:15" x14ac:dyDescent="0.25">
      <c r="J77" s="426"/>
      <c r="K77" s="120" t="s">
        <v>176</v>
      </c>
      <c r="L77" s="118"/>
      <c r="M77" s="118"/>
      <c r="N77" s="118"/>
      <c r="O77" s="118"/>
    </row>
    <row r="78" spans="10:15" x14ac:dyDescent="0.25">
      <c r="J78" s="426"/>
      <c r="K78" s="120" t="s">
        <v>177</v>
      </c>
      <c r="L78" s="118"/>
      <c r="M78" s="118"/>
      <c r="N78" s="118"/>
      <c r="O78" s="118"/>
    </row>
    <row r="79" spans="10:15" x14ac:dyDescent="0.25">
      <c r="J79" s="426"/>
      <c r="K79" s="116" t="s">
        <v>267</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view="pageBreakPreview" zoomScaleNormal="85" zoomScaleSheetLayoutView="100" workbookViewId="0">
      <selection activeCell="C52" sqref="C52"/>
    </sheetView>
  </sheetViews>
  <sheetFormatPr defaultRowHeight="13.8" x14ac:dyDescent="0.25"/>
  <cols>
    <col min="1" max="1" width="14" style="3" customWidth="1"/>
    <col min="2" max="4" width="17" style="70" customWidth="1"/>
    <col min="5" max="5" width="14.77734375" style="70" customWidth="1"/>
    <col min="6" max="7" width="17" style="70"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2.21875"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x14ac:dyDescent="0.25">
      <c r="A1" s="2" t="str">
        <f>+'Cover Page'!$B$29</f>
        <v>Annual Performance Report 2022</v>
      </c>
      <c r="B1" s="2"/>
      <c r="C1" s="2"/>
      <c r="D1" s="2"/>
      <c r="E1" s="2" t="str">
        <f>+'Cover Page'!$B$33</f>
        <v>Severnside Energy Recovery Centre</v>
      </c>
    </row>
    <row r="3" spans="1:19" ht="14.4" x14ac:dyDescent="0.3">
      <c r="A3" s="114" t="s">
        <v>271</v>
      </c>
      <c r="D3" s="132" t="s">
        <v>299</v>
      </c>
      <c r="G3" s="136" t="s">
        <v>306</v>
      </c>
      <c r="J3" s="10" t="str">
        <f>+A3</f>
        <v>Monitoring of Particulate matter emissions</v>
      </c>
      <c r="L3" s="10"/>
      <c r="N3" s="10" t="s">
        <v>300</v>
      </c>
      <c r="Q3" s="135" t="s">
        <v>294</v>
      </c>
      <c r="R3" s="130"/>
      <c r="S3" s="130"/>
    </row>
    <row r="4" spans="1:19" ht="13.95" customHeight="1" x14ac:dyDescent="0.25">
      <c r="Q4" s="417" t="s">
        <v>304</v>
      </c>
      <c r="R4" s="417"/>
      <c r="S4" s="417"/>
    </row>
    <row r="5" spans="1:19" ht="16.2" x14ac:dyDescent="0.25">
      <c r="A5" s="122" t="s">
        <v>266</v>
      </c>
      <c r="B5" s="428" t="s">
        <v>264</v>
      </c>
      <c r="C5" s="428"/>
      <c r="D5" s="428"/>
      <c r="E5" s="428" t="s">
        <v>263</v>
      </c>
      <c r="F5" s="428"/>
      <c r="G5" s="428"/>
      <c r="J5" s="427"/>
      <c r="K5" s="427"/>
      <c r="L5" s="427"/>
      <c r="M5" s="427"/>
      <c r="N5" s="427"/>
      <c r="O5" s="427"/>
      <c r="Q5" s="417"/>
      <c r="R5" s="417"/>
      <c r="S5" s="417"/>
    </row>
    <row r="6" spans="1:19" s="112" customFormat="1" ht="37.5" customHeight="1" x14ac:dyDescent="0.3">
      <c r="A6" s="119">
        <f>+'Cover Page'!C39</f>
        <v>2022</v>
      </c>
      <c r="B6" s="108" t="s">
        <v>184</v>
      </c>
      <c r="C6" s="108" t="s">
        <v>161</v>
      </c>
      <c r="D6" s="108" t="s">
        <v>315</v>
      </c>
      <c r="E6" s="108" t="s">
        <v>185</v>
      </c>
      <c r="F6" s="108" t="s">
        <v>164</v>
      </c>
      <c r="G6" s="108" t="s">
        <v>316</v>
      </c>
      <c r="H6" s="113"/>
      <c r="J6" s="115">
        <f>+A6</f>
        <v>2022</v>
      </c>
      <c r="K6" s="115" t="s">
        <v>265</v>
      </c>
      <c r="L6" s="121" t="s">
        <v>161</v>
      </c>
      <c r="M6" s="121" t="s">
        <v>162</v>
      </c>
      <c r="N6" s="121" t="s">
        <v>164</v>
      </c>
      <c r="O6" s="121" t="s">
        <v>165</v>
      </c>
      <c r="Q6" s="417"/>
      <c r="R6" s="417"/>
      <c r="S6" s="417"/>
    </row>
    <row r="7" spans="1:19" x14ac:dyDescent="0.25">
      <c r="A7" s="120" t="s">
        <v>166</v>
      </c>
      <c r="B7" s="117">
        <v>30</v>
      </c>
      <c r="C7" s="118">
        <f>AVERAGE(L7,L22)</f>
        <v>4.1999999999999993</v>
      </c>
      <c r="D7" s="118">
        <f>AVERAGE(M7,M22)</f>
        <v>14.55</v>
      </c>
      <c r="E7" s="117">
        <v>10</v>
      </c>
      <c r="F7" s="118">
        <f>AVERAGE(N7,N22)</f>
        <v>4.1999999999999993</v>
      </c>
      <c r="G7" s="118">
        <f>AVERAGE(O7,O22)</f>
        <v>6.6999999999999993</v>
      </c>
      <c r="J7" s="426" t="s">
        <v>112</v>
      </c>
      <c r="K7" s="120" t="s">
        <v>166</v>
      </c>
      <c r="L7" s="118">
        <v>3.3</v>
      </c>
      <c r="M7" s="118">
        <v>20.100000000000001</v>
      </c>
      <c r="N7" s="118">
        <v>3.3</v>
      </c>
      <c r="O7" s="118">
        <v>7.3</v>
      </c>
      <c r="Q7" s="417"/>
      <c r="R7" s="417"/>
      <c r="S7" s="417"/>
    </row>
    <row r="8" spans="1:19" x14ac:dyDescent="0.25">
      <c r="A8" s="120" t="s">
        <v>167</v>
      </c>
      <c r="B8" s="117">
        <v>30</v>
      </c>
      <c r="C8" s="118">
        <f t="shared" ref="C8:D8" si="0">AVERAGE(L8,L23)</f>
        <v>4.3499999999999996</v>
      </c>
      <c r="D8" s="118">
        <f t="shared" si="0"/>
        <v>19.2</v>
      </c>
      <c r="E8" s="117">
        <v>10</v>
      </c>
      <c r="F8" s="118">
        <f t="shared" ref="F8:G8" si="1">AVERAGE(N8,N23)</f>
        <v>4.3499999999999996</v>
      </c>
      <c r="G8" s="118">
        <f t="shared" si="1"/>
        <v>6.1</v>
      </c>
      <c r="J8" s="426"/>
      <c r="K8" s="120" t="s">
        <v>167</v>
      </c>
      <c r="L8" s="118">
        <v>3</v>
      </c>
      <c r="M8" s="118">
        <v>14.5</v>
      </c>
      <c r="N8" s="118">
        <v>3</v>
      </c>
      <c r="O8" s="118">
        <v>5.4</v>
      </c>
      <c r="Q8" s="417"/>
      <c r="R8" s="417"/>
      <c r="S8" s="417"/>
    </row>
    <row r="9" spans="1:19" x14ac:dyDescent="0.25">
      <c r="A9" s="120" t="s">
        <v>168</v>
      </c>
      <c r="B9" s="117">
        <v>30</v>
      </c>
      <c r="C9" s="118">
        <f t="shared" ref="C9:D9" si="2">AVERAGE(L9,L24)</f>
        <v>4.05</v>
      </c>
      <c r="D9" s="118">
        <f t="shared" si="2"/>
        <v>19.2</v>
      </c>
      <c r="E9" s="117">
        <v>10</v>
      </c>
      <c r="F9" s="118">
        <f t="shared" ref="F9:G9" si="3">AVERAGE(N9,N24)</f>
        <v>4.05</v>
      </c>
      <c r="G9" s="118">
        <f t="shared" si="3"/>
        <v>6.15</v>
      </c>
      <c r="J9" s="426"/>
      <c r="K9" s="120" t="s">
        <v>168</v>
      </c>
      <c r="L9" s="118">
        <v>3.1</v>
      </c>
      <c r="M9" s="118">
        <v>27.4</v>
      </c>
      <c r="N9" s="118">
        <v>3.1</v>
      </c>
      <c r="O9" s="118">
        <v>5.9</v>
      </c>
      <c r="Q9" s="134" t="s">
        <v>305</v>
      </c>
    </row>
    <row r="10" spans="1:19" ht="14.25" customHeight="1" x14ac:dyDescent="0.25">
      <c r="A10" s="120" t="s">
        <v>169</v>
      </c>
      <c r="B10" s="117">
        <v>30</v>
      </c>
      <c r="C10" s="118">
        <f t="shared" ref="C10:D10" si="4">AVERAGE(L10,L25)</f>
        <v>4</v>
      </c>
      <c r="D10" s="118">
        <f t="shared" si="4"/>
        <v>7.5500000000000007</v>
      </c>
      <c r="E10" s="117">
        <v>10</v>
      </c>
      <c r="F10" s="118">
        <f t="shared" ref="F10:G10" si="5">AVERAGE(N10,N25)</f>
        <v>4</v>
      </c>
      <c r="G10" s="118">
        <f t="shared" si="5"/>
        <v>6.1</v>
      </c>
      <c r="J10" s="426"/>
      <c r="K10" s="120" t="s">
        <v>169</v>
      </c>
      <c r="L10" s="118">
        <v>2.9</v>
      </c>
      <c r="M10" s="118">
        <v>4.8</v>
      </c>
      <c r="N10" s="118">
        <v>2.9</v>
      </c>
      <c r="O10" s="118">
        <v>3.7</v>
      </c>
      <c r="Q10" s="425" t="s">
        <v>320</v>
      </c>
      <c r="R10" s="425"/>
      <c r="S10" s="425"/>
    </row>
    <row r="11" spans="1:19" x14ac:dyDescent="0.25">
      <c r="A11" s="120" t="s">
        <v>170</v>
      </c>
      <c r="B11" s="117">
        <v>30</v>
      </c>
      <c r="C11" s="118">
        <f t="shared" ref="C11:D11" si="6">AVERAGE(L11,L26)</f>
        <v>4.6500000000000004</v>
      </c>
      <c r="D11" s="118">
        <f t="shared" si="6"/>
        <v>11.649999999999999</v>
      </c>
      <c r="E11" s="117">
        <v>10</v>
      </c>
      <c r="F11" s="118">
        <f t="shared" ref="F11:G11" si="7">AVERAGE(N11,N26)</f>
        <v>4.6500000000000004</v>
      </c>
      <c r="G11" s="118">
        <f t="shared" si="7"/>
        <v>5.8</v>
      </c>
      <c r="J11" s="426"/>
      <c r="K11" s="120" t="s">
        <v>170</v>
      </c>
      <c r="L11" s="118">
        <v>3.4</v>
      </c>
      <c r="M11" s="118">
        <v>6.9</v>
      </c>
      <c r="N11" s="118">
        <v>3.4</v>
      </c>
      <c r="O11" s="118">
        <v>4.5</v>
      </c>
      <c r="Q11" s="425"/>
      <c r="R11" s="425"/>
      <c r="S11" s="425"/>
    </row>
    <row r="12" spans="1:19" x14ac:dyDescent="0.25">
      <c r="A12" s="120" t="s">
        <v>171</v>
      </c>
      <c r="B12" s="117">
        <v>30</v>
      </c>
      <c r="C12" s="118">
        <f t="shared" ref="C12:D12" si="8">AVERAGE(L12,L27)</f>
        <v>4.7</v>
      </c>
      <c r="D12" s="118">
        <f t="shared" si="8"/>
        <v>12.45</v>
      </c>
      <c r="E12" s="117">
        <v>10</v>
      </c>
      <c r="F12" s="118">
        <f t="shared" ref="F12:G12" si="9">AVERAGE(N12,N27)</f>
        <v>4.7</v>
      </c>
      <c r="G12" s="118">
        <f t="shared" si="9"/>
        <v>6</v>
      </c>
      <c r="J12" s="426"/>
      <c r="K12" s="120" t="s">
        <v>171</v>
      </c>
      <c r="L12" s="118">
        <v>3.6</v>
      </c>
      <c r="M12" s="118">
        <v>15.2</v>
      </c>
      <c r="N12" s="118">
        <v>3.6</v>
      </c>
      <c r="O12" s="118">
        <v>3.7</v>
      </c>
      <c r="Q12" s="425"/>
      <c r="R12" s="425"/>
      <c r="S12" s="425"/>
    </row>
    <row r="13" spans="1:19" ht="14.25" customHeight="1" x14ac:dyDescent="0.25">
      <c r="A13" s="120" t="s">
        <v>172</v>
      </c>
      <c r="B13" s="117">
        <v>30</v>
      </c>
      <c r="C13" s="118">
        <f t="shared" ref="C13:D13" si="10">AVERAGE(L13,L28)</f>
        <v>1.9500000000000002</v>
      </c>
      <c r="D13" s="118">
        <f t="shared" si="10"/>
        <v>15.100000000000001</v>
      </c>
      <c r="E13" s="117">
        <v>10</v>
      </c>
      <c r="F13" s="118">
        <f t="shared" ref="F13:G13" si="11">AVERAGE(N13,N28)</f>
        <v>1.9500000000000002</v>
      </c>
      <c r="G13" s="118">
        <f t="shared" si="11"/>
        <v>4.75</v>
      </c>
      <c r="J13" s="426"/>
      <c r="K13" s="120" t="s">
        <v>172</v>
      </c>
      <c r="L13" s="118">
        <v>2.7</v>
      </c>
      <c r="M13" s="118">
        <v>24.3</v>
      </c>
      <c r="N13" s="118">
        <v>2.7</v>
      </c>
      <c r="O13" s="118">
        <v>6.1</v>
      </c>
      <c r="Q13" s="425" t="s">
        <v>326</v>
      </c>
      <c r="R13" s="425"/>
      <c r="S13" s="425"/>
    </row>
    <row r="14" spans="1:19" x14ac:dyDescent="0.25">
      <c r="A14" s="120" t="s">
        <v>173</v>
      </c>
      <c r="B14" s="117">
        <v>30</v>
      </c>
      <c r="C14" s="118">
        <f t="shared" ref="C14:D14" si="12">AVERAGE(L14,L29)</f>
        <v>1.5</v>
      </c>
      <c r="D14" s="118">
        <f t="shared" si="12"/>
        <v>20.65</v>
      </c>
      <c r="E14" s="117">
        <v>10</v>
      </c>
      <c r="F14" s="118">
        <f t="shared" ref="F14:G14" si="13">AVERAGE(N14,N29)</f>
        <v>1.5</v>
      </c>
      <c r="G14" s="118">
        <f t="shared" si="13"/>
        <v>5.3</v>
      </c>
      <c r="J14" s="426"/>
      <c r="K14" s="120" t="s">
        <v>173</v>
      </c>
      <c r="L14" s="118">
        <v>2.2999999999999998</v>
      </c>
      <c r="M14" s="118">
        <v>37.5</v>
      </c>
      <c r="N14" s="118">
        <v>2.2999999999999998</v>
      </c>
      <c r="O14" s="118">
        <v>8</v>
      </c>
      <c r="Q14" s="425"/>
      <c r="R14" s="425"/>
      <c r="S14" s="425"/>
    </row>
    <row r="15" spans="1:19" x14ac:dyDescent="0.25">
      <c r="A15" s="120" t="s">
        <v>174</v>
      </c>
      <c r="B15" s="117">
        <v>30</v>
      </c>
      <c r="C15" s="118">
        <f t="shared" ref="C15:D15" si="14">AVERAGE(L15,L30)</f>
        <v>1.75</v>
      </c>
      <c r="D15" s="118">
        <f t="shared" si="14"/>
        <v>6.85</v>
      </c>
      <c r="E15" s="117">
        <v>10</v>
      </c>
      <c r="F15" s="118">
        <f t="shared" ref="F15:G15" si="15">AVERAGE(N15,N30)</f>
        <v>1.75</v>
      </c>
      <c r="G15" s="118">
        <f t="shared" si="15"/>
        <v>3.75</v>
      </c>
      <c r="J15" s="426"/>
      <c r="K15" s="120" t="s">
        <v>174</v>
      </c>
      <c r="L15" s="118">
        <v>2.9</v>
      </c>
      <c r="M15" s="118">
        <v>12.7</v>
      </c>
      <c r="N15" s="118">
        <v>2.9</v>
      </c>
      <c r="O15" s="118">
        <v>6.8</v>
      </c>
      <c r="Q15" s="425"/>
      <c r="R15" s="425"/>
      <c r="S15" s="425"/>
    </row>
    <row r="16" spans="1:19" x14ac:dyDescent="0.25">
      <c r="A16" s="120" t="s">
        <v>175</v>
      </c>
      <c r="B16" s="117">
        <v>30</v>
      </c>
      <c r="C16" s="118">
        <f t="shared" ref="C16:D16" si="16">AVERAGE(L16,L31)</f>
        <v>2</v>
      </c>
      <c r="D16" s="118">
        <f t="shared" si="16"/>
        <v>6.55</v>
      </c>
      <c r="E16" s="117">
        <v>10</v>
      </c>
      <c r="F16" s="118">
        <f t="shared" ref="F16:G16" si="17">AVERAGE(N16,N31)</f>
        <v>2</v>
      </c>
      <c r="G16" s="118">
        <f t="shared" si="17"/>
        <v>3.2</v>
      </c>
      <c r="J16" s="426"/>
      <c r="K16" s="120" t="s">
        <v>175</v>
      </c>
      <c r="L16" s="118">
        <v>3.5</v>
      </c>
      <c r="M16" s="118">
        <v>12</v>
      </c>
      <c r="N16" s="118">
        <v>3.5</v>
      </c>
      <c r="O16" s="118">
        <v>5.9</v>
      </c>
      <c r="Q16" s="425"/>
      <c r="R16" s="425"/>
      <c r="S16" s="425"/>
    </row>
    <row r="17" spans="1:15" x14ac:dyDescent="0.25">
      <c r="A17" s="120" t="s">
        <v>176</v>
      </c>
      <c r="B17" s="117">
        <v>30</v>
      </c>
      <c r="C17" s="118">
        <f t="shared" ref="C17:D17" si="18">AVERAGE(L17,L32)</f>
        <v>1.7</v>
      </c>
      <c r="D17" s="118">
        <f t="shared" si="18"/>
        <v>6.3</v>
      </c>
      <c r="E17" s="117">
        <v>10</v>
      </c>
      <c r="F17" s="118">
        <f t="shared" ref="F17:G17" si="19">AVERAGE(N17,N32)</f>
        <v>1.7</v>
      </c>
      <c r="G17" s="118">
        <f t="shared" si="19"/>
        <v>3.75</v>
      </c>
      <c r="J17" s="426"/>
      <c r="K17" s="120" t="s">
        <v>176</v>
      </c>
      <c r="L17" s="118">
        <v>2.5</v>
      </c>
      <c r="M17" s="118">
        <v>9.6</v>
      </c>
      <c r="N17" s="118">
        <v>2.5</v>
      </c>
      <c r="O17" s="118">
        <v>5.6</v>
      </c>
    </row>
    <row r="18" spans="1:15" x14ac:dyDescent="0.25">
      <c r="A18" s="120" t="s">
        <v>177</v>
      </c>
      <c r="B18" s="117">
        <v>30</v>
      </c>
      <c r="C18" s="118">
        <f t="shared" ref="C18:D18" si="20">AVERAGE(L18,L33)</f>
        <v>1.5</v>
      </c>
      <c r="D18" s="118">
        <f t="shared" si="20"/>
        <v>6.5</v>
      </c>
      <c r="E18" s="117">
        <v>10</v>
      </c>
      <c r="F18" s="118">
        <f t="shared" ref="F18:G18" si="21">AVERAGE(N18,N33)</f>
        <v>1.5</v>
      </c>
      <c r="G18" s="118">
        <f t="shared" si="21"/>
        <v>2.65</v>
      </c>
      <c r="J18" s="426"/>
      <c r="K18" s="120" t="s">
        <v>177</v>
      </c>
      <c r="L18" s="118">
        <v>1.3</v>
      </c>
      <c r="M18" s="118">
        <v>4.0999999999999996</v>
      </c>
      <c r="N18" s="118">
        <v>1.3</v>
      </c>
      <c r="O18" s="118">
        <v>1.7</v>
      </c>
    </row>
    <row r="19" spans="1:15" x14ac:dyDescent="0.25">
      <c r="J19" s="426"/>
      <c r="K19" s="116" t="s">
        <v>267</v>
      </c>
      <c r="L19" s="116">
        <f>AVERAGE(L7:L18)</f>
        <v>2.875</v>
      </c>
      <c r="M19" s="116">
        <f>MAX(M7:M18)</f>
        <v>37.5</v>
      </c>
      <c r="N19" s="116">
        <f>AVERAGE(N7:N18)</f>
        <v>2.875</v>
      </c>
      <c r="O19" s="116">
        <f>MAX(O7:O18)</f>
        <v>8</v>
      </c>
    </row>
    <row r="21" spans="1:15" ht="41.4" x14ac:dyDescent="0.25">
      <c r="J21" s="115">
        <f>+A6</f>
        <v>2022</v>
      </c>
      <c r="K21" s="115" t="s">
        <v>265</v>
      </c>
      <c r="L21" s="121" t="s">
        <v>161</v>
      </c>
      <c r="M21" s="121" t="s">
        <v>162</v>
      </c>
      <c r="N21" s="121" t="s">
        <v>164</v>
      </c>
      <c r="O21" s="121" t="s">
        <v>165</v>
      </c>
    </row>
    <row r="22" spans="1:15" x14ac:dyDescent="0.25">
      <c r="J22" s="426" t="s">
        <v>113</v>
      </c>
      <c r="K22" s="120" t="s">
        <v>166</v>
      </c>
      <c r="L22" s="118">
        <v>5.0999999999999996</v>
      </c>
      <c r="M22" s="118">
        <v>9</v>
      </c>
      <c r="N22" s="118">
        <v>5.0999999999999996</v>
      </c>
      <c r="O22" s="118">
        <v>6.1</v>
      </c>
    </row>
    <row r="23" spans="1:15" x14ac:dyDescent="0.25">
      <c r="J23" s="426"/>
      <c r="K23" s="120" t="s">
        <v>167</v>
      </c>
      <c r="L23" s="118">
        <v>5.7</v>
      </c>
      <c r="M23" s="118">
        <v>23.9</v>
      </c>
      <c r="N23" s="118">
        <v>5.7</v>
      </c>
      <c r="O23" s="118">
        <v>6.8</v>
      </c>
    </row>
    <row r="24" spans="1:15" x14ac:dyDescent="0.25">
      <c r="J24" s="426"/>
      <c r="K24" s="120" t="s">
        <v>168</v>
      </c>
      <c r="L24" s="118">
        <v>5</v>
      </c>
      <c r="M24" s="118">
        <v>11</v>
      </c>
      <c r="N24" s="118">
        <v>5</v>
      </c>
      <c r="O24" s="118">
        <v>6.4</v>
      </c>
    </row>
    <row r="25" spans="1:15" x14ac:dyDescent="0.25">
      <c r="J25" s="426"/>
      <c r="K25" s="120" t="s">
        <v>169</v>
      </c>
      <c r="L25" s="118">
        <v>5.0999999999999996</v>
      </c>
      <c r="M25" s="118">
        <v>10.3</v>
      </c>
      <c r="N25" s="118">
        <v>5.0999999999999996</v>
      </c>
      <c r="O25" s="118">
        <v>8.5</v>
      </c>
    </row>
    <row r="26" spans="1:15" x14ac:dyDescent="0.25">
      <c r="J26" s="426"/>
      <c r="K26" s="120" t="s">
        <v>170</v>
      </c>
      <c r="L26" s="118">
        <v>5.9</v>
      </c>
      <c r="M26" s="118">
        <v>16.399999999999999</v>
      </c>
      <c r="N26" s="118">
        <v>5.9</v>
      </c>
      <c r="O26" s="118">
        <v>7.1</v>
      </c>
    </row>
    <row r="27" spans="1:15" x14ac:dyDescent="0.25">
      <c r="J27" s="426"/>
      <c r="K27" s="120" t="s">
        <v>171</v>
      </c>
      <c r="L27" s="118">
        <v>5.8</v>
      </c>
      <c r="M27" s="118">
        <v>9.6999999999999993</v>
      </c>
      <c r="N27" s="118">
        <v>5.8</v>
      </c>
      <c r="O27" s="118">
        <v>8.3000000000000007</v>
      </c>
    </row>
    <row r="28" spans="1:15" x14ac:dyDescent="0.25">
      <c r="J28" s="426"/>
      <c r="K28" s="120" t="s">
        <v>172</v>
      </c>
      <c r="L28" s="118">
        <v>1.2</v>
      </c>
      <c r="M28" s="118">
        <v>5.9</v>
      </c>
      <c r="N28" s="118">
        <v>1.2</v>
      </c>
      <c r="O28" s="118">
        <v>3.4</v>
      </c>
    </row>
    <row r="29" spans="1:15" x14ac:dyDescent="0.25">
      <c r="J29" s="426"/>
      <c r="K29" s="120" t="s">
        <v>173</v>
      </c>
      <c r="L29" s="118">
        <v>0.7</v>
      </c>
      <c r="M29" s="118">
        <v>3.8</v>
      </c>
      <c r="N29" s="118">
        <v>0.7</v>
      </c>
      <c r="O29" s="118">
        <v>2.6</v>
      </c>
    </row>
    <row r="30" spans="1:15" x14ac:dyDescent="0.25">
      <c r="J30" s="426"/>
      <c r="K30" s="120" t="s">
        <v>174</v>
      </c>
      <c r="L30" s="118">
        <v>0.6</v>
      </c>
      <c r="M30" s="118">
        <v>1</v>
      </c>
      <c r="N30" s="118">
        <v>0.6</v>
      </c>
      <c r="O30" s="118">
        <v>0.7</v>
      </c>
    </row>
    <row r="31" spans="1:15" x14ac:dyDescent="0.25">
      <c r="J31" s="426"/>
      <c r="K31" s="120" t="s">
        <v>175</v>
      </c>
      <c r="L31" s="118">
        <v>0.5</v>
      </c>
      <c r="M31" s="118">
        <v>1.1000000000000001</v>
      </c>
      <c r="N31" s="118">
        <v>0.5</v>
      </c>
      <c r="O31" s="118">
        <v>0.5</v>
      </c>
    </row>
    <row r="32" spans="1:15" x14ac:dyDescent="0.25">
      <c r="J32" s="426"/>
      <c r="K32" s="120" t="s">
        <v>176</v>
      </c>
      <c r="L32" s="118">
        <v>0.9</v>
      </c>
      <c r="M32" s="118">
        <v>3</v>
      </c>
      <c r="N32" s="118">
        <v>0.9</v>
      </c>
      <c r="O32" s="118">
        <v>1.9</v>
      </c>
    </row>
    <row r="33" spans="1:15" x14ac:dyDescent="0.25">
      <c r="J33" s="426"/>
      <c r="K33" s="120" t="s">
        <v>177</v>
      </c>
      <c r="L33" s="118">
        <v>1.7</v>
      </c>
      <c r="M33" s="118">
        <v>8.9</v>
      </c>
      <c r="N33" s="118">
        <v>1.7</v>
      </c>
      <c r="O33" s="118">
        <v>3.6</v>
      </c>
    </row>
    <row r="34" spans="1:15" x14ac:dyDescent="0.25">
      <c r="J34" s="426"/>
      <c r="K34" s="116" t="s">
        <v>267</v>
      </c>
      <c r="L34" s="116">
        <f>AVERAGE(L22:L33)</f>
        <v>3.1833333333333336</v>
      </c>
      <c r="M34" s="116">
        <f>MAX(M22:M33)</f>
        <v>23.9</v>
      </c>
      <c r="N34" s="116">
        <f>AVERAGE(N22:N33)</f>
        <v>3.1833333333333336</v>
      </c>
      <c r="O34" s="116">
        <f>MAX(O22:O33)</f>
        <v>8.5</v>
      </c>
    </row>
    <row r="36" spans="1:15" ht="41.4" x14ac:dyDescent="0.25">
      <c r="J36" s="115">
        <f>+A6</f>
        <v>2022</v>
      </c>
      <c r="K36" s="115" t="s">
        <v>265</v>
      </c>
      <c r="L36" s="121" t="s">
        <v>161</v>
      </c>
      <c r="M36" s="121" t="s">
        <v>162</v>
      </c>
      <c r="N36" s="121" t="s">
        <v>164</v>
      </c>
      <c r="O36" s="121" t="s">
        <v>165</v>
      </c>
    </row>
    <row r="37" spans="1:15" x14ac:dyDescent="0.25">
      <c r="J37" s="426" t="s">
        <v>114</v>
      </c>
      <c r="K37" s="120" t="s">
        <v>166</v>
      </c>
      <c r="L37" s="118"/>
      <c r="M37" s="118"/>
      <c r="N37" s="118"/>
      <c r="O37" s="118"/>
    </row>
    <row r="38" spans="1:15" x14ac:dyDescent="0.25">
      <c r="J38" s="426"/>
      <c r="K38" s="120" t="s">
        <v>167</v>
      </c>
      <c r="L38" s="118"/>
      <c r="M38" s="118"/>
      <c r="N38" s="118"/>
      <c r="O38" s="118"/>
    </row>
    <row r="39" spans="1:15" x14ac:dyDescent="0.25">
      <c r="J39" s="426"/>
      <c r="K39" s="120" t="s">
        <v>168</v>
      </c>
      <c r="L39" s="118"/>
      <c r="M39" s="118"/>
      <c r="N39" s="118"/>
      <c r="O39" s="118"/>
    </row>
    <row r="40" spans="1:15" x14ac:dyDescent="0.25">
      <c r="J40" s="426"/>
      <c r="K40" s="120" t="s">
        <v>169</v>
      </c>
      <c r="L40" s="118"/>
      <c r="M40" s="118"/>
      <c r="N40" s="118"/>
      <c r="O40" s="118"/>
    </row>
    <row r="41" spans="1:15" x14ac:dyDescent="0.25">
      <c r="J41" s="426"/>
      <c r="K41" s="120" t="s">
        <v>170</v>
      </c>
      <c r="L41" s="118"/>
      <c r="M41" s="118"/>
      <c r="N41" s="118"/>
      <c r="O41" s="118"/>
    </row>
    <row r="42" spans="1:15" x14ac:dyDescent="0.25">
      <c r="J42" s="426"/>
      <c r="K42" s="120" t="s">
        <v>171</v>
      </c>
      <c r="L42" s="118"/>
      <c r="M42" s="118"/>
      <c r="N42" s="118"/>
      <c r="O42" s="118"/>
    </row>
    <row r="43" spans="1:15" x14ac:dyDescent="0.25">
      <c r="J43" s="426"/>
      <c r="K43" s="120" t="s">
        <v>172</v>
      </c>
      <c r="L43" s="118"/>
      <c r="M43" s="118"/>
      <c r="N43" s="118"/>
      <c r="O43" s="118"/>
    </row>
    <row r="44" spans="1:15" x14ac:dyDescent="0.25">
      <c r="J44" s="426"/>
      <c r="K44" s="120" t="s">
        <v>173</v>
      </c>
      <c r="L44" s="118"/>
      <c r="M44" s="118"/>
      <c r="N44" s="118"/>
      <c r="O44" s="118"/>
    </row>
    <row r="45" spans="1:15" x14ac:dyDescent="0.25">
      <c r="J45" s="426"/>
      <c r="K45" s="120" t="s">
        <v>174</v>
      </c>
      <c r="L45" s="118"/>
      <c r="M45" s="118"/>
      <c r="N45" s="118"/>
      <c r="O45" s="118"/>
    </row>
    <row r="46" spans="1:15" x14ac:dyDescent="0.25">
      <c r="J46" s="426"/>
      <c r="K46" s="120" t="s">
        <v>175</v>
      </c>
      <c r="L46" s="118"/>
      <c r="M46" s="118"/>
      <c r="N46" s="118"/>
      <c r="O46" s="118"/>
    </row>
    <row r="47" spans="1:15" x14ac:dyDescent="0.25">
      <c r="J47" s="426"/>
      <c r="K47" s="120" t="s">
        <v>176</v>
      </c>
      <c r="L47" s="118"/>
      <c r="M47" s="118"/>
      <c r="N47" s="118"/>
      <c r="O47" s="118"/>
    </row>
    <row r="48" spans="1:15" x14ac:dyDescent="0.25">
      <c r="A48" s="438" t="s">
        <v>208</v>
      </c>
      <c r="B48" s="439"/>
      <c r="C48" s="439"/>
      <c r="D48" s="439"/>
      <c r="E48" s="439"/>
      <c r="F48" s="439"/>
      <c r="G48" s="440"/>
      <c r="J48" s="426"/>
      <c r="K48" s="120" t="s">
        <v>177</v>
      </c>
      <c r="L48" s="118"/>
      <c r="M48" s="118"/>
      <c r="N48" s="118"/>
      <c r="O48" s="118"/>
    </row>
    <row r="49" spans="1:15" x14ac:dyDescent="0.25">
      <c r="A49" s="429"/>
      <c r="B49" s="430"/>
      <c r="C49" s="430"/>
      <c r="D49" s="430"/>
      <c r="E49" s="430"/>
      <c r="F49" s="430"/>
      <c r="G49" s="431"/>
      <c r="J49" s="426"/>
      <c r="K49" s="116" t="s">
        <v>267</v>
      </c>
      <c r="L49" s="116" t="e">
        <f>AVERAGE(L37:L48)</f>
        <v>#DIV/0!</v>
      </c>
      <c r="M49" s="116">
        <f>MAX(M37:M48)</f>
        <v>0</v>
      </c>
      <c r="N49" s="116" t="e">
        <f>AVERAGE(N37:N48)</f>
        <v>#DIV/0!</v>
      </c>
      <c r="O49" s="116">
        <f>MAX(O37:O48)</f>
        <v>0</v>
      </c>
    </row>
    <row r="50" spans="1:15" x14ac:dyDescent="0.25">
      <c r="A50" s="432"/>
      <c r="B50" s="433"/>
      <c r="C50" s="433"/>
      <c r="D50" s="433"/>
      <c r="E50" s="433"/>
      <c r="F50" s="433"/>
      <c r="G50" s="434"/>
    </row>
    <row r="51" spans="1:15" ht="41.4" x14ac:dyDescent="0.25">
      <c r="A51" s="432"/>
      <c r="B51" s="433"/>
      <c r="C51" s="433"/>
      <c r="D51" s="433"/>
      <c r="E51" s="433"/>
      <c r="F51" s="433"/>
      <c r="G51" s="434"/>
      <c r="J51" s="115">
        <f>+A6</f>
        <v>2022</v>
      </c>
      <c r="K51" s="115" t="s">
        <v>265</v>
      </c>
      <c r="L51" s="121" t="s">
        <v>161</v>
      </c>
      <c r="M51" s="121" t="s">
        <v>162</v>
      </c>
      <c r="N51" s="121" t="s">
        <v>164</v>
      </c>
      <c r="O51" s="121" t="s">
        <v>165</v>
      </c>
    </row>
    <row r="52" spans="1:15" x14ac:dyDescent="0.25">
      <c r="A52" s="435"/>
      <c r="B52" s="436"/>
      <c r="C52" s="436"/>
      <c r="D52" s="436"/>
      <c r="E52" s="436"/>
      <c r="F52" s="436"/>
      <c r="G52" s="437"/>
      <c r="J52" s="426" t="s">
        <v>115</v>
      </c>
      <c r="K52" s="120" t="s">
        <v>166</v>
      </c>
      <c r="L52" s="118"/>
      <c r="M52" s="118"/>
      <c r="N52" s="118"/>
      <c r="O52" s="118"/>
    </row>
    <row r="53" spans="1:15" x14ac:dyDescent="0.25">
      <c r="J53" s="426"/>
      <c r="K53" s="120" t="s">
        <v>167</v>
      </c>
      <c r="L53" s="118"/>
      <c r="M53" s="118"/>
      <c r="N53" s="118"/>
      <c r="O53" s="118"/>
    </row>
    <row r="54" spans="1:15" x14ac:dyDescent="0.25">
      <c r="C54" s="197">
        <v>44981</v>
      </c>
      <c r="J54" s="426"/>
      <c r="K54" s="120" t="s">
        <v>168</v>
      </c>
      <c r="L54" s="118"/>
      <c r="M54" s="118"/>
      <c r="N54" s="118"/>
      <c r="O54" s="118"/>
    </row>
    <row r="55" spans="1:15" x14ac:dyDescent="0.25">
      <c r="J55" s="426"/>
      <c r="K55" s="120" t="s">
        <v>169</v>
      </c>
      <c r="L55" s="118"/>
      <c r="M55" s="118"/>
      <c r="N55" s="118"/>
      <c r="O55" s="118"/>
    </row>
    <row r="56" spans="1:15" x14ac:dyDescent="0.25">
      <c r="J56" s="426"/>
      <c r="K56" s="120" t="s">
        <v>170</v>
      </c>
      <c r="L56" s="118"/>
      <c r="M56" s="118"/>
      <c r="N56" s="118"/>
      <c r="O56" s="118"/>
    </row>
    <row r="57" spans="1:15" x14ac:dyDescent="0.25">
      <c r="J57" s="426"/>
      <c r="K57" s="120" t="s">
        <v>171</v>
      </c>
      <c r="L57" s="118"/>
      <c r="M57" s="118"/>
      <c r="N57" s="118"/>
      <c r="O57" s="118"/>
    </row>
    <row r="58" spans="1:15" x14ac:dyDescent="0.25">
      <c r="J58" s="426"/>
      <c r="K58" s="120" t="s">
        <v>172</v>
      </c>
      <c r="L58" s="118"/>
      <c r="M58" s="118"/>
      <c r="N58" s="118"/>
      <c r="O58" s="118"/>
    </row>
    <row r="59" spans="1:15" x14ac:dyDescent="0.25">
      <c r="J59" s="426"/>
      <c r="K59" s="120" t="s">
        <v>173</v>
      </c>
      <c r="L59" s="118"/>
      <c r="M59" s="118"/>
      <c r="N59" s="118"/>
      <c r="O59" s="118"/>
    </row>
    <row r="60" spans="1:15" x14ac:dyDescent="0.25">
      <c r="J60" s="426"/>
      <c r="K60" s="120" t="s">
        <v>174</v>
      </c>
      <c r="L60" s="118"/>
      <c r="M60" s="118"/>
      <c r="N60" s="118"/>
      <c r="O60" s="118"/>
    </row>
    <row r="61" spans="1:15" x14ac:dyDescent="0.25">
      <c r="J61" s="426"/>
      <c r="K61" s="120" t="s">
        <v>175</v>
      </c>
      <c r="L61" s="118"/>
      <c r="M61" s="118"/>
      <c r="N61" s="118"/>
      <c r="O61" s="118"/>
    </row>
    <row r="62" spans="1:15" x14ac:dyDescent="0.25">
      <c r="J62" s="426"/>
      <c r="K62" s="120" t="s">
        <v>176</v>
      </c>
      <c r="L62" s="118"/>
      <c r="M62" s="118"/>
      <c r="N62" s="118"/>
      <c r="O62" s="118"/>
    </row>
    <row r="63" spans="1:15" x14ac:dyDescent="0.25">
      <c r="J63" s="426"/>
      <c r="K63" s="120" t="s">
        <v>177</v>
      </c>
      <c r="L63" s="118"/>
      <c r="M63" s="118"/>
      <c r="N63" s="118"/>
      <c r="O63" s="118"/>
    </row>
    <row r="64" spans="1:15" x14ac:dyDescent="0.25">
      <c r="J64" s="426"/>
      <c r="K64" s="116" t="s">
        <v>267</v>
      </c>
      <c r="L64" s="116" t="e">
        <f>AVERAGE(L52:L63)</f>
        <v>#DIV/0!</v>
      </c>
      <c r="M64" s="116">
        <f>MAX(M52:M63)</f>
        <v>0</v>
      </c>
      <c r="N64" s="116" t="e">
        <f>AVERAGE(N52:N63)</f>
        <v>#DIV/0!</v>
      </c>
      <c r="O64" s="116">
        <f>MAX(O52:O63)</f>
        <v>0</v>
      </c>
    </row>
    <row r="66" spans="10:15" ht="41.4" x14ac:dyDescent="0.25">
      <c r="J66" s="115">
        <f>+A6</f>
        <v>2022</v>
      </c>
      <c r="K66" s="115" t="s">
        <v>265</v>
      </c>
      <c r="L66" s="121" t="s">
        <v>161</v>
      </c>
      <c r="M66" s="121" t="s">
        <v>162</v>
      </c>
      <c r="N66" s="121" t="s">
        <v>164</v>
      </c>
      <c r="O66" s="121" t="s">
        <v>165</v>
      </c>
    </row>
    <row r="67" spans="10:15" x14ac:dyDescent="0.25">
      <c r="J67" s="426" t="s">
        <v>116</v>
      </c>
      <c r="K67" s="120" t="s">
        <v>166</v>
      </c>
      <c r="L67" s="118"/>
      <c r="M67" s="118"/>
      <c r="N67" s="118"/>
      <c r="O67" s="118"/>
    </row>
    <row r="68" spans="10:15" x14ac:dyDescent="0.25">
      <c r="J68" s="426"/>
      <c r="K68" s="120" t="s">
        <v>167</v>
      </c>
      <c r="L68" s="118"/>
      <c r="M68" s="118"/>
      <c r="N68" s="118"/>
      <c r="O68" s="118"/>
    </row>
    <row r="69" spans="10:15" x14ac:dyDescent="0.25">
      <c r="J69" s="426"/>
      <c r="K69" s="120" t="s">
        <v>168</v>
      </c>
      <c r="L69" s="118"/>
      <c r="M69" s="118"/>
      <c r="N69" s="118"/>
      <c r="O69" s="118"/>
    </row>
    <row r="70" spans="10:15" x14ac:dyDescent="0.25">
      <c r="J70" s="426"/>
      <c r="K70" s="120" t="s">
        <v>169</v>
      </c>
      <c r="L70" s="118"/>
      <c r="M70" s="118"/>
      <c r="N70" s="118"/>
      <c r="O70" s="118"/>
    </row>
    <row r="71" spans="10:15" x14ac:dyDescent="0.25">
      <c r="J71" s="426"/>
      <c r="K71" s="120" t="s">
        <v>170</v>
      </c>
      <c r="L71" s="118"/>
      <c r="M71" s="118"/>
      <c r="N71" s="118"/>
      <c r="O71" s="118"/>
    </row>
    <row r="72" spans="10:15" x14ac:dyDescent="0.25">
      <c r="J72" s="426"/>
      <c r="K72" s="120" t="s">
        <v>171</v>
      </c>
      <c r="L72" s="118"/>
      <c r="M72" s="118"/>
      <c r="N72" s="118"/>
      <c r="O72" s="118"/>
    </row>
    <row r="73" spans="10:15" x14ac:dyDescent="0.25">
      <c r="J73" s="426"/>
      <c r="K73" s="120" t="s">
        <v>172</v>
      </c>
      <c r="L73" s="118"/>
      <c r="M73" s="118"/>
      <c r="N73" s="118"/>
      <c r="O73" s="118"/>
    </row>
    <row r="74" spans="10:15" x14ac:dyDescent="0.25">
      <c r="J74" s="426"/>
      <c r="K74" s="120" t="s">
        <v>173</v>
      </c>
      <c r="L74" s="118"/>
      <c r="M74" s="118"/>
      <c r="N74" s="118"/>
      <c r="O74" s="118"/>
    </row>
    <row r="75" spans="10:15" x14ac:dyDescent="0.25">
      <c r="J75" s="426"/>
      <c r="K75" s="120" t="s">
        <v>174</v>
      </c>
      <c r="L75" s="118"/>
      <c r="M75" s="118"/>
      <c r="N75" s="118"/>
      <c r="O75" s="118"/>
    </row>
    <row r="76" spans="10:15" x14ac:dyDescent="0.25">
      <c r="J76" s="426"/>
      <c r="K76" s="120" t="s">
        <v>175</v>
      </c>
      <c r="L76" s="118"/>
      <c r="M76" s="118"/>
      <c r="N76" s="118"/>
      <c r="O76" s="118"/>
    </row>
    <row r="77" spans="10:15" x14ac:dyDescent="0.25">
      <c r="J77" s="426"/>
      <c r="K77" s="120" t="s">
        <v>176</v>
      </c>
      <c r="L77" s="118"/>
      <c r="M77" s="118"/>
      <c r="N77" s="118"/>
      <c r="O77" s="118"/>
    </row>
    <row r="78" spans="10:15" x14ac:dyDescent="0.25">
      <c r="J78" s="426"/>
      <c r="K78" s="120" t="s">
        <v>177</v>
      </c>
      <c r="L78" s="118"/>
      <c r="M78" s="118"/>
      <c r="N78" s="118"/>
      <c r="O78" s="118"/>
    </row>
    <row r="79" spans="10:15" x14ac:dyDescent="0.25">
      <c r="J79" s="426"/>
      <c r="K79" s="116" t="s">
        <v>267</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view="pageBreakPreview" zoomScaleNormal="85" zoomScaleSheetLayoutView="100" workbookViewId="0">
      <selection activeCell="C52" sqref="C52"/>
    </sheetView>
  </sheetViews>
  <sheetFormatPr defaultRowHeight="13.8" x14ac:dyDescent="0.25"/>
  <cols>
    <col min="1" max="1" width="14" style="3" customWidth="1"/>
    <col min="2" max="2" width="12.77734375" style="70" customWidth="1"/>
    <col min="3" max="3" width="15.21875" style="70" customWidth="1"/>
    <col min="4" max="4" width="17.77734375" style="70" customWidth="1"/>
    <col min="5" max="5" width="14.77734375" style="70" customWidth="1"/>
    <col min="6" max="6" width="11.5546875" style="70" customWidth="1"/>
    <col min="7" max="7" width="15" style="70" customWidth="1"/>
    <col min="8" max="8" width="14.77734375" style="70" customWidth="1"/>
    <col min="9" max="12" width="9.21875" style="3"/>
    <col min="13" max="13" width="15.44140625" style="3" customWidth="1"/>
    <col min="14" max="14" width="17.77734375" style="3" customWidth="1"/>
    <col min="15" max="15" width="17.44140625" style="3" bestFit="1" customWidth="1"/>
    <col min="16" max="16" width="13.77734375" style="3" customWidth="1"/>
    <col min="17" max="17" width="15" style="3" customWidth="1"/>
    <col min="18" max="20" width="9.21875" style="3"/>
    <col min="21" max="21" width="22.44140625" style="3" customWidth="1"/>
    <col min="22" max="258" width="9.21875" style="3"/>
    <col min="259" max="259" width="14" style="3" customWidth="1"/>
    <col min="260" max="265" width="10.21875" style="3" customWidth="1"/>
    <col min="266" max="514" width="9.21875" style="3"/>
    <col min="515" max="515" width="14" style="3" customWidth="1"/>
    <col min="516" max="521" width="10.21875" style="3" customWidth="1"/>
    <col min="522" max="770" width="9.21875" style="3"/>
    <col min="771" max="771" width="14" style="3" customWidth="1"/>
    <col min="772" max="777" width="10.21875" style="3" customWidth="1"/>
    <col min="778" max="1026" width="9.21875" style="3"/>
    <col min="1027" max="1027" width="14" style="3" customWidth="1"/>
    <col min="1028" max="1033" width="10.21875" style="3" customWidth="1"/>
    <col min="1034" max="1282" width="9.21875" style="3"/>
    <col min="1283" max="1283" width="14" style="3" customWidth="1"/>
    <col min="1284" max="1289" width="10.21875" style="3" customWidth="1"/>
    <col min="1290" max="1538" width="9.21875" style="3"/>
    <col min="1539" max="1539" width="14" style="3" customWidth="1"/>
    <col min="1540" max="1545" width="10.21875" style="3" customWidth="1"/>
    <col min="1546" max="1794" width="9.21875" style="3"/>
    <col min="1795" max="1795" width="14" style="3" customWidth="1"/>
    <col min="1796" max="1801" width="10.21875" style="3" customWidth="1"/>
    <col min="1802" max="2050" width="9.21875" style="3"/>
    <col min="2051" max="2051" width="14" style="3" customWidth="1"/>
    <col min="2052" max="2057" width="10.21875" style="3" customWidth="1"/>
    <col min="2058" max="2306" width="9.21875" style="3"/>
    <col min="2307" max="2307" width="14" style="3" customWidth="1"/>
    <col min="2308" max="2313" width="10.21875" style="3" customWidth="1"/>
    <col min="2314" max="2562" width="9.21875" style="3"/>
    <col min="2563" max="2563" width="14" style="3" customWidth="1"/>
    <col min="2564" max="2569" width="10.21875" style="3" customWidth="1"/>
    <col min="2570" max="2818" width="9.21875" style="3"/>
    <col min="2819" max="2819" width="14" style="3" customWidth="1"/>
    <col min="2820" max="2825" width="10.21875" style="3" customWidth="1"/>
    <col min="2826" max="3074" width="9.21875" style="3"/>
    <col min="3075" max="3075" width="14" style="3" customWidth="1"/>
    <col min="3076" max="3081" width="10.21875" style="3" customWidth="1"/>
    <col min="3082" max="3330" width="9.21875" style="3"/>
    <col min="3331" max="3331" width="14" style="3" customWidth="1"/>
    <col min="3332" max="3337" width="10.21875" style="3" customWidth="1"/>
    <col min="3338" max="3586" width="9.21875" style="3"/>
    <col min="3587" max="3587" width="14" style="3" customWidth="1"/>
    <col min="3588" max="3593" width="10.21875" style="3" customWidth="1"/>
    <col min="3594" max="3842" width="9.21875" style="3"/>
    <col min="3843" max="3843" width="14" style="3" customWidth="1"/>
    <col min="3844" max="3849" width="10.21875" style="3" customWidth="1"/>
    <col min="3850" max="4098" width="9.21875" style="3"/>
    <col min="4099" max="4099" width="14" style="3" customWidth="1"/>
    <col min="4100" max="4105" width="10.21875" style="3" customWidth="1"/>
    <col min="4106" max="4354" width="9.21875" style="3"/>
    <col min="4355" max="4355" width="14" style="3" customWidth="1"/>
    <col min="4356" max="4361" width="10.21875" style="3" customWidth="1"/>
    <col min="4362" max="4610" width="9.21875" style="3"/>
    <col min="4611" max="4611" width="14" style="3" customWidth="1"/>
    <col min="4612" max="4617" width="10.21875" style="3" customWidth="1"/>
    <col min="4618" max="4866" width="9.21875" style="3"/>
    <col min="4867" max="4867" width="14" style="3" customWidth="1"/>
    <col min="4868" max="4873" width="10.21875" style="3" customWidth="1"/>
    <col min="4874" max="5122" width="9.21875" style="3"/>
    <col min="5123" max="5123" width="14" style="3" customWidth="1"/>
    <col min="5124" max="5129" width="10.21875" style="3" customWidth="1"/>
    <col min="5130" max="5378" width="9.21875" style="3"/>
    <col min="5379" max="5379" width="14" style="3" customWidth="1"/>
    <col min="5380" max="5385" width="10.21875" style="3" customWidth="1"/>
    <col min="5386" max="5634" width="9.21875" style="3"/>
    <col min="5635" max="5635" width="14" style="3" customWidth="1"/>
    <col min="5636" max="5641" width="10.21875" style="3" customWidth="1"/>
    <col min="5642" max="5890" width="9.21875" style="3"/>
    <col min="5891" max="5891" width="14" style="3" customWidth="1"/>
    <col min="5892" max="5897" width="10.21875" style="3" customWidth="1"/>
    <col min="5898" max="6146" width="9.21875" style="3"/>
    <col min="6147" max="6147" width="14" style="3" customWidth="1"/>
    <col min="6148" max="6153" width="10.21875" style="3" customWidth="1"/>
    <col min="6154" max="6402" width="9.21875" style="3"/>
    <col min="6403" max="6403" width="14" style="3" customWidth="1"/>
    <col min="6404" max="6409" width="10.21875" style="3" customWidth="1"/>
    <col min="6410" max="6658" width="9.21875" style="3"/>
    <col min="6659" max="6659" width="14" style="3" customWidth="1"/>
    <col min="6660" max="6665" width="10.21875" style="3" customWidth="1"/>
    <col min="6666" max="6914" width="9.21875" style="3"/>
    <col min="6915" max="6915" width="14" style="3" customWidth="1"/>
    <col min="6916" max="6921" width="10.21875" style="3" customWidth="1"/>
    <col min="6922" max="7170" width="9.21875" style="3"/>
    <col min="7171" max="7171" width="14" style="3" customWidth="1"/>
    <col min="7172" max="7177" width="10.21875" style="3" customWidth="1"/>
    <col min="7178" max="7426" width="9.21875" style="3"/>
    <col min="7427" max="7427" width="14" style="3" customWidth="1"/>
    <col min="7428" max="7433" width="10.21875" style="3" customWidth="1"/>
    <col min="7434" max="7682" width="9.21875" style="3"/>
    <col min="7683" max="7683" width="14" style="3" customWidth="1"/>
    <col min="7684" max="7689" width="10.21875" style="3" customWidth="1"/>
    <col min="7690" max="7938" width="9.21875" style="3"/>
    <col min="7939" max="7939" width="14" style="3" customWidth="1"/>
    <col min="7940" max="7945" width="10.21875" style="3" customWidth="1"/>
    <col min="7946" max="8194" width="9.21875" style="3"/>
    <col min="8195" max="8195" width="14" style="3" customWidth="1"/>
    <col min="8196" max="8201" width="10.21875" style="3" customWidth="1"/>
    <col min="8202" max="8450" width="9.21875" style="3"/>
    <col min="8451" max="8451" width="14" style="3" customWidth="1"/>
    <col min="8452" max="8457" width="10.21875" style="3" customWidth="1"/>
    <col min="8458" max="8706" width="9.21875" style="3"/>
    <col min="8707" max="8707" width="14" style="3" customWidth="1"/>
    <col min="8708" max="8713" width="10.21875" style="3" customWidth="1"/>
    <col min="8714" max="8962" width="9.21875" style="3"/>
    <col min="8963" max="8963" width="14" style="3" customWidth="1"/>
    <col min="8964" max="8969" width="10.21875" style="3" customWidth="1"/>
    <col min="8970" max="9218" width="9.21875" style="3"/>
    <col min="9219" max="9219" width="14" style="3" customWidth="1"/>
    <col min="9220" max="9225" width="10.21875" style="3" customWidth="1"/>
    <col min="9226" max="9474" width="9.21875" style="3"/>
    <col min="9475" max="9475" width="14" style="3" customWidth="1"/>
    <col min="9476" max="9481" width="10.21875" style="3" customWidth="1"/>
    <col min="9482" max="9730" width="9.21875" style="3"/>
    <col min="9731" max="9731" width="14" style="3" customWidth="1"/>
    <col min="9732" max="9737" width="10.21875" style="3" customWidth="1"/>
    <col min="9738" max="9986" width="9.21875" style="3"/>
    <col min="9987" max="9987" width="14" style="3" customWidth="1"/>
    <col min="9988" max="9993" width="10.21875" style="3" customWidth="1"/>
    <col min="9994" max="10242" width="9.21875" style="3"/>
    <col min="10243" max="10243" width="14" style="3" customWidth="1"/>
    <col min="10244" max="10249" width="10.21875" style="3" customWidth="1"/>
    <col min="10250" max="10498" width="9.21875" style="3"/>
    <col min="10499" max="10499" width="14" style="3" customWidth="1"/>
    <col min="10500" max="10505" width="10.21875" style="3" customWidth="1"/>
    <col min="10506" max="10754" width="9.21875" style="3"/>
    <col min="10755" max="10755" width="14" style="3" customWidth="1"/>
    <col min="10756" max="10761" width="10.21875" style="3" customWidth="1"/>
    <col min="10762" max="11010" width="9.21875" style="3"/>
    <col min="11011" max="11011" width="14" style="3" customWidth="1"/>
    <col min="11012" max="11017" width="10.21875" style="3" customWidth="1"/>
    <col min="11018" max="11266" width="9.21875" style="3"/>
    <col min="11267" max="11267" width="14" style="3" customWidth="1"/>
    <col min="11268" max="11273" width="10.21875" style="3" customWidth="1"/>
    <col min="11274" max="11522" width="9.21875" style="3"/>
    <col min="11523" max="11523" width="14" style="3" customWidth="1"/>
    <col min="11524" max="11529" width="10.21875" style="3" customWidth="1"/>
    <col min="11530" max="11778" width="9.21875" style="3"/>
    <col min="11779" max="11779" width="14" style="3" customWidth="1"/>
    <col min="11780" max="11785" width="10.21875" style="3" customWidth="1"/>
    <col min="11786" max="12034" width="9.21875" style="3"/>
    <col min="12035" max="12035" width="14" style="3" customWidth="1"/>
    <col min="12036" max="12041" width="10.21875" style="3" customWidth="1"/>
    <col min="12042" max="12290" width="9.21875" style="3"/>
    <col min="12291" max="12291" width="14" style="3" customWidth="1"/>
    <col min="12292" max="12297" width="10.21875" style="3" customWidth="1"/>
    <col min="12298" max="12546" width="9.21875" style="3"/>
    <col min="12547" max="12547" width="14" style="3" customWidth="1"/>
    <col min="12548" max="12553" width="10.21875" style="3" customWidth="1"/>
    <col min="12554" max="12802" width="9.21875" style="3"/>
    <col min="12803" max="12803" width="14" style="3" customWidth="1"/>
    <col min="12804" max="12809" width="10.21875" style="3" customWidth="1"/>
    <col min="12810" max="13058" width="9.21875" style="3"/>
    <col min="13059" max="13059" width="14" style="3" customWidth="1"/>
    <col min="13060" max="13065" width="10.21875" style="3" customWidth="1"/>
    <col min="13066" max="13314" width="9.21875" style="3"/>
    <col min="13315" max="13315" width="14" style="3" customWidth="1"/>
    <col min="13316" max="13321" width="10.21875" style="3" customWidth="1"/>
    <col min="13322" max="13570" width="9.21875" style="3"/>
    <col min="13571" max="13571" width="14" style="3" customWidth="1"/>
    <col min="13572" max="13577" width="10.21875" style="3" customWidth="1"/>
    <col min="13578" max="13826" width="9.21875" style="3"/>
    <col min="13827" max="13827" width="14" style="3" customWidth="1"/>
    <col min="13828" max="13833" width="10.21875" style="3" customWidth="1"/>
    <col min="13834" max="14082" width="9.21875" style="3"/>
    <col min="14083" max="14083" width="14" style="3" customWidth="1"/>
    <col min="14084" max="14089" width="10.21875" style="3" customWidth="1"/>
    <col min="14090" max="14338" width="9.21875" style="3"/>
    <col min="14339" max="14339" width="14" style="3" customWidth="1"/>
    <col min="14340" max="14345" width="10.21875" style="3" customWidth="1"/>
    <col min="14346" max="14594" width="9.21875" style="3"/>
    <col min="14595" max="14595" width="14" style="3" customWidth="1"/>
    <col min="14596" max="14601" width="10.21875" style="3" customWidth="1"/>
    <col min="14602" max="14850" width="9.21875" style="3"/>
    <col min="14851" max="14851" width="14" style="3" customWidth="1"/>
    <col min="14852" max="14857" width="10.21875" style="3" customWidth="1"/>
    <col min="14858" max="15106" width="9.21875" style="3"/>
    <col min="15107" max="15107" width="14" style="3" customWidth="1"/>
    <col min="15108" max="15113" width="10.21875" style="3" customWidth="1"/>
    <col min="15114" max="15362" width="9.21875" style="3"/>
    <col min="15363" max="15363" width="14" style="3" customWidth="1"/>
    <col min="15364" max="15369" width="10.21875" style="3" customWidth="1"/>
    <col min="15370" max="15618" width="9.21875" style="3"/>
    <col min="15619" max="15619" width="14" style="3" customWidth="1"/>
    <col min="15620" max="15625" width="10.21875" style="3" customWidth="1"/>
    <col min="15626" max="15874" width="9.21875" style="3"/>
    <col min="15875" max="15875" width="14" style="3" customWidth="1"/>
    <col min="15876" max="15881" width="10.21875" style="3" customWidth="1"/>
    <col min="15882" max="16130" width="9.21875" style="3"/>
    <col min="16131" max="16131" width="14" style="3" customWidth="1"/>
    <col min="16132" max="16137" width="10.21875" style="3" customWidth="1"/>
    <col min="16138" max="16384" width="9.21875" style="3"/>
  </cols>
  <sheetData>
    <row r="1" spans="1:21" ht="15" x14ac:dyDescent="0.25">
      <c r="A1" s="2" t="str">
        <f>+'Cover Page'!$B$29</f>
        <v>Annual Performance Report 2022</v>
      </c>
      <c r="B1" s="2"/>
      <c r="C1" s="2"/>
      <c r="D1" s="2"/>
      <c r="E1" s="2" t="str">
        <f>+'Cover Page'!$B$33</f>
        <v>Severnside Energy Recovery Centre</v>
      </c>
    </row>
    <row r="3" spans="1:21" ht="14.4" x14ac:dyDescent="0.3">
      <c r="A3" s="114" t="s">
        <v>322</v>
      </c>
      <c r="E3" s="132" t="s">
        <v>299</v>
      </c>
      <c r="H3" s="136" t="s">
        <v>309</v>
      </c>
      <c r="J3" s="10" t="str">
        <f>+A3</f>
        <v>Monitoring of Carbon Monoxide (10-minute avg)</v>
      </c>
      <c r="L3" s="10"/>
      <c r="O3" s="10" t="s">
        <v>300</v>
      </c>
      <c r="Q3" s="133" t="s">
        <v>294</v>
      </c>
      <c r="S3" s="135" t="s">
        <v>294</v>
      </c>
      <c r="T3" s="130"/>
      <c r="U3" s="130"/>
    </row>
    <row r="4" spans="1:21" ht="13.95" customHeight="1" x14ac:dyDescent="0.25">
      <c r="S4" s="417" t="s">
        <v>307</v>
      </c>
      <c r="T4" s="417"/>
      <c r="U4" s="417"/>
    </row>
    <row r="5" spans="1:21" ht="16.2" x14ac:dyDescent="0.25">
      <c r="A5" s="122" t="s">
        <v>266</v>
      </c>
      <c r="B5" s="428" t="s">
        <v>318</v>
      </c>
      <c r="C5" s="428"/>
      <c r="D5" s="428"/>
      <c r="E5" s="428"/>
      <c r="F5" s="428" t="s">
        <v>263</v>
      </c>
      <c r="G5" s="428"/>
      <c r="H5" s="428"/>
      <c r="K5" s="427"/>
      <c r="L5" s="427"/>
      <c r="M5" s="427"/>
      <c r="N5" s="427"/>
      <c r="O5" s="427"/>
      <c r="P5" s="427"/>
      <c r="Q5" s="427"/>
      <c r="S5" s="417"/>
      <c r="T5" s="417"/>
      <c r="U5" s="417"/>
    </row>
    <row r="6" spans="1:21" s="112" customFormat="1" ht="37.5" customHeight="1" x14ac:dyDescent="0.3">
      <c r="A6" s="119">
        <f>+'Cover Page'!C39</f>
        <v>2022</v>
      </c>
      <c r="B6" s="108" t="s">
        <v>317</v>
      </c>
      <c r="C6" s="108" t="s">
        <v>323</v>
      </c>
      <c r="D6" s="108" t="s">
        <v>321</v>
      </c>
      <c r="E6" s="108" t="s">
        <v>324</v>
      </c>
      <c r="F6" s="108" t="s">
        <v>187</v>
      </c>
      <c r="G6" s="108" t="s">
        <v>164</v>
      </c>
      <c r="H6" s="108" t="s">
        <v>316</v>
      </c>
      <c r="I6" s="113"/>
      <c r="K6" s="115">
        <f>+A6</f>
        <v>2022</v>
      </c>
      <c r="L6" s="115" t="s">
        <v>265</v>
      </c>
      <c r="M6" s="108" t="s">
        <v>323</v>
      </c>
      <c r="N6" s="108" t="s">
        <v>321</v>
      </c>
      <c r="O6" s="108" t="s">
        <v>324</v>
      </c>
      <c r="P6" s="121" t="s">
        <v>164</v>
      </c>
      <c r="Q6" s="121" t="s">
        <v>165</v>
      </c>
      <c r="S6" s="417"/>
      <c r="T6" s="417"/>
      <c r="U6" s="417"/>
    </row>
    <row r="7" spans="1:21" x14ac:dyDescent="0.25">
      <c r="A7" s="120" t="s">
        <v>166</v>
      </c>
      <c r="B7" s="123">
        <v>150</v>
      </c>
      <c r="C7" s="118">
        <f>AVERAGE(M7,M22)</f>
        <v>11</v>
      </c>
      <c r="D7" s="118">
        <f>AVERAGE(N7,N22)</f>
        <v>6</v>
      </c>
      <c r="E7" s="118">
        <f>AVERAGE(O7,O22)</f>
        <v>396</v>
      </c>
      <c r="F7" s="123">
        <v>50</v>
      </c>
      <c r="G7" s="118">
        <f>AVERAGE(P7,P22)</f>
        <v>6</v>
      </c>
      <c r="H7" s="118">
        <f>AVERAGE(Q7,Q22)</f>
        <v>9</v>
      </c>
      <c r="K7" s="426" t="s">
        <v>112</v>
      </c>
      <c r="L7" s="120" t="s">
        <v>166</v>
      </c>
      <c r="M7" s="118">
        <v>11</v>
      </c>
      <c r="N7" s="118">
        <v>5</v>
      </c>
      <c r="O7" s="118">
        <v>496</v>
      </c>
      <c r="P7" s="118">
        <v>5</v>
      </c>
      <c r="Q7" s="118">
        <v>9</v>
      </c>
      <c r="S7" s="417"/>
      <c r="T7" s="417"/>
      <c r="U7" s="417"/>
    </row>
    <row r="8" spans="1:21" x14ac:dyDescent="0.25">
      <c r="A8" s="120" t="s">
        <v>167</v>
      </c>
      <c r="B8" s="117">
        <f>+B7</f>
        <v>150</v>
      </c>
      <c r="C8" s="118">
        <f t="shared" ref="C8:E8" si="0">AVERAGE(M8,M23)</f>
        <v>10.5</v>
      </c>
      <c r="D8" s="118">
        <f t="shared" si="0"/>
        <v>6</v>
      </c>
      <c r="E8" s="118">
        <f t="shared" si="0"/>
        <v>525</v>
      </c>
      <c r="F8" s="117">
        <f>+F7</f>
        <v>50</v>
      </c>
      <c r="G8" s="118">
        <f t="shared" ref="G8:H8" si="1">AVERAGE(P8,P23)</f>
        <v>6</v>
      </c>
      <c r="H8" s="118">
        <f t="shared" si="1"/>
        <v>10.5</v>
      </c>
      <c r="K8" s="426"/>
      <c r="L8" s="120" t="s">
        <v>167</v>
      </c>
      <c r="M8" s="118">
        <v>10</v>
      </c>
      <c r="N8" s="118">
        <v>6</v>
      </c>
      <c r="O8" s="118">
        <v>400</v>
      </c>
      <c r="P8" s="118">
        <v>6</v>
      </c>
      <c r="Q8" s="118">
        <v>9</v>
      </c>
      <c r="S8" s="417"/>
      <c r="T8" s="417"/>
      <c r="U8" s="417"/>
    </row>
    <row r="9" spans="1:21" x14ac:dyDescent="0.25">
      <c r="A9" s="120" t="s">
        <v>168</v>
      </c>
      <c r="B9" s="117">
        <f t="shared" ref="B9:B18" si="2">+B8</f>
        <v>150</v>
      </c>
      <c r="C9" s="118">
        <f t="shared" ref="C9:E9" si="3">AVERAGE(M9,M24)</f>
        <v>246.5</v>
      </c>
      <c r="D9" s="118">
        <f t="shared" si="3"/>
        <v>6</v>
      </c>
      <c r="E9" s="118">
        <f t="shared" si="3"/>
        <v>430.5</v>
      </c>
      <c r="F9" s="117">
        <f t="shared" ref="F9:F18" si="4">+F8</f>
        <v>50</v>
      </c>
      <c r="G9" s="118">
        <f t="shared" ref="G9:H9" si="5">AVERAGE(P9,P24)</f>
        <v>6</v>
      </c>
      <c r="H9" s="118">
        <f t="shared" si="5"/>
        <v>7.5</v>
      </c>
      <c r="K9" s="426"/>
      <c r="L9" s="120" t="s">
        <v>168</v>
      </c>
      <c r="M9" s="118">
        <v>10</v>
      </c>
      <c r="N9" s="118">
        <v>6</v>
      </c>
      <c r="O9" s="118">
        <v>378</v>
      </c>
      <c r="P9" s="118">
        <v>6</v>
      </c>
      <c r="Q9" s="118">
        <v>9</v>
      </c>
      <c r="S9" s="134" t="s">
        <v>308</v>
      </c>
    </row>
    <row r="10" spans="1:21" x14ac:dyDescent="0.25">
      <c r="A10" s="120" t="s">
        <v>169</v>
      </c>
      <c r="B10" s="117">
        <f t="shared" si="2"/>
        <v>150</v>
      </c>
      <c r="C10" s="118">
        <f t="shared" ref="C10:E10" si="6">AVERAGE(M10,M25)</f>
        <v>10.5</v>
      </c>
      <c r="D10" s="118">
        <f t="shared" si="6"/>
        <v>5</v>
      </c>
      <c r="E10" s="118">
        <f t="shared" si="6"/>
        <v>345</v>
      </c>
      <c r="F10" s="117">
        <f t="shared" si="4"/>
        <v>50</v>
      </c>
      <c r="G10" s="118">
        <f t="shared" ref="G10:H10" si="7">AVERAGE(P10,P25)</f>
        <v>5</v>
      </c>
      <c r="H10" s="118">
        <f t="shared" si="7"/>
        <v>10</v>
      </c>
      <c r="K10" s="426"/>
      <c r="L10" s="120" t="s">
        <v>169</v>
      </c>
      <c r="M10" s="118">
        <v>12</v>
      </c>
      <c r="N10" s="118">
        <v>5</v>
      </c>
      <c r="O10" s="118">
        <v>418</v>
      </c>
      <c r="P10" s="118">
        <v>5</v>
      </c>
      <c r="Q10" s="118">
        <v>11</v>
      </c>
      <c r="S10" s="425" t="s">
        <v>325</v>
      </c>
      <c r="T10" s="425"/>
      <c r="U10" s="425"/>
    </row>
    <row r="11" spans="1:21" x14ac:dyDescent="0.25">
      <c r="A11" s="120" t="s">
        <v>170</v>
      </c>
      <c r="B11" s="117">
        <f t="shared" si="2"/>
        <v>150</v>
      </c>
      <c r="C11" s="118">
        <f t="shared" ref="C11:E11" si="8">AVERAGE(M11,M26)</f>
        <v>5.5</v>
      </c>
      <c r="D11" s="118">
        <f t="shared" si="8"/>
        <v>2</v>
      </c>
      <c r="E11" s="118">
        <f t="shared" si="8"/>
        <v>772</v>
      </c>
      <c r="F11" s="117">
        <f t="shared" si="4"/>
        <v>50</v>
      </c>
      <c r="G11" s="118">
        <f t="shared" ref="G11:H11" si="9">AVERAGE(P11,P26)</f>
        <v>2</v>
      </c>
      <c r="H11" s="118">
        <f t="shared" si="9"/>
        <v>6.5</v>
      </c>
      <c r="K11" s="426"/>
      <c r="L11" s="120" t="s">
        <v>170</v>
      </c>
      <c r="M11" s="118">
        <v>6</v>
      </c>
      <c r="N11" s="118">
        <v>2</v>
      </c>
      <c r="O11" s="118">
        <v>992</v>
      </c>
      <c r="P11" s="118">
        <v>2</v>
      </c>
      <c r="Q11" s="118">
        <v>8</v>
      </c>
      <c r="S11" s="425"/>
      <c r="T11" s="425"/>
      <c r="U11" s="425"/>
    </row>
    <row r="12" spans="1:21" x14ac:dyDescent="0.25">
      <c r="A12" s="120" t="s">
        <v>171</v>
      </c>
      <c r="B12" s="117">
        <f t="shared" si="2"/>
        <v>150</v>
      </c>
      <c r="C12" s="118">
        <f t="shared" ref="C12:E12" si="10">AVERAGE(M12,M27)</f>
        <v>7.5</v>
      </c>
      <c r="D12" s="118">
        <f t="shared" si="10"/>
        <v>2</v>
      </c>
      <c r="E12" s="118">
        <f t="shared" si="10"/>
        <v>546.5</v>
      </c>
      <c r="F12" s="117">
        <f t="shared" si="4"/>
        <v>50</v>
      </c>
      <c r="G12" s="118">
        <f t="shared" ref="G12:H12" si="11">AVERAGE(P12,P27)</f>
        <v>2</v>
      </c>
      <c r="H12" s="118">
        <f t="shared" si="11"/>
        <v>5.5</v>
      </c>
      <c r="K12" s="426"/>
      <c r="L12" s="120" t="s">
        <v>171</v>
      </c>
      <c r="M12" s="118">
        <v>7</v>
      </c>
      <c r="N12" s="118">
        <v>2</v>
      </c>
      <c r="O12" s="118">
        <v>447</v>
      </c>
      <c r="P12" s="118">
        <v>2</v>
      </c>
      <c r="Q12" s="118">
        <v>6</v>
      </c>
      <c r="S12" s="425"/>
      <c r="T12" s="425"/>
      <c r="U12" s="425"/>
    </row>
    <row r="13" spans="1:21" x14ac:dyDescent="0.25">
      <c r="A13" s="120" t="s">
        <v>172</v>
      </c>
      <c r="B13" s="117">
        <f t="shared" si="2"/>
        <v>150</v>
      </c>
      <c r="C13" s="118">
        <f t="shared" ref="C13:E13" si="12">AVERAGE(M13,M28)</f>
        <v>6</v>
      </c>
      <c r="D13" s="118">
        <f t="shared" si="12"/>
        <v>2</v>
      </c>
      <c r="E13" s="118">
        <f t="shared" si="12"/>
        <v>740.5</v>
      </c>
      <c r="F13" s="117">
        <f t="shared" si="4"/>
        <v>50</v>
      </c>
      <c r="G13" s="118">
        <f t="shared" ref="G13:H13" si="13">AVERAGE(P13,P28)</f>
        <v>2</v>
      </c>
      <c r="H13" s="118">
        <f t="shared" si="13"/>
        <v>7.5</v>
      </c>
      <c r="K13" s="426"/>
      <c r="L13" s="120" t="s">
        <v>172</v>
      </c>
      <c r="M13" s="118">
        <v>6</v>
      </c>
      <c r="N13" s="118">
        <v>3</v>
      </c>
      <c r="O13" s="118">
        <v>1308</v>
      </c>
      <c r="P13" s="118">
        <v>3</v>
      </c>
      <c r="Q13" s="118">
        <v>12</v>
      </c>
      <c r="S13" s="425" t="s">
        <v>327</v>
      </c>
      <c r="T13" s="425"/>
      <c r="U13" s="425"/>
    </row>
    <row r="14" spans="1:21" x14ac:dyDescent="0.25">
      <c r="A14" s="120" t="s">
        <v>173</v>
      </c>
      <c r="B14" s="117">
        <f t="shared" si="2"/>
        <v>150</v>
      </c>
      <c r="C14" s="118">
        <f t="shared" ref="C14:E14" si="14">AVERAGE(M14,M29)</f>
        <v>8</v>
      </c>
      <c r="D14" s="118">
        <f t="shared" si="14"/>
        <v>3.5</v>
      </c>
      <c r="E14" s="118">
        <f t="shared" si="14"/>
        <v>795</v>
      </c>
      <c r="F14" s="117">
        <f t="shared" si="4"/>
        <v>50</v>
      </c>
      <c r="G14" s="118">
        <f t="shared" ref="G14:H14" si="15">AVERAGE(P14,P29)</f>
        <v>3.5</v>
      </c>
      <c r="H14" s="118">
        <f t="shared" si="15"/>
        <v>8</v>
      </c>
      <c r="K14" s="426"/>
      <c r="L14" s="120" t="s">
        <v>173</v>
      </c>
      <c r="M14" s="118">
        <v>8</v>
      </c>
      <c r="N14" s="118">
        <v>4</v>
      </c>
      <c r="O14" s="118">
        <v>1046</v>
      </c>
      <c r="P14" s="118">
        <v>4</v>
      </c>
      <c r="Q14" s="118">
        <v>10</v>
      </c>
      <c r="S14" s="425"/>
      <c r="T14" s="425"/>
      <c r="U14" s="425"/>
    </row>
    <row r="15" spans="1:21" x14ac:dyDescent="0.25">
      <c r="A15" s="120" t="s">
        <v>174</v>
      </c>
      <c r="B15" s="117">
        <f t="shared" si="2"/>
        <v>150</v>
      </c>
      <c r="C15" s="118">
        <f t="shared" ref="C15:E15" si="16">AVERAGE(M15,M30)</f>
        <v>8</v>
      </c>
      <c r="D15" s="118">
        <f t="shared" si="16"/>
        <v>3.5</v>
      </c>
      <c r="E15" s="118">
        <f t="shared" si="16"/>
        <v>644</v>
      </c>
      <c r="F15" s="117">
        <f t="shared" si="4"/>
        <v>50</v>
      </c>
      <c r="G15" s="118">
        <f t="shared" ref="G15:H15" si="17">AVERAGE(P15,P30)</f>
        <v>3.5</v>
      </c>
      <c r="H15" s="118">
        <f t="shared" si="17"/>
        <v>9</v>
      </c>
      <c r="K15" s="426"/>
      <c r="L15" s="120" t="s">
        <v>174</v>
      </c>
      <c r="M15" s="118">
        <v>8</v>
      </c>
      <c r="N15" s="118">
        <v>3</v>
      </c>
      <c r="O15" s="118">
        <v>348</v>
      </c>
      <c r="P15" s="118">
        <v>3</v>
      </c>
      <c r="Q15" s="118">
        <v>6</v>
      </c>
      <c r="S15" s="425"/>
      <c r="T15" s="425"/>
      <c r="U15" s="425"/>
    </row>
    <row r="16" spans="1:21" x14ac:dyDescent="0.25">
      <c r="A16" s="120" t="s">
        <v>175</v>
      </c>
      <c r="B16" s="117">
        <f t="shared" si="2"/>
        <v>150</v>
      </c>
      <c r="C16" s="118">
        <f t="shared" ref="C16:E16" si="18">AVERAGE(M16,M31)</f>
        <v>8.5</v>
      </c>
      <c r="D16" s="118">
        <f t="shared" si="18"/>
        <v>3</v>
      </c>
      <c r="E16" s="118">
        <f t="shared" si="18"/>
        <v>985.5</v>
      </c>
      <c r="F16" s="117">
        <f t="shared" si="4"/>
        <v>50</v>
      </c>
      <c r="G16" s="118">
        <f t="shared" ref="G16:H16" si="19">AVERAGE(P16,P31)</f>
        <v>3</v>
      </c>
      <c r="H16" s="118">
        <f t="shared" si="19"/>
        <v>12</v>
      </c>
      <c r="K16" s="426"/>
      <c r="L16" s="120" t="s">
        <v>175</v>
      </c>
      <c r="M16" s="118">
        <v>10</v>
      </c>
      <c r="N16" s="118">
        <v>3</v>
      </c>
      <c r="O16" s="118">
        <v>1044</v>
      </c>
      <c r="P16" s="118">
        <v>3</v>
      </c>
      <c r="Q16" s="118">
        <v>15</v>
      </c>
      <c r="S16" s="425"/>
      <c r="T16" s="425"/>
      <c r="U16" s="425"/>
    </row>
    <row r="17" spans="1:17" x14ac:dyDescent="0.25">
      <c r="A17" s="120" t="s">
        <v>176</v>
      </c>
      <c r="B17" s="117">
        <f t="shared" si="2"/>
        <v>150</v>
      </c>
      <c r="C17" s="118">
        <f t="shared" ref="C17:E17" si="20">AVERAGE(M17,M32)</f>
        <v>26</v>
      </c>
      <c r="D17" s="118">
        <f t="shared" si="20"/>
        <v>2.5</v>
      </c>
      <c r="E17" s="118">
        <f t="shared" si="20"/>
        <v>482.5</v>
      </c>
      <c r="F17" s="117">
        <f t="shared" si="4"/>
        <v>50</v>
      </c>
      <c r="G17" s="118">
        <f t="shared" ref="G17:H17" si="21">AVERAGE(P17,P32)</f>
        <v>2.5</v>
      </c>
      <c r="H17" s="118">
        <f t="shared" si="21"/>
        <v>6</v>
      </c>
      <c r="K17" s="426"/>
      <c r="L17" s="120" t="s">
        <v>176</v>
      </c>
      <c r="M17" s="118">
        <v>45</v>
      </c>
      <c r="N17" s="118">
        <v>2</v>
      </c>
      <c r="O17" s="118">
        <v>340</v>
      </c>
      <c r="P17" s="118">
        <v>2</v>
      </c>
      <c r="Q17" s="118">
        <v>5</v>
      </c>
    </row>
    <row r="18" spans="1:17" x14ac:dyDescent="0.25">
      <c r="A18" s="120" t="s">
        <v>177</v>
      </c>
      <c r="B18" s="117">
        <f t="shared" si="2"/>
        <v>150</v>
      </c>
      <c r="C18" s="118">
        <f t="shared" ref="C18:E18" si="22">AVERAGE(M18,M33)</f>
        <v>9.5</v>
      </c>
      <c r="D18" s="118">
        <f t="shared" si="22"/>
        <v>1.5</v>
      </c>
      <c r="E18" s="118">
        <f t="shared" si="22"/>
        <v>379</v>
      </c>
      <c r="F18" s="117">
        <f t="shared" si="4"/>
        <v>50</v>
      </c>
      <c r="G18" s="118">
        <f t="shared" ref="G18:H18" si="23">AVERAGE(P18,P33)</f>
        <v>1.5</v>
      </c>
      <c r="H18" s="118">
        <f t="shared" si="23"/>
        <v>4.5</v>
      </c>
      <c r="K18" s="426"/>
      <c r="L18" s="120" t="s">
        <v>177</v>
      </c>
      <c r="M18" s="118">
        <v>5</v>
      </c>
      <c r="N18" s="118">
        <v>1</v>
      </c>
      <c r="O18" s="118">
        <v>213</v>
      </c>
      <c r="P18" s="118">
        <v>1</v>
      </c>
      <c r="Q18" s="118">
        <v>4</v>
      </c>
    </row>
    <row r="19" spans="1:17" x14ac:dyDescent="0.25">
      <c r="K19" s="426"/>
      <c r="L19" s="116" t="s">
        <v>267</v>
      </c>
      <c r="M19" s="116">
        <f>AVERAGE(M7:M18)</f>
        <v>11.5</v>
      </c>
      <c r="N19" s="116">
        <f>AVERAGE(N7:N18)</f>
        <v>3.5</v>
      </c>
      <c r="O19" s="116">
        <f>MAX(O7:O18)</f>
        <v>1308</v>
      </c>
      <c r="P19" s="116">
        <f>AVERAGE(P7:P18)</f>
        <v>3.5</v>
      </c>
      <c r="Q19" s="116">
        <f>MAX(Q7:Q18)</f>
        <v>15</v>
      </c>
    </row>
    <row r="21" spans="1:17" ht="27.6" x14ac:dyDescent="0.25">
      <c r="K21" s="115">
        <f>+A6</f>
        <v>2022</v>
      </c>
      <c r="L21" s="115" t="s">
        <v>265</v>
      </c>
      <c r="M21" s="108" t="s">
        <v>323</v>
      </c>
      <c r="N21" s="108" t="s">
        <v>321</v>
      </c>
      <c r="O21" s="108" t="s">
        <v>324</v>
      </c>
      <c r="P21" s="121" t="s">
        <v>164</v>
      </c>
      <c r="Q21" s="121" t="s">
        <v>165</v>
      </c>
    </row>
    <row r="22" spans="1:17" x14ac:dyDescent="0.25">
      <c r="K22" s="426" t="s">
        <v>113</v>
      </c>
      <c r="L22" s="120" t="s">
        <v>166</v>
      </c>
      <c r="M22" s="118">
        <v>11</v>
      </c>
      <c r="N22" s="118">
        <v>7</v>
      </c>
      <c r="O22" s="118">
        <v>296</v>
      </c>
      <c r="P22" s="118">
        <v>7</v>
      </c>
      <c r="Q22" s="118">
        <v>9</v>
      </c>
    </row>
    <row r="23" spans="1:17" x14ac:dyDescent="0.25">
      <c r="K23" s="426"/>
      <c r="L23" s="120" t="s">
        <v>167</v>
      </c>
      <c r="M23" s="118">
        <v>11</v>
      </c>
      <c r="N23" s="118">
        <v>6</v>
      </c>
      <c r="O23" s="118">
        <v>650</v>
      </c>
      <c r="P23" s="118">
        <v>6</v>
      </c>
      <c r="Q23" s="118">
        <v>12</v>
      </c>
    </row>
    <row r="24" spans="1:17" x14ac:dyDescent="0.25">
      <c r="K24" s="426"/>
      <c r="L24" s="120" t="s">
        <v>168</v>
      </c>
      <c r="M24" s="118">
        <v>483</v>
      </c>
      <c r="N24" s="118">
        <v>6</v>
      </c>
      <c r="O24" s="118">
        <v>483</v>
      </c>
      <c r="P24" s="118">
        <v>6</v>
      </c>
      <c r="Q24" s="118">
        <v>6</v>
      </c>
    </row>
    <row r="25" spans="1:17" x14ac:dyDescent="0.25">
      <c r="K25" s="426"/>
      <c r="L25" s="120" t="s">
        <v>169</v>
      </c>
      <c r="M25" s="118">
        <v>9</v>
      </c>
      <c r="N25" s="118">
        <v>5</v>
      </c>
      <c r="O25" s="118">
        <v>272</v>
      </c>
      <c r="P25" s="118">
        <v>5</v>
      </c>
      <c r="Q25" s="118">
        <v>9</v>
      </c>
    </row>
    <row r="26" spans="1:17" x14ac:dyDescent="0.25">
      <c r="K26" s="426"/>
      <c r="L26" s="120" t="s">
        <v>170</v>
      </c>
      <c r="M26" s="118">
        <v>5</v>
      </c>
      <c r="N26" s="118">
        <v>2</v>
      </c>
      <c r="O26" s="118">
        <v>552</v>
      </c>
      <c r="P26" s="118">
        <v>2</v>
      </c>
      <c r="Q26" s="118">
        <v>5</v>
      </c>
    </row>
    <row r="27" spans="1:17" x14ac:dyDescent="0.25">
      <c r="K27" s="426"/>
      <c r="L27" s="120" t="s">
        <v>171</v>
      </c>
      <c r="M27" s="118">
        <v>8</v>
      </c>
      <c r="N27" s="118">
        <v>2</v>
      </c>
      <c r="O27" s="118">
        <v>646</v>
      </c>
      <c r="P27" s="118">
        <v>2</v>
      </c>
      <c r="Q27" s="118">
        <v>5</v>
      </c>
    </row>
    <row r="28" spans="1:17" x14ac:dyDescent="0.25">
      <c r="K28" s="426"/>
      <c r="L28" s="120" t="s">
        <v>172</v>
      </c>
      <c r="M28" s="118">
        <v>6</v>
      </c>
      <c r="N28" s="118">
        <v>1</v>
      </c>
      <c r="O28" s="118">
        <v>173</v>
      </c>
      <c r="P28" s="118">
        <v>1</v>
      </c>
      <c r="Q28" s="118">
        <v>3</v>
      </c>
    </row>
    <row r="29" spans="1:17" x14ac:dyDescent="0.25">
      <c r="K29" s="426"/>
      <c r="L29" s="120" t="s">
        <v>173</v>
      </c>
      <c r="M29" s="118">
        <v>8</v>
      </c>
      <c r="N29" s="118">
        <v>3</v>
      </c>
      <c r="O29" s="118">
        <v>544</v>
      </c>
      <c r="P29" s="118">
        <v>3</v>
      </c>
      <c r="Q29" s="118">
        <v>6</v>
      </c>
    </row>
    <row r="30" spans="1:17" x14ac:dyDescent="0.25">
      <c r="K30" s="426"/>
      <c r="L30" s="120" t="s">
        <v>174</v>
      </c>
      <c r="M30" s="118">
        <v>8</v>
      </c>
      <c r="N30" s="118">
        <v>4</v>
      </c>
      <c r="O30" s="118">
        <v>940</v>
      </c>
      <c r="P30" s="118">
        <v>4</v>
      </c>
      <c r="Q30" s="118">
        <v>12</v>
      </c>
    </row>
    <row r="31" spans="1:17" x14ac:dyDescent="0.25">
      <c r="K31" s="426"/>
      <c r="L31" s="120" t="s">
        <v>175</v>
      </c>
      <c r="M31" s="118">
        <v>7</v>
      </c>
      <c r="N31" s="118">
        <v>3</v>
      </c>
      <c r="O31" s="118">
        <v>927</v>
      </c>
      <c r="P31" s="118">
        <v>3</v>
      </c>
      <c r="Q31" s="118">
        <v>9</v>
      </c>
    </row>
    <row r="32" spans="1:17" x14ac:dyDescent="0.25">
      <c r="K32" s="426"/>
      <c r="L32" s="120" t="s">
        <v>176</v>
      </c>
      <c r="M32" s="118">
        <v>7</v>
      </c>
      <c r="N32" s="118">
        <v>3</v>
      </c>
      <c r="O32" s="118">
        <v>625</v>
      </c>
      <c r="P32" s="118">
        <v>3</v>
      </c>
      <c r="Q32" s="118">
        <v>7</v>
      </c>
    </row>
    <row r="33" spans="1:17" x14ac:dyDescent="0.25">
      <c r="K33" s="426"/>
      <c r="L33" s="120" t="s">
        <v>177</v>
      </c>
      <c r="M33" s="118">
        <v>14</v>
      </c>
      <c r="N33" s="118">
        <v>2</v>
      </c>
      <c r="O33" s="118">
        <v>545</v>
      </c>
      <c r="P33" s="118">
        <v>2</v>
      </c>
      <c r="Q33" s="118">
        <v>5</v>
      </c>
    </row>
    <row r="34" spans="1:17" x14ac:dyDescent="0.25">
      <c r="K34" s="426"/>
      <c r="L34" s="116" t="s">
        <v>267</v>
      </c>
      <c r="M34" s="116">
        <f>AVERAGE(M22:M33)</f>
        <v>48.083333333333336</v>
      </c>
      <c r="N34" s="116">
        <f>AVERAGE(N22:N33)</f>
        <v>3.6666666666666665</v>
      </c>
      <c r="O34" s="116">
        <f>MAX(O22:O33)</f>
        <v>940</v>
      </c>
      <c r="P34" s="116">
        <f>AVERAGE(P22:P33)</f>
        <v>3.6666666666666665</v>
      </c>
      <c r="Q34" s="116">
        <f>MAX(Q22:Q33)</f>
        <v>12</v>
      </c>
    </row>
    <row r="36" spans="1:17" ht="27.6" x14ac:dyDescent="0.25">
      <c r="K36" s="115">
        <f>+A6</f>
        <v>2022</v>
      </c>
      <c r="L36" s="115" t="s">
        <v>265</v>
      </c>
      <c r="M36" s="108" t="s">
        <v>323</v>
      </c>
      <c r="N36" s="108" t="s">
        <v>321</v>
      </c>
      <c r="O36" s="108" t="s">
        <v>324</v>
      </c>
      <c r="P36" s="121" t="s">
        <v>164</v>
      </c>
      <c r="Q36" s="121" t="s">
        <v>165</v>
      </c>
    </row>
    <row r="37" spans="1:17" x14ac:dyDescent="0.25">
      <c r="K37" s="426" t="s">
        <v>114</v>
      </c>
      <c r="L37" s="120" t="s">
        <v>166</v>
      </c>
      <c r="M37" s="118"/>
      <c r="N37" s="118"/>
      <c r="O37" s="118"/>
      <c r="P37" s="118"/>
      <c r="Q37" s="118"/>
    </row>
    <row r="38" spans="1:17" x14ac:dyDescent="0.25">
      <c r="K38" s="426"/>
      <c r="L38" s="120" t="s">
        <v>167</v>
      </c>
      <c r="M38" s="118"/>
      <c r="N38" s="118"/>
      <c r="O38" s="118"/>
      <c r="P38" s="118"/>
      <c r="Q38" s="118"/>
    </row>
    <row r="39" spans="1:17" x14ac:dyDescent="0.25">
      <c r="K39" s="426"/>
      <c r="L39" s="120" t="s">
        <v>168</v>
      </c>
      <c r="M39" s="118"/>
      <c r="N39" s="118"/>
      <c r="O39" s="118"/>
      <c r="P39" s="118"/>
      <c r="Q39" s="118"/>
    </row>
    <row r="40" spans="1:17" x14ac:dyDescent="0.25">
      <c r="K40" s="426"/>
      <c r="L40" s="120" t="s">
        <v>169</v>
      </c>
      <c r="M40" s="118"/>
      <c r="N40" s="118"/>
      <c r="O40" s="118"/>
      <c r="P40" s="118"/>
      <c r="Q40" s="118"/>
    </row>
    <row r="41" spans="1:17" x14ac:dyDescent="0.25">
      <c r="K41" s="426"/>
      <c r="L41" s="120" t="s">
        <v>170</v>
      </c>
      <c r="M41" s="118"/>
      <c r="N41" s="118"/>
      <c r="O41" s="118"/>
      <c r="P41" s="118"/>
      <c r="Q41" s="118"/>
    </row>
    <row r="42" spans="1:17" x14ac:dyDescent="0.25">
      <c r="K42" s="426"/>
      <c r="L42" s="120" t="s">
        <v>171</v>
      </c>
      <c r="M42" s="118"/>
      <c r="N42" s="118"/>
      <c r="O42" s="118"/>
      <c r="P42" s="118"/>
      <c r="Q42" s="118"/>
    </row>
    <row r="43" spans="1:17" x14ac:dyDescent="0.25">
      <c r="K43" s="426"/>
      <c r="L43" s="120" t="s">
        <v>172</v>
      </c>
      <c r="M43" s="118"/>
      <c r="N43" s="118"/>
      <c r="O43" s="118"/>
      <c r="P43" s="118"/>
      <c r="Q43" s="118"/>
    </row>
    <row r="44" spans="1:17" x14ac:dyDescent="0.25">
      <c r="K44" s="426"/>
      <c r="L44" s="120" t="s">
        <v>173</v>
      </c>
      <c r="M44" s="118"/>
      <c r="N44" s="118"/>
      <c r="O44" s="118"/>
      <c r="P44" s="118"/>
      <c r="Q44" s="118"/>
    </row>
    <row r="45" spans="1:17" x14ac:dyDescent="0.25">
      <c r="K45" s="426"/>
      <c r="L45" s="120" t="s">
        <v>174</v>
      </c>
      <c r="M45" s="118"/>
      <c r="N45" s="118"/>
      <c r="O45" s="118"/>
      <c r="P45" s="118"/>
      <c r="Q45" s="118"/>
    </row>
    <row r="46" spans="1:17" x14ac:dyDescent="0.25">
      <c r="K46" s="426"/>
      <c r="L46" s="120" t="s">
        <v>175</v>
      </c>
      <c r="M46" s="118"/>
      <c r="N46" s="118"/>
      <c r="O46" s="118"/>
      <c r="P46" s="118"/>
      <c r="Q46" s="118"/>
    </row>
    <row r="47" spans="1:17" x14ac:dyDescent="0.25">
      <c r="K47" s="426"/>
      <c r="L47" s="120" t="s">
        <v>176</v>
      </c>
      <c r="M47" s="118"/>
      <c r="N47" s="118"/>
      <c r="O47" s="118"/>
      <c r="P47" s="118"/>
      <c r="Q47" s="118"/>
    </row>
    <row r="48" spans="1:17" x14ac:dyDescent="0.25">
      <c r="A48" s="438" t="s">
        <v>208</v>
      </c>
      <c r="B48" s="439"/>
      <c r="C48" s="439"/>
      <c r="D48" s="439"/>
      <c r="E48" s="439"/>
      <c r="F48" s="439"/>
      <c r="G48" s="439"/>
      <c r="H48" s="440"/>
      <c r="K48" s="426"/>
      <c r="L48" s="120" t="s">
        <v>177</v>
      </c>
      <c r="M48" s="118"/>
      <c r="N48" s="118"/>
      <c r="O48" s="118"/>
      <c r="P48" s="118"/>
      <c r="Q48" s="118"/>
    </row>
    <row r="49" spans="1:17" x14ac:dyDescent="0.25">
      <c r="A49" s="441" t="s">
        <v>329</v>
      </c>
      <c r="B49" s="442"/>
      <c r="C49" s="442"/>
      <c r="D49" s="442"/>
      <c r="E49" s="442"/>
      <c r="F49" s="442"/>
      <c r="G49" s="442"/>
      <c r="H49" s="443"/>
      <c r="K49" s="426"/>
      <c r="L49" s="116" t="s">
        <v>267</v>
      </c>
      <c r="M49" s="116" t="e">
        <f>AVERAGE(M37:M48)</f>
        <v>#DIV/0!</v>
      </c>
      <c r="N49" s="116"/>
      <c r="O49" s="116">
        <f>MAX(O37:O48)</f>
        <v>0</v>
      </c>
      <c r="P49" s="116" t="e">
        <f>AVERAGE(P37:P48)</f>
        <v>#DIV/0!</v>
      </c>
      <c r="Q49" s="116">
        <f>MAX(Q37:Q48)</f>
        <v>0</v>
      </c>
    </row>
    <row r="50" spans="1:17" x14ac:dyDescent="0.25">
      <c r="A50" s="444"/>
      <c r="B50" s="445"/>
      <c r="C50" s="445"/>
      <c r="D50" s="445"/>
      <c r="E50" s="445"/>
      <c r="F50" s="445"/>
      <c r="G50" s="445"/>
      <c r="H50" s="446"/>
    </row>
    <row r="51" spans="1:17" ht="27.6" x14ac:dyDescent="0.25">
      <c r="A51" s="444"/>
      <c r="B51" s="445"/>
      <c r="C51" s="445"/>
      <c r="D51" s="445"/>
      <c r="E51" s="445"/>
      <c r="F51" s="445"/>
      <c r="G51" s="445"/>
      <c r="H51" s="446"/>
      <c r="K51" s="115">
        <f>+A6</f>
        <v>2022</v>
      </c>
      <c r="L51" s="115" t="s">
        <v>265</v>
      </c>
      <c r="M51" s="108" t="s">
        <v>323</v>
      </c>
      <c r="N51" s="108" t="s">
        <v>321</v>
      </c>
      <c r="O51" s="108" t="s">
        <v>324</v>
      </c>
      <c r="P51" s="121" t="s">
        <v>164</v>
      </c>
      <c r="Q51" s="121" t="s">
        <v>165</v>
      </c>
    </row>
    <row r="52" spans="1:17" x14ac:dyDescent="0.25">
      <c r="A52" s="447"/>
      <c r="B52" s="448"/>
      <c r="C52" s="448"/>
      <c r="D52" s="448"/>
      <c r="E52" s="448"/>
      <c r="F52" s="448"/>
      <c r="G52" s="448"/>
      <c r="H52" s="449"/>
      <c r="K52" s="426" t="s">
        <v>115</v>
      </c>
      <c r="L52" s="120" t="s">
        <v>166</v>
      </c>
      <c r="M52" s="118"/>
      <c r="N52" s="118"/>
      <c r="O52" s="118"/>
      <c r="P52" s="118"/>
      <c r="Q52" s="118"/>
    </row>
    <row r="53" spans="1:17" x14ac:dyDescent="0.25">
      <c r="K53" s="426"/>
      <c r="L53" s="120" t="s">
        <v>167</v>
      </c>
      <c r="M53" s="118"/>
      <c r="N53" s="118"/>
      <c r="O53" s="118"/>
      <c r="P53" s="118"/>
      <c r="Q53" s="118"/>
    </row>
    <row r="54" spans="1:17" x14ac:dyDescent="0.25">
      <c r="C54" s="197">
        <v>44981</v>
      </c>
      <c r="K54" s="426"/>
      <c r="L54" s="120" t="s">
        <v>168</v>
      </c>
      <c r="M54" s="118"/>
      <c r="N54" s="118"/>
      <c r="O54" s="118"/>
      <c r="P54" s="118"/>
      <c r="Q54" s="118"/>
    </row>
    <row r="55" spans="1:17" x14ac:dyDescent="0.25">
      <c r="K55" s="426"/>
      <c r="L55" s="120" t="s">
        <v>169</v>
      </c>
      <c r="M55" s="118"/>
      <c r="N55" s="118"/>
      <c r="O55" s="118"/>
      <c r="P55" s="118"/>
      <c r="Q55" s="118"/>
    </row>
    <row r="56" spans="1:17" x14ac:dyDescent="0.25">
      <c r="K56" s="426"/>
      <c r="L56" s="120" t="s">
        <v>170</v>
      </c>
      <c r="M56" s="118"/>
      <c r="N56" s="118"/>
      <c r="O56" s="118"/>
      <c r="P56" s="118"/>
      <c r="Q56" s="118"/>
    </row>
    <row r="57" spans="1:17" x14ac:dyDescent="0.25">
      <c r="K57" s="426"/>
      <c r="L57" s="120" t="s">
        <v>171</v>
      </c>
      <c r="M57" s="118"/>
      <c r="N57" s="118"/>
      <c r="O57" s="118"/>
      <c r="P57" s="118"/>
      <c r="Q57" s="118"/>
    </row>
    <row r="58" spans="1:17" x14ac:dyDescent="0.25">
      <c r="K58" s="426"/>
      <c r="L58" s="120" t="s">
        <v>172</v>
      </c>
      <c r="M58" s="118"/>
      <c r="N58" s="118"/>
      <c r="O58" s="118"/>
      <c r="P58" s="118"/>
      <c r="Q58" s="118"/>
    </row>
    <row r="59" spans="1:17" x14ac:dyDescent="0.25">
      <c r="K59" s="426"/>
      <c r="L59" s="120" t="s">
        <v>173</v>
      </c>
      <c r="M59" s="118"/>
      <c r="N59" s="118"/>
      <c r="O59" s="118"/>
      <c r="P59" s="118"/>
      <c r="Q59" s="118"/>
    </row>
    <row r="60" spans="1:17" x14ac:dyDescent="0.25">
      <c r="K60" s="426"/>
      <c r="L60" s="120" t="s">
        <v>174</v>
      </c>
      <c r="M60" s="118"/>
      <c r="N60" s="118"/>
      <c r="O60" s="118"/>
      <c r="P60" s="118"/>
      <c r="Q60" s="118"/>
    </row>
    <row r="61" spans="1:17" x14ac:dyDescent="0.25">
      <c r="K61" s="426"/>
      <c r="L61" s="120" t="s">
        <v>175</v>
      </c>
      <c r="M61" s="118"/>
      <c r="N61" s="118"/>
      <c r="O61" s="118"/>
      <c r="P61" s="118"/>
      <c r="Q61" s="118"/>
    </row>
    <row r="62" spans="1:17" x14ac:dyDescent="0.25">
      <c r="K62" s="426"/>
      <c r="L62" s="120" t="s">
        <v>176</v>
      </c>
      <c r="M62" s="118"/>
      <c r="N62" s="118"/>
      <c r="O62" s="118"/>
      <c r="P62" s="118"/>
      <c r="Q62" s="118"/>
    </row>
    <row r="63" spans="1:17" x14ac:dyDescent="0.25">
      <c r="K63" s="426"/>
      <c r="L63" s="120" t="s">
        <v>177</v>
      </c>
      <c r="M63" s="118"/>
      <c r="N63" s="118"/>
      <c r="O63" s="118"/>
      <c r="P63" s="118"/>
      <c r="Q63" s="118"/>
    </row>
    <row r="64" spans="1:17" x14ac:dyDescent="0.25">
      <c r="K64" s="426"/>
      <c r="L64" s="116" t="s">
        <v>267</v>
      </c>
      <c r="M64" s="116" t="e">
        <f>AVERAGE(M52:M63)</f>
        <v>#DIV/0!</v>
      </c>
      <c r="N64" s="116"/>
      <c r="O64" s="116">
        <f>MAX(O52:O63)</f>
        <v>0</v>
      </c>
      <c r="P64" s="116" t="e">
        <f>AVERAGE(P52:P63)</f>
        <v>#DIV/0!</v>
      </c>
      <c r="Q64" s="116">
        <f>MAX(Q52:Q63)</f>
        <v>0</v>
      </c>
    </row>
    <row r="66" spans="11:17" ht="27.6" x14ac:dyDescent="0.25">
      <c r="K66" s="115">
        <f>+A6</f>
        <v>2022</v>
      </c>
      <c r="L66" s="115" t="s">
        <v>265</v>
      </c>
      <c r="M66" s="108" t="s">
        <v>323</v>
      </c>
      <c r="N66" s="108" t="s">
        <v>321</v>
      </c>
      <c r="O66" s="108" t="s">
        <v>324</v>
      </c>
      <c r="P66" s="121" t="s">
        <v>164</v>
      </c>
      <c r="Q66" s="121" t="s">
        <v>165</v>
      </c>
    </row>
    <row r="67" spans="11:17" x14ac:dyDescent="0.25">
      <c r="K67" s="426" t="s">
        <v>116</v>
      </c>
      <c r="L67" s="120" t="s">
        <v>166</v>
      </c>
      <c r="M67" s="118"/>
      <c r="N67" s="118"/>
      <c r="O67" s="118"/>
      <c r="P67" s="118"/>
      <c r="Q67" s="118"/>
    </row>
    <row r="68" spans="11:17" x14ac:dyDescent="0.25">
      <c r="K68" s="426"/>
      <c r="L68" s="120" t="s">
        <v>167</v>
      </c>
      <c r="M68" s="118"/>
      <c r="N68" s="118"/>
      <c r="O68" s="118"/>
      <c r="P68" s="118"/>
      <c r="Q68" s="118"/>
    </row>
    <row r="69" spans="11:17" x14ac:dyDescent="0.25">
      <c r="K69" s="426"/>
      <c r="L69" s="120" t="s">
        <v>168</v>
      </c>
      <c r="M69" s="118"/>
      <c r="N69" s="118"/>
      <c r="O69" s="118"/>
      <c r="P69" s="118"/>
      <c r="Q69" s="118"/>
    </row>
    <row r="70" spans="11:17" x14ac:dyDescent="0.25">
      <c r="K70" s="426"/>
      <c r="L70" s="120" t="s">
        <v>169</v>
      </c>
      <c r="M70" s="118"/>
      <c r="N70" s="118"/>
      <c r="O70" s="118"/>
      <c r="P70" s="118"/>
      <c r="Q70" s="118"/>
    </row>
    <row r="71" spans="11:17" x14ac:dyDescent="0.25">
      <c r="K71" s="426"/>
      <c r="L71" s="120" t="s">
        <v>170</v>
      </c>
      <c r="M71" s="118"/>
      <c r="N71" s="118"/>
      <c r="O71" s="118"/>
      <c r="P71" s="118"/>
      <c r="Q71" s="118"/>
    </row>
    <row r="72" spans="11:17" x14ac:dyDescent="0.25">
      <c r="K72" s="426"/>
      <c r="L72" s="120" t="s">
        <v>171</v>
      </c>
      <c r="M72" s="118"/>
      <c r="N72" s="118"/>
      <c r="O72" s="118"/>
      <c r="P72" s="118"/>
      <c r="Q72" s="118"/>
    </row>
    <row r="73" spans="11:17" x14ac:dyDescent="0.25">
      <c r="K73" s="426"/>
      <c r="L73" s="120" t="s">
        <v>172</v>
      </c>
      <c r="M73" s="118"/>
      <c r="N73" s="118"/>
      <c r="O73" s="118"/>
      <c r="P73" s="118"/>
      <c r="Q73" s="118"/>
    </row>
    <row r="74" spans="11:17" x14ac:dyDescent="0.25">
      <c r="K74" s="426"/>
      <c r="L74" s="120" t="s">
        <v>173</v>
      </c>
      <c r="M74" s="118"/>
      <c r="N74" s="118"/>
      <c r="O74" s="118"/>
      <c r="P74" s="118"/>
      <c r="Q74" s="118"/>
    </row>
    <row r="75" spans="11:17" x14ac:dyDescent="0.25">
      <c r="K75" s="426"/>
      <c r="L75" s="120" t="s">
        <v>174</v>
      </c>
      <c r="M75" s="118"/>
      <c r="N75" s="118"/>
      <c r="O75" s="118"/>
      <c r="P75" s="118"/>
      <c r="Q75" s="118"/>
    </row>
    <row r="76" spans="11:17" x14ac:dyDescent="0.25">
      <c r="K76" s="426"/>
      <c r="L76" s="120" t="s">
        <v>175</v>
      </c>
      <c r="M76" s="118"/>
      <c r="N76" s="118"/>
      <c r="O76" s="118"/>
      <c r="P76" s="118"/>
      <c r="Q76" s="118"/>
    </row>
    <row r="77" spans="11:17" x14ac:dyDescent="0.25">
      <c r="K77" s="426"/>
      <c r="L77" s="120" t="s">
        <v>176</v>
      </c>
      <c r="M77" s="118"/>
      <c r="N77" s="118"/>
      <c r="O77" s="118"/>
      <c r="P77" s="118"/>
      <c r="Q77" s="118"/>
    </row>
    <row r="78" spans="11:17" x14ac:dyDescent="0.25">
      <c r="K78" s="426"/>
      <c r="L78" s="120" t="s">
        <v>177</v>
      </c>
      <c r="M78" s="118"/>
      <c r="N78" s="118"/>
      <c r="O78" s="118"/>
      <c r="P78" s="118"/>
      <c r="Q78" s="118"/>
    </row>
    <row r="79" spans="11:17" x14ac:dyDescent="0.25">
      <c r="K79" s="426"/>
      <c r="L79" s="116" t="s">
        <v>267</v>
      </c>
      <c r="M79" s="116" t="e">
        <f>AVERAGE(M67:M78)</f>
        <v>#DIV/0!</v>
      </c>
      <c r="N79" s="116"/>
      <c r="O79" s="116">
        <f>MAX(O67:O78)</f>
        <v>0</v>
      </c>
      <c r="P79" s="116" t="e">
        <f>AVERAGE(P67:P78)</f>
        <v>#DIV/0!</v>
      </c>
      <c r="Q79" s="116">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view="pageBreakPreview" zoomScaleNormal="85" zoomScaleSheetLayoutView="100" workbookViewId="0">
      <selection activeCell="C52" sqref="C52"/>
    </sheetView>
  </sheetViews>
  <sheetFormatPr defaultRowHeight="13.8" x14ac:dyDescent="0.25"/>
  <cols>
    <col min="1" max="1" width="14" style="3" customWidth="1"/>
    <col min="2" max="4" width="17" style="70" customWidth="1"/>
    <col min="5" max="5" width="14.77734375" style="70" customWidth="1"/>
    <col min="6" max="7" width="17" style="70" customWidth="1"/>
    <col min="8" max="11" width="9.21875" style="3"/>
    <col min="12" max="12" width="15.44140625" style="3" customWidth="1"/>
    <col min="13" max="13" width="17.44140625" style="3" bestFit="1" customWidth="1"/>
    <col min="14" max="14" width="13.77734375" style="3" customWidth="1"/>
    <col min="15" max="15" width="15" style="3" customWidth="1"/>
    <col min="16" max="18" width="9.21875" style="3"/>
    <col min="19" max="19" width="22" style="3" customWidth="1"/>
    <col min="20" max="256" width="9.21875" style="3"/>
    <col min="257" max="257" width="14" style="3" customWidth="1"/>
    <col min="258" max="263" width="10.21875" style="3" customWidth="1"/>
    <col min="264" max="512" width="9.21875" style="3"/>
    <col min="513" max="513" width="14" style="3" customWidth="1"/>
    <col min="514" max="519" width="10.21875" style="3" customWidth="1"/>
    <col min="520" max="768" width="9.21875" style="3"/>
    <col min="769" max="769" width="14" style="3" customWidth="1"/>
    <col min="770" max="775" width="10.21875" style="3" customWidth="1"/>
    <col min="776" max="1024" width="9.21875" style="3"/>
    <col min="1025" max="1025" width="14" style="3" customWidth="1"/>
    <col min="1026" max="1031" width="10.21875" style="3" customWidth="1"/>
    <col min="1032" max="1280" width="9.21875" style="3"/>
    <col min="1281" max="1281" width="14" style="3" customWidth="1"/>
    <col min="1282" max="1287" width="10.21875" style="3" customWidth="1"/>
    <col min="1288" max="1536" width="9.21875" style="3"/>
    <col min="1537" max="1537" width="14" style="3" customWidth="1"/>
    <col min="1538" max="1543" width="10.21875" style="3" customWidth="1"/>
    <col min="1544" max="1792" width="9.21875" style="3"/>
    <col min="1793" max="1793" width="14" style="3" customWidth="1"/>
    <col min="1794" max="1799" width="10.21875" style="3" customWidth="1"/>
    <col min="1800" max="2048" width="9.21875" style="3"/>
    <col min="2049" max="2049" width="14" style="3" customWidth="1"/>
    <col min="2050" max="2055" width="10.21875" style="3" customWidth="1"/>
    <col min="2056" max="2304" width="9.21875" style="3"/>
    <col min="2305" max="2305" width="14" style="3" customWidth="1"/>
    <col min="2306" max="2311" width="10.21875" style="3" customWidth="1"/>
    <col min="2312" max="2560" width="9.21875" style="3"/>
    <col min="2561" max="2561" width="14" style="3" customWidth="1"/>
    <col min="2562" max="2567" width="10.21875" style="3" customWidth="1"/>
    <col min="2568" max="2816" width="9.21875" style="3"/>
    <col min="2817" max="2817" width="14" style="3" customWidth="1"/>
    <col min="2818" max="2823" width="10.21875" style="3" customWidth="1"/>
    <col min="2824" max="3072" width="9.21875" style="3"/>
    <col min="3073" max="3073" width="14" style="3" customWidth="1"/>
    <col min="3074" max="3079" width="10.21875" style="3" customWidth="1"/>
    <col min="3080" max="3328" width="9.21875" style="3"/>
    <col min="3329" max="3329" width="14" style="3" customWidth="1"/>
    <col min="3330" max="3335" width="10.21875" style="3" customWidth="1"/>
    <col min="3336" max="3584" width="9.21875" style="3"/>
    <col min="3585" max="3585" width="14" style="3" customWidth="1"/>
    <col min="3586" max="3591" width="10.21875" style="3" customWidth="1"/>
    <col min="3592" max="3840" width="9.21875" style="3"/>
    <col min="3841" max="3841" width="14" style="3" customWidth="1"/>
    <col min="3842" max="3847" width="10.21875" style="3" customWidth="1"/>
    <col min="3848" max="4096" width="9.21875" style="3"/>
    <col min="4097" max="4097" width="14" style="3" customWidth="1"/>
    <col min="4098" max="4103" width="10.21875" style="3" customWidth="1"/>
    <col min="4104" max="4352" width="9.21875" style="3"/>
    <col min="4353" max="4353" width="14" style="3" customWidth="1"/>
    <col min="4354" max="4359" width="10.21875" style="3" customWidth="1"/>
    <col min="4360" max="4608" width="9.21875" style="3"/>
    <col min="4609" max="4609" width="14" style="3" customWidth="1"/>
    <col min="4610" max="4615" width="10.21875" style="3" customWidth="1"/>
    <col min="4616" max="4864" width="9.21875" style="3"/>
    <col min="4865" max="4865" width="14" style="3" customWidth="1"/>
    <col min="4866" max="4871" width="10.21875" style="3" customWidth="1"/>
    <col min="4872" max="5120" width="9.21875" style="3"/>
    <col min="5121" max="5121" width="14" style="3" customWidth="1"/>
    <col min="5122" max="5127" width="10.21875" style="3" customWidth="1"/>
    <col min="5128" max="5376" width="9.21875" style="3"/>
    <col min="5377" max="5377" width="14" style="3" customWidth="1"/>
    <col min="5378" max="5383" width="10.21875" style="3" customWidth="1"/>
    <col min="5384" max="5632" width="9.21875" style="3"/>
    <col min="5633" max="5633" width="14" style="3" customWidth="1"/>
    <col min="5634" max="5639" width="10.21875" style="3" customWidth="1"/>
    <col min="5640" max="5888" width="9.21875" style="3"/>
    <col min="5889" max="5889" width="14" style="3" customWidth="1"/>
    <col min="5890" max="5895" width="10.21875" style="3" customWidth="1"/>
    <col min="5896" max="6144" width="9.21875" style="3"/>
    <col min="6145" max="6145" width="14" style="3" customWidth="1"/>
    <col min="6146" max="6151" width="10.21875" style="3" customWidth="1"/>
    <col min="6152" max="6400" width="9.21875" style="3"/>
    <col min="6401" max="6401" width="14" style="3" customWidth="1"/>
    <col min="6402" max="6407" width="10.21875" style="3" customWidth="1"/>
    <col min="6408" max="6656" width="9.21875" style="3"/>
    <col min="6657" max="6657" width="14" style="3" customWidth="1"/>
    <col min="6658" max="6663" width="10.21875" style="3" customWidth="1"/>
    <col min="6664" max="6912" width="9.21875" style="3"/>
    <col min="6913" max="6913" width="14" style="3" customWidth="1"/>
    <col min="6914" max="6919" width="10.21875" style="3" customWidth="1"/>
    <col min="6920" max="7168" width="9.21875" style="3"/>
    <col min="7169" max="7169" width="14" style="3" customWidth="1"/>
    <col min="7170" max="7175" width="10.21875" style="3" customWidth="1"/>
    <col min="7176" max="7424" width="9.21875" style="3"/>
    <col min="7425" max="7425" width="14" style="3" customWidth="1"/>
    <col min="7426" max="7431" width="10.21875" style="3" customWidth="1"/>
    <col min="7432" max="7680" width="9.21875" style="3"/>
    <col min="7681" max="7681" width="14" style="3" customWidth="1"/>
    <col min="7682" max="7687" width="10.21875" style="3" customWidth="1"/>
    <col min="7688" max="7936" width="9.21875" style="3"/>
    <col min="7937" max="7937" width="14" style="3" customWidth="1"/>
    <col min="7938" max="7943" width="10.21875" style="3" customWidth="1"/>
    <col min="7944" max="8192" width="9.21875" style="3"/>
    <col min="8193" max="8193" width="14" style="3" customWidth="1"/>
    <col min="8194" max="8199" width="10.21875" style="3" customWidth="1"/>
    <col min="8200" max="8448" width="9.21875" style="3"/>
    <col min="8449" max="8449" width="14" style="3" customWidth="1"/>
    <col min="8450" max="8455" width="10.21875" style="3" customWidth="1"/>
    <col min="8456" max="8704" width="9.21875" style="3"/>
    <col min="8705" max="8705" width="14" style="3" customWidth="1"/>
    <col min="8706" max="8711" width="10.21875" style="3" customWidth="1"/>
    <col min="8712" max="8960" width="9.21875" style="3"/>
    <col min="8961" max="8961" width="14" style="3" customWidth="1"/>
    <col min="8962" max="8967" width="10.21875" style="3" customWidth="1"/>
    <col min="8968" max="9216" width="9.21875" style="3"/>
    <col min="9217" max="9217" width="14" style="3" customWidth="1"/>
    <col min="9218" max="9223" width="10.21875" style="3" customWidth="1"/>
    <col min="9224" max="9472" width="9.21875" style="3"/>
    <col min="9473" max="9473" width="14" style="3" customWidth="1"/>
    <col min="9474" max="9479" width="10.21875" style="3" customWidth="1"/>
    <col min="9480" max="9728" width="9.21875" style="3"/>
    <col min="9729" max="9729" width="14" style="3" customWidth="1"/>
    <col min="9730" max="9735" width="10.21875" style="3" customWidth="1"/>
    <col min="9736" max="9984" width="9.21875" style="3"/>
    <col min="9985" max="9985" width="14" style="3" customWidth="1"/>
    <col min="9986" max="9991" width="10.21875" style="3" customWidth="1"/>
    <col min="9992" max="10240" width="9.21875" style="3"/>
    <col min="10241" max="10241" width="14" style="3" customWidth="1"/>
    <col min="10242" max="10247" width="10.21875" style="3" customWidth="1"/>
    <col min="10248" max="10496" width="9.21875" style="3"/>
    <col min="10497" max="10497" width="14" style="3" customWidth="1"/>
    <col min="10498" max="10503" width="10.21875" style="3" customWidth="1"/>
    <col min="10504" max="10752" width="9.21875" style="3"/>
    <col min="10753" max="10753" width="14" style="3" customWidth="1"/>
    <col min="10754" max="10759" width="10.21875" style="3" customWidth="1"/>
    <col min="10760" max="11008" width="9.21875" style="3"/>
    <col min="11009" max="11009" width="14" style="3" customWidth="1"/>
    <col min="11010" max="11015" width="10.21875" style="3" customWidth="1"/>
    <col min="11016" max="11264" width="9.21875" style="3"/>
    <col min="11265" max="11265" width="14" style="3" customWidth="1"/>
    <col min="11266" max="11271" width="10.21875" style="3" customWidth="1"/>
    <col min="11272" max="11520" width="9.21875" style="3"/>
    <col min="11521" max="11521" width="14" style="3" customWidth="1"/>
    <col min="11522" max="11527" width="10.21875" style="3" customWidth="1"/>
    <col min="11528" max="11776" width="9.21875" style="3"/>
    <col min="11777" max="11777" width="14" style="3" customWidth="1"/>
    <col min="11778" max="11783" width="10.21875" style="3" customWidth="1"/>
    <col min="11784" max="12032" width="9.21875" style="3"/>
    <col min="12033" max="12033" width="14" style="3" customWidth="1"/>
    <col min="12034" max="12039" width="10.21875" style="3" customWidth="1"/>
    <col min="12040" max="12288" width="9.21875" style="3"/>
    <col min="12289" max="12289" width="14" style="3" customWidth="1"/>
    <col min="12290" max="12295" width="10.21875" style="3" customWidth="1"/>
    <col min="12296" max="12544" width="9.21875" style="3"/>
    <col min="12545" max="12545" width="14" style="3" customWidth="1"/>
    <col min="12546" max="12551" width="10.21875" style="3" customWidth="1"/>
    <col min="12552" max="12800" width="9.21875" style="3"/>
    <col min="12801" max="12801" width="14" style="3" customWidth="1"/>
    <col min="12802" max="12807" width="10.21875" style="3" customWidth="1"/>
    <col min="12808" max="13056" width="9.21875" style="3"/>
    <col min="13057" max="13057" width="14" style="3" customWidth="1"/>
    <col min="13058" max="13063" width="10.21875" style="3" customWidth="1"/>
    <col min="13064" max="13312" width="9.21875" style="3"/>
    <col min="13313" max="13313" width="14" style="3" customWidth="1"/>
    <col min="13314" max="13319" width="10.21875" style="3" customWidth="1"/>
    <col min="13320" max="13568" width="9.21875" style="3"/>
    <col min="13569" max="13569" width="14" style="3" customWidth="1"/>
    <col min="13570" max="13575" width="10.21875" style="3" customWidth="1"/>
    <col min="13576" max="13824" width="9.21875" style="3"/>
    <col min="13825" max="13825" width="14" style="3" customWidth="1"/>
    <col min="13826" max="13831" width="10.21875" style="3" customWidth="1"/>
    <col min="13832" max="14080" width="9.21875" style="3"/>
    <col min="14081" max="14081" width="14" style="3" customWidth="1"/>
    <col min="14082" max="14087" width="10.21875" style="3" customWidth="1"/>
    <col min="14088" max="14336" width="9.21875" style="3"/>
    <col min="14337" max="14337" width="14" style="3" customWidth="1"/>
    <col min="14338" max="14343" width="10.21875" style="3" customWidth="1"/>
    <col min="14344" max="14592" width="9.21875" style="3"/>
    <col min="14593" max="14593" width="14" style="3" customWidth="1"/>
    <col min="14594" max="14599" width="10.21875" style="3" customWidth="1"/>
    <col min="14600" max="14848" width="9.21875" style="3"/>
    <col min="14849" max="14849" width="14" style="3" customWidth="1"/>
    <col min="14850" max="14855" width="10.21875" style="3" customWidth="1"/>
    <col min="14856" max="15104" width="9.21875" style="3"/>
    <col min="15105" max="15105" width="14" style="3" customWidth="1"/>
    <col min="15106" max="15111" width="10.21875" style="3" customWidth="1"/>
    <col min="15112" max="15360" width="9.21875" style="3"/>
    <col min="15361" max="15361" width="14" style="3" customWidth="1"/>
    <col min="15362" max="15367" width="10.21875" style="3" customWidth="1"/>
    <col min="15368" max="15616" width="9.21875" style="3"/>
    <col min="15617" max="15617" width="14" style="3" customWidth="1"/>
    <col min="15618" max="15623" width="10.21875" style="3" customWidth="1"/>
    <col min="15624" max="15872" width="9.21875" style="3"/>
    <col min="15873" max="15873" width="14" style="3" customWidth="1"/>
    <col min="15874" max="15879" width="10.21875" style="3" customWidth="1"/>
    <col min="15880" max="16128" width="9.21875" style="3"/>
    <col min="16129" max="16129" width="14" style="3" customWidth="1"/>
    <col min="16130" max="16135" width="10.21875" style="3" customWidth="1"/>
    <col min="16136" max="16384" width="9.21875" style="3"/>
  </cols>
  <sheetData>
    <row r="1" spans="1:19" ht="15" x14ac:dyDescent="0.25">
      <c r="A1" s="2" t="str">
        <f>+'Cover Page'!$B$29</f>
        <v>Annual Performance Report 2022</v>
      </c>
      <c r="B1" s="2"/>
      <c r="C1" s="2"/>
      <c r="D1" s="2"/>
      <c r="E1" s="2" t="str">
        <f>+'Cover Page'!$B$33</f>
        <v>Severnside Energy Recovery Centre</v>
      </c>
    </row>
    <row r="3" spans="1:19" ht="14.4" x14ac:dyDescent="0.3">
      <c r="A3" s="114" t="s">
        <v>438</v>
      </c>
      <c r="D3" s="132" t="s">
        <v>299</v>
      </c>
      <c r="G3" s="136" t="s">
        <v>306</v>
      </c>
      <c r="J3" s="10" t="str">
        <f>+A3</f>
        <v xml:space="preserve">Monitoring of Ammonia emissions </v>
      </c>
      <c r="L3" s="10"/>
      <c r="N3" s="10" t="s">
        <v>300</v>
      </c>
      <c r="Q3" s="135" t="s">
        <v>294</v>
      </c>
      <c r="R3" s="130"/>
      <c r="S3" s="130"/>
    </row>
    <row r="4" spans="1:19" ht="13.95" customHeight="1" x14ac:dyDescent="0.25">
      <c r="Q4" s="417" t="s">
        <v>304</v>
      </c>
      <c r="R4" s="417"/>
      <c r="S4" s="417"/>
    </row>
    <row r="5" spans="1:19" ht="16.2" x14ac:dyDescent="0.25">
      <c r="A5" s="122" t="s">
        <v>266</v>
      </c>
      <c r="B5" s="428" t="s">
        <v>264</v>
      </c>
      <c r="C5" s="428"/>
      <c r="D5" s="428"/>
      <c r="E5" s="428" t="s">
        <v>263</v>
      </c>
      <c r="F5" s="428"/>
      <c r="G5" s="428"/>
      <c r="J5" s="427"/>
      <c r="K5" s="427"/>
      <c r="L5" s="427"/>
      <c r="M5" s="427"/>
      <c r="N5" s="427"/>
      <c r="O5" s="427"/>
      <c r="Q5" s="417"/>
      <c r="R5" s="417"/>
      <c r="S5" s="417"/>
    </row>
    <row r="6" spans="1:19" s="112" customFormat="1" ht="37.5" customHeight="1" x14ac:dyDescent="0.3">
      <c r="A6" s="119">
        <f>+'Cover Page'!C39</f>
        <v>2022</v>
      </c>
      <c r="B6" s="108" t="s">
        <v>188</v>
      </c>
      <c r="C6" s="108" t="s">
        <v>161</v>
      </c>
      <c r="D6" s="108" t="s">
        <v>315</v>
      </c>
      <c r="E6" s="108" t="s">
        <v>189</v>
      </c>
      <c r="F6" s="108" t="s">
        <v>164</v>
      </c>
      <c r="G6" s="108" t="s">
        <v>316</v>
      </c>
      <c r="H6" s="113"/>
      <c r="J6" s="115">
        <f>+A6</f>
        <v>2022</v>
      </c>
      <c r="K6" s="115" t="s">
        <v>265</v>
      </c>
      <c r="L6" s="121" t="s">
        <v>161</v>
      </c>
      <c r="M6" s="121" t="s">
        <v>162</v>
      </c>
      <c r="N6" s="121" t="s">
        <v>164</v>
      </c>
      <c r="O6" s="121" t="s">
        <v>165</v>
      </c>
      <c r="Q6" s="417"/>
      <c r="R6" s="417"/>
      <c r="S6" s="417"/>
    </row>
    <row r="7" spans="1:19" x14ac:dyDescent="0.25">
      <c r="A7" s="120" t="s">
        <v>166</v>
      </c>
      <c r="B7" s="123">
        <v>0</v>
      </c>
      <c r="C7" s="118">
        <f>AVERAGE(L7,L22)</f>
        <v>0.35</v>
      </c>
      <c r="D7" s="118">
        <f>AVERAGE(M7,M22)</f>
        <v>2.8</v>
      </c>
      <c r="E7" s="123">
        <v>10</v>
      </c>
      <c r="F7" s="118">
        <f>AVERAGE(N7,N22)</f>
        <v>0.35</v>
      </c>
      <c r="G7" s="118">
        <f>AVERAGE(O7,O22)</f>
        <v>0.6</v>
      </c>
      <c r="J7" s="426" t="s">
        <v>112</v>
      </c>
      <c r="K7" s="120" t="s">
        <v>166</v>
      </c>
      <c r="L7" s="118">
        <v>0.6</v>
      </c>
      <c r="M7" s="118">
        <v>3.6</v>
      </c>
      <c r="N7" s="118">
        <v>0.6</v>
      </c>
      <c r="O7" s="118">
        <v>1</v>
      </c>
      <c r="Q7" s="417"/>
      <c r="R7" s="417"/>
      <c r="S7" s="417"/>
    </row>
    <row r="8" spans="1:19" x14ac:dyDescent="0.25">
      <c r="A8" s="120" t="s">
        <v>167</v>
      </c>
      <c r="B8" s="117">
        <f>+B7</f>
        <v>0</v>
      </c>
      <c r="C8" s="118">
        <f t="shared" ref="C8:D8" si="0">AVERAGE(L8,L23)</f>
        <v>0.25</v>
      </c>
      <c r="D8" s="118">
        <f t="shared" si="0"/>
        <v>2.1</v>
      </c>
      <c r="E8" s="117">
        <f>+E7</f>
        <v>10</v>
      </c>
      <c r="F8" s="118">
        <f t="shared" ref="F8:G8" si="1">AVERAGE(N8,N23)</f>
        <v>0.25</v>
      </c>
      <c r="G8" s="118">
        <f t="shared" si="1"/>
        <v>0.5</v>
      </c>
      <c r="J8" s="426"/>
      <c r="K8" s="120" t="s">
        <v>167</v>
      </c>
      <c r="L8" s="118">
        <v>0.4</v>
      </c>
      <c r="M8" s="118">
        <v>3.1</v>
      </c>
      <c r="N8" s="118">
        <v>0.4</v>
      </c>
      <c r="O8" s="118">
        <v>0.8</v>
      </c>
      <c r="Q8" s="417"/>
      <c r="R8" s="417"/>
      <c r="S8" s="417"/>
    </row>
    <row r="9" spans="1:19" x14ac:dyDescent="0.25">
      <c r="A9" s="120" t="s">
        <v>168</v>
      </c>
      <c r="B9" s="117">
        <f t="shared" ref="B9:B18" si="2">+B8</f>
        <v>0</v>
      </c>
      <c r="C9" s="118">
        <f t="shared" ref="C9:D9" si="3">AVERAGE(L9,L24)</f>
        <v>0.44999999999999996</v>
      </c>
      <c r="D9" s="118">
        <f t="shared" si="3"/>
        <v>3.4</v>
      </c>
      <c r="E9" s="117">
        <f t="shared" ref="E9:E18" si="4">+E8</f>
        <v>10</v>
      </c>
      <c r="F9" s="118">
        <f t="shared" ref="F9:G9" si="5">AVERAGE(N9,N24)</f>
        <v>0.44999999999999996</v>
      </c>
      <c r="G9" s="118">
        <f t="shared" si="5"/>
        <v>0.95</v>
      </c>
      <c r="J9" s="426"/>
      <c r="K9" s="120" t="s">
        <v>168</v>
      </c>
      <c r="L9" s="118">
        <v>0.7</v>
      </c>
      <c r="M9" s="118">
        <v>4.5999999999999996</v>
      </c>
      <c r="N9" s="118">
        <v>0.7</v>
      </c>
      <c r="O9" s="118">
        <v>1.3</v>
      </c>
      <c r="Q9" s="134" t="s">
        <v>305</v>
      </c>
    </row>
    <row r="10" spans="1:19" ht="14.25" customHeight="1" x14ac:dyDescent="0.25">
      <c r="A10" s="120" t="s">
        <v>169</v>
      </c>
      <c r="B10" s="117">
        <f t="shared" si="2"/>
        <v>0</v>
      </c>
      <c r="C10" s="118">
        <f t="shared" ref="C10:D10" si="6">AVERAGE(L10,L25)</f>
        <v>0.55000000000000004</v>
      </c>
      <c r="D10" s="118">
        <f t="shared" si="6"/>
        <v>4.95</v>
      </c>
      <c r="E10" s="117">
        <f t="shared" si="4"/>
        <v>10</v>
      </c>
      <c r="F10" s="118">
        <f t="shared" ref="F10:G10" si="7">AVERAGE(N10,N25)</f>
        <v>0.55000000000000004</v>
      </c>
      <c r="G10" s="118">
        <f t="shared" si="7"/>
        <v>1.1499999999999999</v>
      </c>
      <c r="J10" s="426"/>
      <c r="K10" s="120" t="s">
        <v>169</v>
      </c>
      <c r="L10" s="118">
        <v>0.8</v>
      </c>
      <c r="M10" s="118">
        <v>4.9000000000000004</v>
      </c>
      <c r="N10" s="118">
        <v>0.8</v>
      </c>
      <c r="O10" s="118">
        <v>1.3</v>
      </c>
      <c r="Q10" s="425" t="s">
        <v>320</v>
      </c>
      <c r="R10" s="425"/>
      <c r="S10" s="425"/>
    </row>
    <row r="11" spans="1:19" x14ac:dyDescent="0.25">
      <c r="A11" s="120" t="s">
        <v>170</v>
      </c>
      <c r="B11" s="117">
        <f t="shared" si="2"/>
        <v>0</v>
      </c>
      <c r="C11" s="118">
        <f t="shared" ref="C11:D11" si="8">AVERAGE(L11,L26)</f>
        <v>0.44999999999999996</v>
      </c>
      <c r="D11" s="118">
        <f t="shared" si="8"/>
        <v>6.8999999999999995</v>
      </c>
      <c r="E11" s="117">
        <f t="shared" si="4"/>
        <v>10</v>
      </c>
      <c r="F11" s="118">
        <f t="shared" ref="F11:G11" si="9">AVERAGE(N11,N26)</f>
        <v>0.44999999999999996</v>
      </c>
      <c r="G11" s="118">
        <f t="shared" si="9"/>
        <v>0.85</v>
      </c>
      <c r="J11" s="426"/>
      <c r="K11" s="120" t="s">
        <v>170</v>
      </c>
      <c r="L11" s="118">
        <v>0.2</v>
      </c>
      <c r="M11" s="118">
        <v>10.7</v>
      </c>
      <c r="N11" s="118">
        <v>0.2</v>
      </c>
      <c r="O11" s="118">
        <v>0.7</v>
      </c>
      <c r="Q11" s="425"/>
      <c r="R11" s="425"/>
      <c r="S11" s="425"/>
    </row>
    <row r="12" spans="1:19" x14ac:dyDescent="0.25">
      <c r="A12" s="120" t="s">
        <v>171</v>
      </c>
      <c r="B12" s="117">
        <f t="shared" si="2"/>
        <v>0</v>
      </c>
      <c r="C12" s="118">
        <f t="shared" ref="C12:D12" si="10">AVERAGE(L12,L27)</f>
        <v>0.55000000000000004</v>
      </c>
      <c r="D12" s="118">
        <f t="shared" si="10"/>
        <v>3.8</v>
      </c>
      <c r="E12" s="117">
        <f t="shared" si="4"/>
        <v>10</v>
      </c>
      <c r="F12" s="118">
        <f t="shared" ref="F12:G12" si="11">AVERAGE(N12,N27)</f>
        <v>0.55000000000000004</v>
      </c>
      <c r="G12" s="118">
        <f t="shared" si="11"/>
        <v>1.05</v>
      </c>
      <c r="J12" s="426"/>
      <c r="K12" s="120" t="s">
        <v>171</v>
      </c>
      <c r="L12" s="118">
        <v>0.3</v>
      </c>
      <c r="M12" s="118">
        <v>2.8</v>
      </c>
      <c r="N12" s="118">
        <v>0.3</v>
      </c>
      <c r="O12" s="118">
        <v>0.8</v>
      </c>
      <c r="Q12" s="425"/>
      <c r="R12" s="425"/>
      <c r="S12" s="425"/>
    </row>
    <row r="13" spans="1:19" ht="14.25" customHeight="1" x14ac:dyDescent="0.25">
      <c r="A13" s="120" t="s">
        <v>172</v>
      </c>
      <c r="B13" s="117">
        <f t="shared" si="2"/>
        <v>0</v>
      </c>
      <c r="C13" s="118">
        <f t="shared" ref="C13:D13" si="12">AVERAGE(L13,L28)</f>
        <v>0.65</v>
      </c>
      <c r="D13" s="118">
        <f t="shared" si="12"/>
        <v>4.5999999999999996</v>
      </c>
      <c r="E13" s="117">
        <f t="shared" si="4"/>
        <v>10</v>
      </c>
      <c r="F13" s="118">
        <f t="shared" ref="F13:G13" si="13">AVERAGE(N13,N28)</f>
        <v>0.65</v>
      </c>
      <c r="G13" s="118">
        <f t="shared" si="13"/>
        <v>1.05</v>
      </c>
      <c r="J13" s="426"/>
      <c r="K13" s="120" t="s">
        <v>172</v>
      </c>
      <c r="L13" s="118">
        <v>0.3</v>
      </c>
      <c r="M13" s="118">
        <v>3.7</v>
      </c>
      <c r="N13" s="118">
        <v>0.3</v>
      </c>
      <c r="O13" s="118">
        <v>0.8</v>
      </c>
      <c r="Q13" s="425" t="s">
        <v>326</v>
      </c>
      <c r="R13" s="425"/>
      <c r="S13" s="425"/>
    </row>
    <row r="14" spans="1:19" x14ac:dyDescent="0.25">
      <c r="A14" s="120" t="s">
        <v>173</v>
      </c>
      <c r="B14" s="117">
        <f t="shared" si="2"/>
        <v>0</v>
      </c>
      <c r="C14" s="118">
        <f t="shared" ref="C14:D14" si="14">AVERAGE(L14,L29)</f>
        <v>0.55000000000000004</v>
      </c>
      <c r="D14" s="118">
        <f t="shared" si="14"/>
        <v>12.1</v>
      </c>
      <c r="E14" s="117">
        <f t="shared" si="4"/>
        <v>10</v>
      </c>
      <c r="F14" s="118">
        <f t="shared" ref="F14:G14" si="15">AVERAGE(N14,N29)</f>
        <v>0.55000000000000004</v>
      </c>
      <c r="G14" s="118">
        <f t="shared" si="15"/>
        <v>1.35</v>
      </c>
      <c r="J14" s="426"/>
      <c r="K14" s="120" t="s">
        <v>173</v>
      </c>
      <c r="L14" s="118">
        <v>0.3</v>
      </c>
      <c r="M14" s="118">
        <v>20.399999999999999</v>
      </c>
      <c r="N14" s="118">
        <v>0.3</v>
      </c>
      <c r="O14" s="118">
        <v>1.2</v>
      </c>
      <c r="Q14" s="425"/>
      <c r="R14" s="425"/>
      <c r="S14" s="425"/>
    </row>
    <row r="15" spans="1:19" x14ac:dyDescent="0.25">
      <c r="A15" s="120" t="s">
        <v>174</v>
      </c>
      <c r="B15" s="117">
        <f t="shared" si="2"/>
        <v>0</v>
      </c>
      <c r="C15" s="118">
        <f t="shared" ref="C15:D15" si="16">AVERAGE(L15,L30)</f>
        <v>0.8</v>
      </c>
      <c r="D15" s="118">
        <f t="shared" si="16"/>
        <v>6.0500000000000007</v>
      </c>
      <c r="E15" s="117">
        <f t="shared" si="4"/>
        <v>10</v>
      </c>
      <c r="F15" s="118">
        <f t="shared" ref="F15:G15" si="17">AVERAGE(N15,N30)</f>
        <v>0.8</v>
      </c>
      <c r="G15" s="118">
        <f t="shared" si="17"/>
        <v>2</v>
      </c>
      <c r="J15" s="426"/>
      <c r="K15" s="120" t="s">
        <v>174</v>
      </c>
      <c r="L15" s="118">
        <v>0.5</v>
      </c>
      <c r="M15" s="118">
        <v>5.4</v>
      </c>
      <c r="N15" s="118">
        <v>0.5</v>
      </c>
      <c r="O15" s="118">
        <v>1.5</v>
      </c>
      <c r="Q15" s="425"/>
      <c r="R15" s="425"/>
      <c r="S15" s="425"/>
    </row>
    <row r="16" spans="1:19" x14ac:dyDescent="0.25">
      <c r="A16" s="120" t="s">
        <v>175</v>
      </c>
      <c r="B16" s="117">
        <f t="shared" si="2"/>
        <v>0</v>
      </c>
      <c r="C16" s="118">
        <f t="shared" ref="C16:D16" si="18">AVERAGE(L16,L31)</f>
        <v>0.45</v>
      </c>
      <c r="D16" s="118">
        <f t="shared" si="18"/>
        <v>4.6500000000000004</v>
      </c>
      <c r="E16" s="117">
        <f t="shared" si="4"/>
        <v>10</v>
      </c>
      <c r="F16" s="118">
        <f t="shared" ref="F16:G16" si="19">AVERAGE(N16,N31)</f>
        <v>0.45</v>
      </c>
      <c r="G16" s="118">
        <f t="shared" si="19"/>
        <v>1.05</v>
      </c>
      <c r="J16" s="426"/>
      <c r="K16" s="120" t="s">
        <v>175</v>
      </c>
      <c r="L16" s="118">
        <v>0.4</v>
      </c>
      <c r="M16" s="118">
        <v>6.6</v>
      </c>
      <c r="N16" s="118">
        <v>0.4</v>
      </c>
      <c r="O16" s="118">
        <v>1.1000000000000001</v>
      </c>
      <c r="Q16" s="425"/>
      <c r="R16" s="425"/>
      <c r="S16" s="425"/>
    </row>
    <row r="17" spans="1:15" x14ac:dyDescent="0.25">
      <c r="A17" s="120" t="s">
        <v>176</v>
      </c>
      <c r="B17" s="117">
        <f t="shared" si="2"/>
        <v>0</v>
      </c>
      <c r="C17" s="118">
        <f t="shared" ref="C17:D17" si="20">AVERAGE(L17,L32)</f>
        <v>0.64999999999999991</v>
      </c>
      <c r="D17" s="118">
        <f t="shared" si="20"/>
        <v>3.2</v>
      </c>
      <c r="E17" s="117">
        <f t="shared" si="4"/>
        <v>10</v>
      </c>
      <c r="F17" s="118">
        <f t="shared" ref="F17:G17" si="21">AVERAGE(N17,N32)</f>
        <v>0.64999999999999991</v>
      </c>
      <c r="G17" s="118">
        <f t="shared" si="21"/>
        <v>1.25</v>
      </c>
      <c r="J17" s="426"/>
      <c r="K17" s="120" t="s">
        <v>176</v>
      </c>
      <c r="L17" s="118">
        <v>0.7</v>
      </c>
      <c r="M17" s="118">
        <v>4.3</v>
      </c>
      <c r="N17" s="118">
        <v>0.7</v>
      </c>
      <c r="O17" s="118">
        <v>1.4</v>
      </c>
    </row>
    <row r="18" spans="1:15" x14ac:dyDescent="0.25">
      <c r="A18" s="120" t="s">
        <v>177</v>
      </c>
      <c r="B18" s="117">
        <f t="shared" si="2"/>
        <v>0</v>
      </c>
      <c r="C18" s="118">
        <f t="shared" ref="C18:D18" si="22">AVERAGE(L18,L33)</f>
        <v>1.05</v>
      </c>
      <c r="D18" s="118">
        <f t="shared" si="22"/>
        <v>6.35</v>
      </c>
      <c r="E18" s="117">
        <f t="shared" si="4"/>
        <v>10</v>
      </c>
      <c r="F18" s="118">
        <f t="shared" ref="F18:G18" si="23">AVERAGE(N18,N33)</f>
        <v>1.05</v>
      </c>
      <c r="G18" s="118">
        <f t="shared" si="23"/>
        <v>1.8</v>
      </c>
      <c r="J18" s="426"/>
      <c r="K18" s="120" t="s">
        <v>177</v>
      </c>
      <c r="L18" s="118">
        <v>1.5</v>
      </c>
      <c r="M18" s="118">
        <v>9.6999999999999993</v>
      </c>
      <c r="N18" s="118">
        <v>1.5</v>
      </c>
      <c r="O18" s="118">
        <v>2.7</v>
      </c>
    </row>
    <row r="19" spans="1:15" x14ac:dyDescent="0.25">
      <c r="J19" s="426"/>
      <c r="K19" s="116" t="s">
        <v>267</v>
      </c>
      <c r="L19" s="116">
        <f>AVERAGE(L7:L18)</f>
        <v>0.55833333333333335</v>
      </c>
      <c r="M19" s="116">
        <f>MAX(M7:M18)</f>
        <v>20.399999999999999</v>
      </c>
      <c r="N19" s="116">
        <f>AVERAGE(N7:N18)</f>
        <v>0.55833333333333335</v>
      </c>
      <c r="O19" s="116">
        <f>MAX(O7:O18)</f>
        <v>2.7</v>
      </c>
    </row>
    <row r="21" spans="1:15" ht="41.4" x14ac:dyDescent="0.25">
      <c r="J21" s="115">
        <f>+A6</f>
        <v>2022</v>
      </c>
      <c r="K21" s="115" t="s">
        <v>265</v>
      </c>
      <c r="L21" s="121" t="s">
        <v>161</v>
      </c>
      <c r="M21" s="121" t="s">
        <v>162</v>
      </c>
      <c r="N21" s="121" t="s">
        <v>164</v>
      </c>
      <c r="O21" s="121" t="s">
        <v>165</v>
      </c>
    </row>
    <row r="22" spans="1:15" x14ac:dyDescent="0.25">
      <c r="J22" s="426" t="s">
        <v>113</v>
      </c>
      <c r="K22" s="120" t="s">
        <v>166</v>
      </c>
      <c r="L22" s="118">
        <v>0.1</v>
      </c>
      <c r="M22" s="118">
        <v>2</v>
      </c>
      <c r="N22" s="118">
        <v>0.1</v>
      </c>
      <c r="O22" s="118">
        <v>0.2</v>
      </c>
    </row>
    <row r="23" spans="1:15" x14ac:dyDescent="0.25">
      <c r="J23" s="426"/>
      <c r="K23" s="120" t="s">
        <v>167</v>
      </c>
      <c r="L23" s="118">
        <v>0.1</v>
      </c>
      <c r="M23" s="118">
        <v>1.1000000000000001</v>
      </c>
      <c r="N23" s="118">
        <v>0.1</v>
      </c>
      <c r="O23" s="118">
        <v>0.2</v>
      </c>
    </row>
    <row r="24" spans="1:15" x14ac:dyDescent="0.25">
      <c r="J24" s="426"/>
      <c r="K24" s="120" t="s">
        <v>168</v>
      </c>
      <c r="L24" s="118">
        <v>0.2</v>
      </c>
      <c r="M24" s="118">
        <v>2.2000000000000002</v>
      </c>
      <c r="N24" s="118">
        <v>0.2</v>
      </c>
      <c r="O24" s="118">
        <v>0.6</v>
      </c>
    </row>
    <row r="25" spans="1:15" x14ac:dyDescent="0.25">
      <c r="J25" s="426"/>
      <c r="K25" s="120" t="s">
        <v>169</v>
      </c>
      <c r="L25" s="118">
        <v>0.3</v>
      </c>
      <c r="M25" s="118">
        <v>5</v>
      </c>
      <c r="N25" s="118">
        <v>0.3</v>
      </c>
      <c r="O25" s="118">
        <v>1</v>
      </c>
    </row>
    <row r="26" spans="1:15" x14ac:dyDescent="0.25">
      <c r="J26" s="426"/>
      <c r="K26" s="120" t="s">
        <v>170</v>
      </c>
      <c r="L26" s="118">
        <v>0.7</v>
      </c>
      <c r="M26" s="118">
        <v>3.1</v>
      </c>
      <c r="N26" s="118">
        <v>0.7</v>
      </c>
      <c r="O26" s="118">
        <v>1</v>
      </c>
    </row>
    <row r="27" spans="1:15" x14ac:dyDescent="0.25">
      <c r="J27" s="426"/>
      <c r="K27" s="120" t="s">
        <v>171</v>
      </c>
      <c r="L27" s="118">
        <v>0.8</v>
      </c>
      <c r="M27" s="118">
        <v>4.8</v>
      </c>
      <c r="N27" s="118">
        <v>0.8</v>
      </c>
      <c r="O27" s="118">
        <v>1.3</v>
      </c>
    </row>
    <row r="28" spans="1:15" x14ac:dyDescent="0.25">
      <c r="J28" s="426"/>
      <c r="K28" s="120" t="s">
        <v>172</v>
      </c>
      <c r="L28" s="118">
        <v>1</v>
      </c>
      <c r="M28" s="118">
        <v>5.5</v>
      </c>
      <c r="N28" s="118">
        <v>1</v>
      </c>
      <c r="O28" s="118">
        <v>1.3</v>
      </c>
    </row>
    <row r="29" spans="1:15" x14ac:dyDescent="0.25">
      <c r="J29" s="426"/>
      <c r="K29" s="120" t="s">
        <v>173</v>
      </c>
      <c r="L29" s="118">
        <v>0.8</v>
      </c>
      <c r="M29" s="118">
        <v>3.8</v>
      </c>
      <c r="N29" s="118">
        <v>0.8</v>
      </c>
      <c r="O29" s="118">
        <v>1.5</v>
      </c>
    </row>
    <row r="30" spans="1:15" x14ac:dyDescent="0.25">
      <c r="J30" s="426"/>
      <c r="K30" s="120" t="s">
        <v>174</v>
      </c>
      <c r="L30" s="118">
        <v>1.1000000000000001</v>
      </c>
      <c r="M30" s="118">
        <v>6.7</v>
      </c>
      <c r="N30" s="118">
        <v>1.1000000000000001</v>
      </c>
      <c r="O30" s="118">
        <v>2.5</v>
      </c>
    </row>
    <row r="31" spans="1:15" x14ac:dyDescent="0.25">
      <c r="J31" s="426"/>
      <c r="K31" s="120" t="s">
        <v>175</v>
      </c>
      <c r="L31" s="118">
        <v>0.5</v>
      </c>
      <c r="M31" s="118">
        <v>2.7</v>
      </c>
      <c r="N31" s="118">
        <v>0.5</v>
      </c>
      <c r="O31" s="118">
        <v>1</v>
      </c>
    </row>
    <row r="32" spans="1:15" x14ac:dyDescent="0.25">
      <c r="J32" s="426"/>
      <c r="K32" s="120" t="s">
        <v>176</v>
      </c>
      <c r="L32" s="118">
        <v>0.6</v>
      </c>
      <c r="M32" s="118">
        <v>2.1</v>
      </c>
      <c r="N32" s="118">
        <v>0.6</v>
      </c>
      <c r="O32" s="118">
        <v>1.1000000000000001</v>
      </c>
    </row>
    <row r="33" spans="1:15" x14ac:dyDescent="0.25">
      <c r="J33" s="426"/>
      <c r="K33" s="120" t="s">
        <v>177</v>
      </c>
      <c r="L33" s="118">
        <v>0.6</v>
      </c>
      <c r="M33" s="118">
        <v>3</v>
      </c>
      <c r="N33" s="118">
        <v>0.6</v>
      </c>
      <c r="O33" s="118">
        <v>0.9</v>
      </c>
    </row>
    <row r="34" spans="1:15" x14ac:dyDescent="0.25">
      <c r="J34" s="426"/>
      <c r="K34" s="116" t="s">
        <v>267</v>
      </c>
      <c r="L34" s="116">
        <f>AVERAGE(L22:L33)</f>
        <v>0.56666666666666654</v>
      </c>
      <c r="M34" s="116">
        <f>MAX(M22:M33)</f>
        <v>6.7</v>
      </c>
      <c r="N34" s="116">
        <f>AVERAGE(N22:N33)</f>
        <v>0.56666666666666654</v>
      </c>
      <c r="O34" s="116">
        <f>MAX(O22:O33)</f>
        <v>2.5</v>
      </c>
    </row>
    <row r="36" spans="1:15" ht="41.4" x14ac:dyDescent="0.25">
      <c r="J36" s="115">
        <f>+A6</f>
        <v>2022</v>
      </c>
      <c r="K36" s="115" t="s">
        <v>265</v>
      </c>
      <c r="L36" s="121" t="s">
        <v>161</v>
      </c>
      <c r="M36" s="121" t="s">
        <v>162</v>
      </c>
      <c r="N36" s="121" t="s">
        <v>164</v>
      </c>
      <c r="O36" s="121" t="s">
        <v>165</v>
      </c>
    </row>
    <row r="37" spans="1:15" x14ac:dyDescent="0.25">
      <c r="J37" s="426" t="s">
        <v>114</v>
      </c>
      <c r="K37" s="120" t="s">
        <v>166</v>
      </c>
      <c r="L37" s="118"/>
      <c r="M37" s="118"/>
      <c r="N37" s="118"/>
      <c r="O37" s="118"/>
    </row>
    <row r="38" spans="1:15" x14ac:dyDescent="0.25">
      <c r="J38" s="426"/>
      <c r="K38" s="120" t="s">
        <v>167</v>
      </c>
      <c r="L38" s="118"/>
      <c r="M38" s="118"/>
      <c r="N38" s="118"/>
      <c r="O38" s="118"/>
    </row>
    <row r="39" spans="1:15" x14ac:dyDescent="0.25">
      <c r="J39" s="426"/>
      <c r="K39" s="120" t="s">
        <v>168</v>
      </c>
      <c r="L39" s="118"/>
      <c r="M39" s="118"/>
      <c r="N39" s="118"/>
      <c r="O39" s="118"/>
    </row>
    <row r="40" spans="1:15" x14ac:dyDescent="0.25">
      <c r="J40" s="426"/>
      <c r="K40" s="120" t="s">
        <v>169</v>
      </c>
      <c r="L40" s="118"/>
      <c r="M40" s="118"/>
      <c r="N40" s="118"/>
      <c r="O40" s="118"/>
    </row>
    <row r="41" spans="1:15" x14ac:dyDescent="0.25">
      <c r="J41" s="426"/>
      <c r="K41" s="120" t="s">
        <v>170</v>
      </c>
      <c r="L41" s="118"/>
      <c r="M41" s="118"/>
      <c r="N41" s="118"/>
      <c r="O41" s="118"/>
    </row>
    <row r="42" spans="1:15" x14ac:dyDescent="0.25">
      <c r="J42" s="426"/>
      <c r="K42" s="120" t="s">
        <v>171</v>
      </c>
      <c r="L42" s="118"/>
      <c r="M42" s="118"/>
      <c r="N42" s="118"/>
      <c r="O42" s="118"/>
    </row>
    <row r="43" spans="1:15" x14ac:dyDescent="0.25">
      <c r="J43" s="426"/>
      <c r="K43" s="120" t="s">
        <v>172</v>
      </c>
      <c r="L43" s="118"/>
      <c r="M43" s="118"/>
      <c r="N43" s="118"/>
      <c r="O43" s="118"/>
    </row>
    <row r="44" spans="1:15" x14ac:dyDescent="0.25">
      <c r="J44" s="426"/>
      <c r="K44" s="120" t="s">
        <v>173</v>
      </c>
      <c r="L44" s="118"/>
      <c r="M44" s="118"/>
      <c r="N44" s="118"/>
      <c r="O44" s="118"/>
    </row>
    <row r="45" spans="1:15" x14ac:dyDescent="0.25">
      <c r="J45" s="426"/>
      <c r="K45" s="120" t="s">
        <v>174</v>
      </c>
      <c r="L45" s="118"/>
      <c r="M45" s="118"/>
      <c r="N45" s="118"/>
      <c r="O45" s="118"/>
    </row>
    <row r="46" spans="1:15" x14ac:dyDescent="0.25">
      <c r="J46" s="426"/>
      <c r="K46" s="120" t="s">
        <v>175</v>
      </c>
      <c r="L46" s="118"/>
      <c r="M46" s="118"/>
      <c r="N46" s="118"/>
      <c r="O46" s="118"/>
    </row>
    <row r="47" spans="1:15" x14ac:dyDescent="0.25">
      <c r="J47" s="426"/>
      <c r="K47" s="120" t="s">
        <v>176</v>
      </c>
      <c r="L47" s="118"/>
      <c r="M47" s="118"/>
      <c r="N47" s="118"/>
      <c r="O47" s="118"/>
    </row>
    <row r="48" spans="1:15" x14ac:dyDescent="0.25">
      <c r="A48" s="438" t="s">
        <v>208</v>
      </c>
      <c r="B48" s="439"/>
      <c r="C48" s="439"/>
      <c r="D48" s="439"/>
      <c r="E48" s="439"/>
      <c r="F48" s="439"/>
      <c r="G48" s="440"/>
      <c r="J48" s="426"/>
      <c r="K48" s="120" t="s">
        <v>177</v>
      </c>
      <c r="L48" s="118"/>
      <c r="M48" s="118"/>
      <c r="N48" s="118"/>
      <c r="O48" s="118"/>
    </row>
    <row r="49" spans="1:15" x14ac:dyDescent="0.25">
      <c r="A49" s="429" t="s">
        <v>328</v>
      </c>
      <c r="B49" s="430"/>
      <c r="C49" s="430"/>
      <c r="D49" s="430"/>
      <c r="E49" s="430"/>
      <c r="F49" s="430"/>
      <c r="G49" s="431"/>
      <c r="J49" s="426"/>
      <c r="K49" s="116" t="s">
        <v>267</v>
      </c>
      <c r="L49" s="116" t="e">
        <f>AVERAGE(L37:L48)</f>
        <v>#DIV/0!</v>
      </c>
      <c r="M49" s="116">
        <f>MAX(M37:M48)</f>
        <v>0</v>
      </c>
      <c r="N49" s="116" t="e">
        <f>AVERAGE(N37:N48)</f>
        <v>#DIV/0!</v>
      </c>
      <c r="O49" s="116">
        <f>MAX(O37:O48)</f>
        <v>0</v>
      </c>
    </row>
    <row r="50" spans="1:15" x14ac:dyDescent="0.25">
      <c r="A50" s="432"/>
      <c r="B50" s="433"/>
      <c r="C50" s="433"/>
      <c r="D50" s="433"/>
      <c r="E50" s="433"/>
      <c r="F50" s="433"/>
      <c r="G50" s="434"/>
    </row>
    <row r="51" spans="1:15" ht="41.4" x14ac:dyDescent="0.25">
      <c r="A51" s="432"/>
      <c r="B51" s="433"/>
      <c r="C51" s="433"/>
      <c r="D51" s="433"/>
      <c r="E51" s="433"/>
      <c r="F51" s="433"/>
      <c r="G51" s="434"/>
      <c r="J51" s="115">
        <f>+A6</f>
        <v>2022</v>
      </c>
      <c r="K51" s="115" t="s">
        <v>265</v>
      </c>
      <c r="L51" s="121" t="s">
        <v>161</v>
      </c>
      <c r="M51" s="121" t="s">
        <v>162</v>
      </c>
      <c r="N51" s="121" t="s">
        <v>164</v>
      </c>
      <c r="O51" s="121" t="s">
        <v>165</v>
      </c>
    </row>
    <row r="52" spans="1:15" x14ac:dyDescent="0.25">
      <c r="A52" s="435"/>
      <c r="B52" s="436"/>
      <c r="C52" s="436"/>
      <c r="D52" s="436"/>
      <c r="E52" s="436"/>
      <c r="F52" s="436"/>
      <c r="G52" s="437"/>
      <c r="J52" s="426" t="s">
        <v>115</v>
      </c>
      <c r="K52" s="120" t="s">
        <v>166</v>
      </c>
      <c r="L52" s="118"/>
      <c r="M52" s="118"/>
      <c r="N52" s="118"/>
      <c r="O52" s="118"/>
    </row>
    <row r="53" spans="1:15" x14ac:dyDescent="0.25">
      <c r="J53" s="426"/>
      <c r="K53" s="120" t="s">
        <v>167</v>
      </c>
      <c r="L53" s="118"/>
      <c r="M53" s="118"/>
      <c r="N53" s="118"/>
      <c r="O53" s="118"/>
    </row>
    <row r="54" spans="1:15" x14ac:dyDescent="0.25">
      <c r="C54" s="197">
        <v>44981</v>
      </c>
      <c r="J54" s="426"/>
      <c r="K54" s="120" t="s">
        <v>168</v>
      </c>
      <c r="L54" s="118"/>
      <c r="M54" s="118"/>
      <c r="N54" s="118"/>
      <c r="O54" s="118"/>
    </row>
    <row r="55" spans="1:15" x14ac:dyDescent="0.25">
      <c r="J55" s="426"/>
      <c r="K55" s="120" t="s">
        <v>169</v>
      </c>
      <c r="L55" s="118"/>
      <c r="M55" s="118"/>
      <c r="N55" s="118"/>
      <c r="O55" s="118"/>
    </row>
    <row r="56" spans="1:15" x14ac:dyDescent="0.25">
      <c r="J56" s="426"/>
      <c r="K56" s="120" t="s">
        <v>170</v>
      </c>
      <c r="L56" s="118"/>
      <c r="M56" s="118"/>
      <c r="N56" s="118"/>
      <c r="O56" s="118"/>
    </row>
    <row r="57" spans="1:15" x14ac:dyDescent="0.25">
      <c r="J57" s="426"/>
      <c r="K57" s="120" t="s">
        <v>171</v>
      </c>
      <c r="L57" s="118"/>
      <c r="M57" s="118"/>
      <c r="N57" s="118"/>
      <c r="O57" s="118"/>
    </row>
    <row r="58" spans="1:15" x14ac:dyDescent="0.25">
      <c r="J58" s="426"/>
      <c r="K58" s="120" t="s">
        <v>172</v>
      </c>
      <c r="L58" s="118"/>
      <c r="M58" s="118"/>
      <c r="N58" s="118"/>
      <c r="O58" s="118"/>
    </row>
    <row r="59" spans="1:15" x14ac:dyDescent="0.25">
      <c r="J59" s="426"/>
      <c r="K59" s="120" t="s">
        <v>173</v>
      </c>
      <c r="L59" s="118"/>
      <c r="M59" s="118"/>
      <c r="N59" s="118"/>
      <c r="O59" s="118"/>
    </row>
    <row r="60" spans="1:15" x14ac:dyDescent="0.25">
      <c r="J60" s="426"/>
      <c r="K60" s="120" t="s">
        <v>174</v>
      </c>
      <c r="L60" s="118"/>
      <c r="M60" s="118"/>
      <c r="N60" s="118"/>
      <c r="O60" s="118"/>
    </row>
    <row r="61" spans="1:15" x14ac:dyDescent="0.25">
      <c r="J61" s="426"/>
      <c r="K61" s="120" t="s">
        <v>175</v>
      </c>
      <c r="L61" s="118"/>
      <c r="M61" s="118"/>
      <c r="N61" s="118"/>
      <c r="O61" s="118"/>
    </row>
    <row r="62" spans="1:15" x14ac:dyDescent="0.25">
      <c r="J62" s="426"/>
      <c r="K62" s="120" t="s">
        <v>176</v>
      </c>
      <c r="L62" s="118"/>
      <c r="M62" s="118"/>
      <c r="N62" s="118"/>
      <c r="O62" s="118"/>
    </row>
    <row r="63" spans="1:15" x14ac:dyDescent="0.25">
      <c r="J63" s="426"/>
      <c r="K63" s="120" t="s">
        <v>177</v>
      </c>
      <c r="L63" s="118"/>
      <c r="M63" s="118"/>
      <c r="N63" s="118"/>
      <c r="O63" s="118"/>
    </row>
    <row r="64" spans="1:15" x14ac:dyDescent="0.25">
      <c r="J64" s="426"/>
      <c r="K64" s="116" t="s">
        <v>267</v>
      </c>
      <c r="L64" s="116" t="e">
        <f>AVERAGE(L52:L63)</f>
        <v>#DIV/0!</v>
      </c>
      <c r="M64" s="116">
        <f>MAX(M52:M63)</f>
        <v>0</v>
      </c>
      <c r="N64" s="116" t="e">
        <f>AVERAGE(N52:N63)</f>
        <v>#DIV/0!</v>
      </c>
      <c r="O64" s="116">
        <f>MAX(O52:O63)</f>
        <v>0</v>
      </c>
    </row>
    <row r="66" spans="10:15" ht="41.4" x14ac:dyDescent="0.25">
      <c r="J66" s="115">
        <f>+A6</f>
        <v>2022</v>
      </c>
      <c r="K66" s="115" t="s">
        <v>265</v>
      </c>
      <c r="L66" s="121" t="s">
        <v>161</v>
      </c>
      <c r="M66" s="121" t="s">
        <v>162</v>
      </c>
      <c r="N66" s="121" t="s">
        <v>164</v>
      </c>
      <c r="O66" s="121" t="s">
        <v>165</v>
      </c>
    </row>
    <row r="67" spans="10:15" x14ac:dyDescent="0.25">
      <c r="J67" s="426" t="s">
        <v>116</v>
      </c>
      <c r="K67" s="120" t="s">
        <v>166</v>
      </c>
      <c r="L67" s="118"/>
      <c r="M67" s="118"/>
      <c r="N67" s="118"/>
      <c r="O67" s="118"/>
    </row>
    <row r="68" spans="10:15" x14ac:dyDescent="0.25">
      <c r="J68" s="426"/>
      <c r="K68" s="120" t="s">
        <v>167</v>
      </c>
      <c r="L68" s="118"/>
      <c r="M68" s="118"/>
      <c r="N68" s="118"/>
      <c r="O68" s="118"/>
    </row>
    <row r="69" spans="10:15" x14ac:dyDescent="0.25">
      <c r="J69" s="426"/>
      <c r="K69" s="120" t="s">
        <v>168</v>
      </c>
      <c r="L69" s="118"/>
      <c r="M69" s="118"/>
      <c r="N69" s="118"/>
      <c r="O69" s="118"/>
    </row>
    <row r="70" spans="10:15" x14ac:dyDescent="0.25">
      <c r="J70" s="426"/>
      <c r="K70" s="120" t="s">
        <v>169</v>
      </c>
      <c r="L70" s="118"/>
      <c r="M70" s="118"/>
      <c r="N70" s="118"/>
      <c r="O70" s="118"/>
    </row>
    <row r="71" spans="10:15" x14ac:dyDescent="0.25">
      <c r="J71" s="426"/>
      <c r="K71" s="120" t="s">
        <v>170</v>
      </c>
      <c r="L71" s="118"/>
      <c r="M71" s="118"/>
      <c r="N71" s="118"/>
      <c r="O71" s="118"/>
    </row>
    <row r="72" spans="10:15" x14ac:dyDescent="0.25">
      <c r="J72" s="426"/>
      <c r="K72" s="120" t="s">
        <v>171</v>
      </c>
      <c r="L72" s="118"/>
      <c r="M72" s="118"/>
      <c r="N72" s="118"/>
      <c r="O72" s="118"/>
    </row>
    <row r="73" spans="10:15" x14ac:dyDescent="0.25">
      <c r="J73" s="426"/>
      <c r="K73" s="120" t="s">
        <v>172</v>
      </c>
      <c r="L73" s="118"/>
      <c r="M73" s="118"/>
      <c r="N73" s="118"/>
      <c r="O73" s="118"/>
    </row>
    <row r="74" spans="10:15" x14ac:dyDescent="0.25">
      <c r="J74" s="426"/>
      <c r="K74" s="120" t="s">
        <v>173</v>
      </c>
      <c r="L74" s="118"/>
      <c r="M74" s="118"/>
      <c r="N74" s="118"/>
      <c r="O74" s="118"/>
    </row>
    <row r="75" spans="10:15" x14ac:dyDescent="0.25">
      <c r="J75" s="426"/>
      <c r="K75" s="120" t="s">
        <v>174</v>
      </c>
      <c r="L75" s="118"/>
      <c r="M75" s="118"/>
      <c r="N75" s="118"/>
      <c r="O75" s="118"/>
    </row>
    <row r="76" spans="10:15" x14ac:dyDescent="0.25">
      <c r="J76" s="426"/>
      <c r="K76" s="120" t="s">
        <v>175</v>
      </c>
      <c r="L76" s="118"/>
      <c r="M76" s="118"/>
      <c r="N76" s="118"/>
      <c r="O76" s="118"/>
    </row>
    <row r="77" spans="10:15" x14ac:dyDescent="0.25">
      <c r="J77" s="426"/>
      <c r="K77" s="120" t="s">
        <v>176</v>
      </c>
      <c r="L77" s="118"/>
      <c r="M77" s="118"/>
      <c r="N77" s="118"/>
      <c r="O77" s="118"/>
    </row>
    <row r="78" spans="10:15" x14ac:dyDescent="0.25">
      <c r="J78" s="426"/>
      <c r="K78" s="120" t="s">
        <v>177</v>
      </c>
      <c r="L78" s="118"/>
      <c r="M78" s="118"/>
      <c r="N78" s="118"/>
      <c r="O78" s="118"/>
    </row>
    <row r="79" spans="10:15" x14ac:dyDescent="0.25">
      <c r="J79" s="426"/>
      <c r="K79" s="116" t="s">
        <v>267</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03A65312-EDD8-4ED5-85CD-21EC9D2BFEF5}">
  <ds:schemaRefs>
    <ds:schemaRef ds:uri="http://schemas.microsoft.com/office/2006/documentManagement/types"/>
    <ds:schemaRef ds:uri="http://purl.org/dc/dcmitype/"/>
    <ds:schemaRef ds:uri="http://schemas.openxmlformats.org/package/2006/metadata/core-properties"/>
    <ds:schemaRef ds:uri="http://purl.org/dc/elements/1.1/"/>
    <ds:schemaRef ds:uri="http://schemas.microsoft.com/office/2006/metadata/properties"/>
    <ds:schemaRef ds:uri="5bc48a42-299e-482e-945f-62a6c216080a"/>
    <ds:schemaRef ds:uri="http://purl.org/dc/terms/"/>
    <ds:schemaRef ds:uri="http://schemas.microsoft.com/office/infopath/2007/PartnerControls"/>
    <ds:schemaRef ds:uri="89964f98-a99c-466e-a47a-774cd808085b"/>
    <ds:schemaRef ds:uri="http://www.w3.org/XML/1998/namespace"/>
    <ds:schemaRef ds:uri="662745e8-e224-48e8-a2e3-254862b8c2f5"/>
    <ds:schemaRef ds:uri="http://schemas.microsoft.com/sharepoint/v3"/>
  </ds:schemaRefs>
</ds:datastoreItem>
</file>

<file path=customXml/itemProps2.xml><?xml version="1.0" encoding="utf-8"?>
<ds:datastoreItem xmlns:ds="http://schemas.openxmlformats.org/officeDocument/2006/customXml" ds:itemID="{37EB3F24-6B4B-4BDD-8951-5C3E1E00A1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4705CF9B-4266-46CD-BA77-142321A71049}">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95% 10 min</vt:lpstr>
      <vt:lpstr>NH3</vt:lpstr>
      <vt:lpstr>'Air (CEMS)'!Print_Area</vt:lpstr>
      <vt:lpstr>'Air (periodic)'!Print_Area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Freeman, Ben</cp:lastModifiedBy>
  <cp:lastPrinted>2023-01-31T17:08:06Z</cp:lastPrinted>
  <dcterms:created xsi:type="dcterms:W3CDTF">2019-04-02T06:44:55Z</dcterms:created>
  <dcterms:modified xsi:type="dcterms:W3CDTF">2023-03-22T17:30:34Z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y fmtid="{D5CDD505-2E9C-101B-9397-08002B2CF9AE}" pid="9" name="InformationType">
    <vt:lpwstr/>
  </property>
</Properties>
</file>