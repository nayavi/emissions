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30"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Herts &amp; North London/"/>
    </mc:Choice>
  </mc:AlternateContent>
  <xr:revisionPtr revIDLastSave="0" documentId="8_{B1FFA9F1-4302-4D79-BCF0-AEA0B28CE394}" xr6:coauthVersionLast="47" xr6:coauthVersionMax="47" xr10:uidLastSave="{00000000-0000-0000-0000-000000000000}"/>
  <bookViews>
    <workbookView xWindow="-108" yWindow="-108" windowWidth="23256" windowHeight="12576" tabRatio="765"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0"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 name="NH3" sheetId="31" r:id="rId22"/>
  </sheets>
  <definedNames>
    <definedName name="_xlnm.Print_Area" localSheetId="14">'Air (CEMS)'!$A$1:$M$31</definedName>
    <definedName name="_xlnm.Print_Area" localSheetId="13">'Air (periodic)'!$A$1:$J$41</definedName>
    <definedName name="_xlnm.Print_Area" localSheetId="20">'CO 95% 10 min'!$A$1:$H$52</definedName>
    <definedName name="_xlnm.Print_Area" localSheetId="10">'CO2 N20'!$A$1:$C$24</definedName>
    <definedName name="_xlnm.Print_Area" localSheetId="1">Contents!$A$1:$J$48</definedName>
    <definedName name="_xlnm.Print_Area" localSheetId="0">'Cover Page'!$A$1:$J$56</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1">'NH3'!$A$1:$G$52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Compliance'!$A$1:$J$36</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32" l="1"/>
  <c r="G13" i="8"/>
  <c r="E35" i="7" l="1"/>
  <c r="E34" i="7"/>
  <c r="E33" i="7"/>
  <c r="F19" i="6"/>
  <c r="E19" i="6"/>
  <c r="D19" i="6"/>
  <c r="C19" i="6"/>
  <c r="B14" i="32"/>
  <c r="D13" i="8"/>
  <c r="G3" i="7"/>
  <c r="F3" i="8"/>
  <c r="H58" i="6"/>
  <c r="H53" i="6"/>
  <c r="G53" i="6"/>
  <c r="G54" i="6"/>
  <c r="G57" i="6"/>
  <c r="G58" i="6"/>
  <c r="E27" i="24"/>
  <c r="D27" i="24"/>
  <c r="N19" i="30"/>
  <c r="E26" i="24" s="1"/>
  <c r="D26" i="24"/>
  <c r="E24" i="24"/>
  <c r="D24" i="24"/>
  <c r="D23" i="24"/>
  <c r="E22" i="24"/>
  <c r="D22" i="24"/>
  <c r="E21" i="24"/>
  <c r="D21" i="24"/>
  <c r="E20" i="24"/>
  <c r="D20" i="24"/>
  <c r="E19" i="24"/>
  <c r="D19" i="24"/>
  <c r="E18" i="24"/>
  <c r="D18" i="24"/>
  <c r="E17" i="24"/>
  <c r="D17" i="24"/>
  <c r="E16" i="24"/>
  <c r="D16" i="24"/>
  <c r="E15" i="24"/>
  <c r="D15" i="24"/>
  <c r="D14" i="24"/>
  <c r="E14" i="24"/>
  <c r="F8" i="31"/>
  <c r="G8" i="31"/>
  <c r="F9" i="31"/>
  <c r="G9" i="31"/>
  <c r="F10" i="31"/>
  <c r="G10" i="31"/>
  <c r="F11" i="31"/>
  <c r="G11" i="31"/>
  <c r="F12" i="31"/>
  <c r="G12" i="31"/>
  <c r="F13" i="31"/>
  <c r="G13" i="31"/>
  <c r="F14" i="31"/>
  <c r="G14" i="31"/>
  <c r="F15" i="31"/>
  <c r="G15" i="31"/>
  <c r="F16" i="31"/>
  <c r="G16" i="31"/>
  <c r="F17" i="31"/>
  <c r="G17" i="31"/>
  <c r="F18" i="31"/>
  <c r="G18" i="31"/>
  <c r="C8" i="31"/>
  <c r="D8" i="31"/>
  <c r="C9" i="31"/>
  <c r="D9" i="31"/>
  <c r="C10" i="31"/>
  <c r="D10" i="31"/>
  <c r="C11" i="31"/>
  <c r="D11" i="31"/>
  <c r="C12" i="31"/>
  <c r="D12" i="31"/>
  <c r="C13" i="31"/>
  <c r="D13" i="31"/>
  <c r="C14" i="31"/>
  <c r="D14" i="31"/>
  <c r="C15" i="31"/>
  <c r="D15" i="31"/>
  <c r="C16" i="31"/>
  <c r="D16" i="31"/>
  <c r="C17" i="31"/>
  <c r="D17" i="31"/>
  <c r="C18" i="31"/>
  <c r="D18" i="31"/>
  <c r="G7" i="31"/>
  <c r="F7" i="31"/>
  <c r="D7" i="31"/>
  <c r="C7" i="31"/>
  <c r="F8" i="28"/>
  <c r="G8" i="28"/>
  <c r="F9" i="28"/>
  <c r="G9" i="28"/>
  <c r="F10" i="28"/>
  <c r="G10" i="28"/>
  <c r="F11" i="28"/>
  <c r="G11" i="28"/>
  <c r="F12" i="28"/>
  <c r="G12" i="28"/>
  <c r="F13" i="28"/>
  <c r="G13" i="28"/>
  <c r="F14" i="28"/>
  <c r="G14" i="28"/>
  <c r="F15" i="28"/>
  <c r="G15" i="28"/>
  <c r="F16" i="28"/>
  <c r="G16" i="28"/>
  <c r="F17" i="28"/>
  <c r="G17" i="28"/>
  <c r="F18" i="28"/>
  <c r="G18" i="28"/>
  <c r="C8" i="28"/>
  <c r="D8" i="28"/>
  <c r="C9" i="28"/>
  <c r="D9" i="28"/>
  <c r="C10" i="28"/>
  <c r="D10" i="28"/>
  <c r="C11" i="28"/>
  <c r="D11" i="28"/>
  <c r="C12" i="28"/>
  <c r="D12" i="28"/>
  <c r="C13" i="28"/>
  <c r="D13" i="28"/>
  <c r="C14" i="28"/>
  <c r="D14" i="28"/>
  <c r="C15" i="28"/>
  <c r="D15" i="28"/>
  <c r="C16" i="28"/>
  <c r="D16" i="28"/>
  <c r="C17" i="28"/>
  <c r="D17" i="28"/>
  <c r="C18" i="28"/>
  <c r="D18" i="28"/>
  <c r="G7" i="28"/>
  <c r="F7" i="28"/>
  <c r="D7" i="28"/>
  <c r="C7" i="28"/>
  <c r="F8" i="27"/>
  <c r="G8" i="27"/>
  <c r="F9" i="27"/>
  <c r="G9" i="27"/>
  <c r="F10" i="27"/>
  <c r="G10" i="27"/>
  <c r="F11" i="27"/>
  <c r="G11" i="27"/>
  <c r="F12" i="27"/>
  <c r="G12" i="27"/>
  <c r="F13" i="27"/>
  <c r="G13" i="27"/>
  <c r="F14" i="27"/>
  <c r="G14" i="27"/>
  <c r="F15" i="27"/>
  <c r="G15" i="27"/>
  <c r="F16" i="27"/>
  <c r="G16" i="27"/>
  <c r="F17" i="27"/>
  <c r="G17" i="27"/>
  <c r="F18" i="27"/>
  <c r="G18" i="27"/>
  <c r="C8" i="27"/>
  <c r="D8" i="27"/>
  <c r="C9" i="27"/>
  <c r="D9" i="27"/>
  <c r="C10" i="27"/>
  <c r="D10" i="27"/>
  <c r="C11" i="27"/>
  <c r="D11" i="27"/>
  <c r="C12" i="27"/>
  <c r="D12" i="27"/>
  <c r="C13" i="27"/>
  <c r="D13" i="27"/>
  <c r="C14" i="27"/>
  <c r="D14" i="27"/>
  <c r="C15" i="27"/>
  <c r="D15" i="27"/>
  <c r="C16" i="27"/>
  <c r="D16" i="27"/>
  <c r="C17" i="27"/>
  <c r="D17" i="27"/>
  <c r="C18" i="27"/>
  <c r="D18" i="27"/>
  <c r="G7" i="27"/>
  <c r="F7" i="27"/>
  <c r="D7" i="27"/>
  <c r="C7" i="27"/>
  <c r="F8" i="26"/>
  <c r="G8" i="26"/>
  <c r="F9" i="26"/>
  <c r="G9" i="26"/>
  <c r="F10" i="26"/>
  <c r="G10" i="26"/>
  <c r="F11" i="26"/>
  <c r="G11" i="26"/>
  <c r="F12" i="26"/>
  <c r="G12" i="26"/>
  <c r="F13" i="26"/>
  <c r="G13" i="26"/>
  <c r="F14" i="26"/>
  <c r="G14" i="26"/>
  <c r="F15" i="26"/>
  <c r="G15" i="26"/>
  <c r="F16" i="26"/>
  <c r="G16" i="26"/>
  <c r="F17" i="26"/>
  <c r="G17" i="26"/>
  <c r="F18" i="26"/>
  <c r="G18" i="26"/>
  <c r="C8" i="26"/>
  <c r="D8" i="26"/>
  <c r="C9" i="26"/>
  <c r="D9" i="26"/>
  <c r="C10" i="26"/>
  <c r="D10" i="26"/>
  <c r="C11" i="26"/>
  <c r="D11" i="26"/>
  <c r="C12" i="26"/>
  <c r="D12" i="26"/>
  <c r="C13" i="26"/>
  <c r="D13" i="26"/>
  <c r="C14" i="26"/>
  <c r="D14" i="26"/>
  <c r="C15" i="26"/>
  <c r="D15" i="26"/>
  <c r="C16" i="26"/>
  <c r="D16" i="26"/>
  <c r="C17" i="26"/>
  <c r="D17" i="26"/>
  <c r="C18" i="26"/>
  <c r="D18" i="26"/>
  <c r="G7" i="26"/>
  <c r="F7" i="26"/>
  <c r="D7" i="26"/>
  <c r="C7" i="26"/>
  <c r="F8" i="25"/>
  <c r="G8" i="25"/>
  <c r="F9" i="25"/>
  <c r="G9" i="25"/>
  <c r="F10" i="25"/>
  <c r="G10" i="25"/>
  <c r="F11" i="25"/>
  <c r="G11" i="25"/>
  <c r="F12" i="25"/>
  <c r="G12" i="25"/>
  <c r="F13" i="25"/>
  <c r="G13" i="25"/>
  <c r="F14" i="25"/>
  <c r="G14" i="25"/>
  <c r="F15" i="25"/>
  <c r="G15" i="25"/>
  <c r="F16" i="25"/>
  <c r="G16" i="25"/>
  <c r="F17" i="25"/>
  <c r="G17" i="25"/>
  <c r="F18" i="25"/>
  <c r="G18" i="25"/>
  <c r="C8" i="25"/>
  <c r="D8" i="25"/>
  <c r="C9" i="25"/>
  <c r="D9" i="25"/>
  <c r="C10" i="25"/>
  <c r="D10" i="25"/>
  <c r="C11" i="25"/>
  <c r="D11" i="25"/>
  <c r="C12" i="25"/>
  <c r="D12" i="25"/>
  <c r="C13" i="25"/>
  <c r="D13" i="25"/>
  <c r="C14" i="25"/>
  <c r="D14" i="25"/>
  <c r="C15" i="25"/>
  <c r="D15" i="25"/>
  <c r="C16" i="25"/>
  <c r="D16" i="25"/>
  <c r="C17" i="25"/>
  <c r="D17" i="25"/>
  <c r="C18" i="25"/>
  <c r="D18" i="25"/>
  <c r="G7" i="25"/>
  <c r="F7" i="25"/>
  <c r="D7" i="25"/>
  <c r="C7" i="25"/>
  <c r="F8" i="13"/>
  <c r="G8" i="13"/>
  <c r="F9" i="13"/>
  <c r="G9" i="13"/>
  <c r="F10" i="13"/>
  <c r="G10" i="13"/>
  <c r="F11" i="13"/>
  <c r="G11" i="13"/>
  <c r="F12" i="13"/>
  <c r="G12" i="13"/>
  <c r="F13" i="13"/>
  <c r="G13" i="13"/>
  <c r="F14" i="13"/>
  <c r="G14" i="13"/>
  <c r="F15" i="13"/>
  <c r="G15" i="13"/>
  <c r="F16" i="13"/>
  <c r="G16" i="13"/>
  <c r="F17" i="13"/>
  <c r="G17" i="13"/>
  <c r="F18" i="13"/>
  <c r="G18" i="13"/>
  <c r="C8" i="13"/>
  <c r="D8" i="13"/>
  <c r="C9" i="13"/>
  <c r="D9" i="13"/>
  <c r="C10" i="13"/>
  <c r="D10" i="13"/>
  <c r="C11" i="13"/>
  <c r="D11" i="13"/>
  <c r="C12" i="13"/>
  <c r="D12" i="13"/>
  <c r="C13" i="13"/>
  <c r="D13" i="13"/>
  <c r="C14" i="13"/>
  <c r="D14" i="13"/>
  <c r="C15" i="13"/>
  <c r="D15" i="13"/>
  <c r="C16" i="13"/>
  <c r="D16" i="13"/>
  <c r="C17" i="13"/>
  <c r="D17" i="13"/>
  <c r="C18" i="13"/>
  <c r="D18" i="13"/>
  <c r="G7" i="13"/>
  <c r="F7" i="13"/>
  <c r="D7" i="13"/>
  <c r="C7" i="13"/>
  <c r="G8" i="30"/>
  <c r="H8" i="30"/>
  <c r="G9" i="30"/>
  <c r="H9" i="30"/>
  <c r="G10" i="30"/>
  <c r="H10" i="30"/>
  <c r="G11" i="30"/>
  <c r="H11" i="30"/>
  <c r="G12" i="30"/>
  <c r="H12" i="30"/>
  <c r="G13" i="30"/>
  <c r="H13" i="30"/>
  <c r="G14" i="30"/>
  <c r="H14" i="30"/>
  <c r="G15" i="30"/>
  <c r="H15" i="30"/>
  <c r="G16" i="30"/>
  <c r="H16" i="30"/>
  <c r="G17" i="30"/>
  <c r="H17" i="30"/>
  <c r="G18" i="30"/>
  <c r="H18" i="30"/>
  <c r="C8" i="30"/>
  <c r="D8" i="30"/>
  <c r="E8" i="30"/>
  <c r="C9" i="30"/>
  <c r="D9" i="30"/>
  <c r="E9" i="30"/>
  <c r="C10" i="30"/>
  <c r="D10" i="30"/>
  <c r="E10" i="30"/>
  <c r="C11" i="30"/>
  <c r="D11" i="30"/>
  <c r="E11" i="30"/>
  <c r="C12" i="30"/>
  <c r="D12" i="30"/>
  <c r="E12" i="30"/>
  <c r="C13" i="30"/>
  <c r="D13" i="30"/>
  <c r="E13" i="30"/>
  <c r="C14" i="30"/>
  <c r="D14" i="30"/>
  <c r="E14" i="30"/>
  <c r="C15" i="30"/>
  <c r="D15" i="30"/>
  <c r="E15" i="30"/>
  <c r="C16" i="30"/>
  <c r="D16" i="30"/>
  <c r="E16" i="30"/>
  <c r="C17" i="30"/>
  <c r="D17" i="30"/>
  <c r="E17" i="30"/>
  <c r="C18" i="30"/>
  <c r="D18" i="30"/>
  <c r="E18" i="30"/>
  <c r="H7" i="30"/>
  <c r="G7" i="30"/>
  <c r="E7" i="30"/>
  <c r="D7" i="30"/>
  <c r="C7" i="30"/>
  <c r="C1" i="32"/>
  <c r="A1" i="32"/>
  <c r="I19" i="7" l="1"/>
  <c r="I20" i="7"/>
  <c r="I21" i="7"/>
  <c r="I22" i="7"/>
  <c r="I18" i="7"/>
  <c r="I12" i="7"/>
  <c r="I13" i="7"/>
  <c r="I14" i="7"/>
  <c r="I11" i="7"/>
  <c r="C18" i="6" l="1"/>
  <c r="C21" i="6" s="1"/>
  <c r="H61" i="6" l="1"/>
  <c r="G13" i="6" l="1"/>
  <c r="H13" i="6" s="1"/>
  <c r="G45" i="6"/>
  <c r="J3" i="31" l="1"/>
  <c r="J3" i="30"/>
  <c r="J3" i="28"/>
  <c r="J3" i="27"/>
  <c r="J3" i="26"/>
  <c r="J3" i="25"/>
  <c r="J3" i="13"/>
  <c r="G19" i="6" l="1"/>
  <c r="G59" i="6" l="1"/>
  <c r="H59" i="6" s="1"/>
  <c r="G65" i="6"/>
  <c r="G64" i="6"/>
  <c r="H64" i="6" s="1"/>
  <c r="G63" i="6"/>
  <c r="G61" i="6"/>
  <c r="G55" i="6"/>
  <c r="G56" i="6"/>
  <c r="G60" i="6"/>
  <c r="D18" i="6" l="1"/>
  <c r="D21" i="6" s="1"/>
  <c r="E18" i="6"/>
  <c r="E21" i="6" s="1"/>
  <c r="F18" i="6"/>
  <c r="F21" i="6" s="1"/>
  <c r="G21" i="6" l="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H45" i="6" l="1"/>
  <c r="B7" i="32"/>
  <c r="J36" i="27"/>
  <c r="J66" i="31"/>
  <c r="J21" i="28"/>
  <c r="J21" i="27"/>
  <c r="J21" i="26"/>
  <c r="J21" i="25"/>
  <c r="J36" i="13"/>
  <c r="J51" i="13"/>
  <c r="J21" i="13"/>
  <c r="J6" i="13"/>
  <c r="J21" i="31"/>
  <c r="J6" i="31"/>
  <c r="J36" i="31"/>
  <c r="K6" i="30"/>
  <c r="K36" i="30"/>
  <c r="K51" i="30"/>
  <c r="K21" i="30"/>
  <c r="J36" i="28"/>
  <c r="J51" i="28"/>
  <c r="J6" i="28"/>
  <c r="J51" i="27"/>
  <c r="J6" i="27"/>
  <c r="J51" i="26"/>
  <c r="J36" i="26"/>
  <c r="J6" i="26"/>
  <c r="J36" i="25"/>
  <c r="J51" i="25"/>
  <c r="J6" i="25"/>
  <c r="D28" i="6"/>
  <c r="E28" i="6"/>
  <c r="F28" i="6"/>
  <c r="C28" i="6"/>
  <c r="G7" i="8"/>
  <c r="D7" i="8"/>
  <c r="B5" i="8"/>
  <c r="A3" i="8"/>
  <c r="A1" i="8"/>
  <c r="G23" i="7"/>
  <c r="E23" i="7"/>
  <c r="G15" i="7"/>
  <c r="E15" i="7"/>
  <c r="I15" i="7" s="1"/>
  <c r="B4" i="7"/>
  <c r="A3" i="7"/>
  <c r="A1" i="7"/>
  <c r="A8" i="7" s="1"/>
  <c r="H65" i="6"/>
  <c r="H63" i="6"/>
  <c r="B5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G15" i="6"/>
  <c r="G14" i="6"/>
  <c r="G12" i="6"/>
  <c r="H12" i="6" s="1"/>
  <c r="G11" i="6"/>
  <c r="G10" i="6"/>
  <c r="G9" i="6"/>
  <c r="G8" i="6"/>
  <c r="D11" i="8" l="1"/>
  <c r="H27" i="6"/>
  <c r="D14" i="8"/>
  <c r="H30" i="6"/>
  <c r="I23" i="7"/>
  <c r="D12" i="8"/>
  <c r="H25" i="6"/>
  <c r="H33" i="7"/>
  <c r="H35" i="7"/>
  <c r="E37" i="7"/>
  <c r="H37" i="7" s="1"/>
  <c r="E36" i="7"/>
  <c r="H36" i="7" s="1"/>
  <c r="G24" i="7"/>
  <c r="G18" i="6"/>
  <c r="H21" i="6" s="1"/>
  <c r="G28" i="6"/>
  <c r="E24" i="7"/>
  <c r="I24" i="7" s="1"/>
  <c r="H34" i="7"/>
  <c r="D10" i="8"/>
  <c r="G10" i="8"/>
  <c r="A31" i="7"/>
  <c r="A43" i="7" s="1"/>
  <c r="H15" i="6" l="1"/>
  <c r="H20" i="6"/>
  <c r="H8" i="6"/>
  <c r="H19" i="6"/>
  <c r="H10" i="6"/>
  <c r="G11" i="8"/>
  <c r="G12" i="8"/>
  <c r="H14" i="6"/>
  <c r="G14" i="8"/>
  <c r="H11" i="6"/>
  <c r="H9" i="6"/>
</calcChain>
</file>

<file path=xl/sharedStrings.xml><?xml version="1.0" encoding="utf-8"?>
<sst xmlns="http://schemas.openxmlformats.org/spreadsheetml/2006/main" count="1492" uniqueCount="467">
  <si>
    <t>Add company logo</t>
  </si>
  <si>
    <t>Version 22.2</t>
  </si>
  <si>
    <t>Add photo</t>
  </si>
  <si>
    <t>Notes:</t>
  </si>
  <si>
    <t>This template may require adjustments by individual operators to meet specific reporting requirements as defined in the site Permit(s)</t>
  </si>
  <si>
    <t>Annual Performance Report 2022</t>
  </si>
  <si>
    <t>Permit EPR/VP3997NK</t>
  </si>
  <si>
    <t>Charlton Lane Eco Park</t>
  </si>
  <si>
    <t>SUEZ Recycling and Recovery Surrey Ltd</t>
  </si>
  <si>
    <t>Year:</t>
  </si>
  <si>
    <t>Address:</t>
  </si>
  <si>
    <t>Charlton Lane, Shepperton, Surrey, TW17 8QA</t>
  </si>
  <si>
    <t xml:space="preserve">Tel: </t>
  </si>
  <si>
    <t>0800 093 1103</t>
  </si>
  <si>
    <t xml:space="preserve">Email: </t>
  </si>
  <si>
    <t>enquiries.uk@suez.com</t>
  </si>
  <si>
    <t>Prepared by:</t>
  </si>
  <si>
    <t>Richard Watkins</t>
  </si>
  <si>
    <t>Position:</t>
  </si>
  <si>
    <t>EIR Manager</t>
  </si>
  <si>
    <t>Brian Kershaw</t>
  </si>
  <si>
    <t>Technical Plant Engineer</t>
  </si>
  <si>
    <t>Approved by:</t>
  </si>
  <si>
    <t>John Flounders</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</si>
  <si>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</si>
  <si>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</si>
  <si>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</si>
  <si>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</si>
  <si>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</si>
  <si>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</si>
  <si>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</si>
  <si>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</si>
  <si>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</si>
  <si>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</si>
  <si>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</si>
  <si>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</si>
  <si>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</si>
  <si>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</si>
  <si>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</si>
  <si>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</si>
  <si>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</si>
  <si>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</si>
  <si>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Carbon Dioxide Emissions</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</si>
  <si>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</si>
  <si>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</si>
  <si>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</si>
  <si>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</si>
  <si>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</si>
  <si>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</si>
  <si>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</si>
  <si>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</si>
  <si>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</si>
  <si>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</si>
  <si>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</si>
  <si>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</si>
  <si>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</si>
  <si>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Original document</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</si>
  <si>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</si>
  <si>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</si>
  <si>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</si>
  <si>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</si>
  <si>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</si>
  <si>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</si>
  <si>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plant was built to process part of Surrey's residual household waste.
The Gasification plant is design to process 55,000 tpa of MSW into the mechanical pre-treatment. There is one combustion line design to take 47000 tpa of RDF.
The boiler produces 17.5 te per hour of steam at 40 barg.
There is one steam turbine with a generation capacity of 3.9 MW.
Apart the gasification plant, there are other activities on site; including an Anaerobic Digestion plant, a recycling bulking facility and a household waste recycling centre.
Some services such as trade effluent, instrument air and weighbridge are shared across the site.</t>
  </si>
  <si>
    <t xml:space="preserve">Include summary of plant design, design capacity, no. of combustion lines, electrical and heat capacity and any other general information that descibes the facility, its location and purpose </t>
  </si>
  <si>
    <t>Summary of Operational Processes and Procedures</t>
  </si>
  <si>
    <t>Waste is weighed in at the onsite weighbridge and then tipped onto the floor of the recpetion hall.
Waste is loaded into a shredder by mobile plant and then processed through a mechanical treatment plant, to remove metals, hard particles, fines and to reduce particle size. This results in a RDF product.
The RDF is conveyed into a walking floor bunker.
The walking floor bunker feeds RDF into the gasifier via a series of conveyors. The gasifier is a fluidised sand bed where the oxygen levels are controlled to be sub-stoichimetric for combustion. Instead a gasification reaction converts RDF to syngas. The syngas rises through gasifier where additional air is introduced. The temperature is such that the syngas auto combusts. 
The hot flue gases pass through a water tube boiler which produces superheated steam. The steam is used to drive a turbine for electricity production. All electricity not used on site is exported to the grid.
After steam has passed through the turbine it is condensed in an air cooled condenser. The condensate is pumped back to the boiler.
The flue gases are treated to ensure they are with emission limits. Urea solution is used to control NOx levels, lime slurry is sprayed in a scrubber to remove acid gases (HCl and SO2), activated carbon is added to adsorb heavy metals and dioxins. Finally a bag filter removes dust particles prior to gases leaving via a 49m stack.
Flue gases are analysed by a continuous environmental monitoring system. (CEMS).
Bottom ash from the sand bed is collected in skips and stored as a stockpile inside the reception hall. Fly ash from the boiler system and Air Pollution control residues are collected into separate silos. All ashes are taken offsite for disposal.
Odour is controlled by those parts of the building that handle waste having air extracted through ducts and then sent out of the stack via beds of activated carbon.
The process is monitored on a 24/7 basis from the onsite control room.</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</si>
  <si>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</si>
  <si>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</si>
  <si>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</si>
  <si>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</si>
  <si>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</si>
  <si>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</si>
  <si>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</si>
  <si>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</si>
  <si>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</si>
  <si>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</si>
  <si>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</si>
  <si>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</si>
  <si>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</si>
  <si>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</si>
  <si>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</si>
  <si>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</si>
  <si>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</si>
  <si>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</si>
  <si>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</si>
  <si>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</si>
  <si>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</si>
  <si>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</si>
  <si>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</si>
  <si>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</si>
  <si>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</si>
  <si>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</si>
  <si>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</si>
  <si>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Plastic from AD (internal)</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</si>
  <si>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</si>
  <si>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</si>
  <si>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</si>
  <si>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</si>
  <si>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</si>
  <si>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</si>
  <si>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</si>
  <si>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</si>
  <si>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</si>
  <si>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</si>
  <si>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</si>
  <si>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</si>
  <si>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</si>
  <si>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</si>
  <si>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</si>
  <si>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</si>
  <si>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N/A</t>
  </si>
  <si>
    <t>Waste Disposal &amp; Recovery</t>
  </si>
  <si>
    <t>% inputs</t>
  </si>
  <si>
    <t>APC Residues - produced</t>
  </si>
  <si>
    <t>IBA - produced</t>
  </si>
  <si>
    <t>Metals recycling</t>
  </si>
  <si>
    <t>Boiler Ash</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</si>
  <si>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</si>
  <si>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</si>
  <si>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</si>
  <si>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</si>
  <si>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</si>
  <si>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</si>
  <si>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</si>
  <si>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</si>
  <si>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</si>
  <si>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</si>
  <si>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</si>
  <si>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</si>
  <si>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</si>
  <si>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</si>
  <si>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</si>
  <si>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</si>
  <si>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</si>
  <si>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</si>
  <si>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x %</t>
  </si>
  <si>
    <t>Overall Availability, mean avg. of all lines, hrs</t>
  </si>
  <si>
    <t>Hours of turbine operations, hrs</t>
  </si>
  <si>
    <t>n/a</t>
  </si>
  <si>
    <t>Hours of heat / steam export</t>
  </si>
  <si>
    <t>Net Calorific Value of waste</t>
  </si>
  <si>
    <t>MJ/kg</t>
  </si>
  <si>
    <t>-</t>
  </si>
  <si>
    <t>resampled in Q4</t>
  </si>
  <si>
    <t>Abnormal Events</t>
  </si>
  <si>
    <t>qty.</t>
  </si>
  <si>
    <t>Abnormal operation</t>
  </si>
  <si>
    <t>hours</t>
  </si>
  <si>
    <t>Permit Breaches</t>
  </si>
  <si>
    <t>Summary of Plant Operations and Maintenance during the reporting year</t>
  </si>
  <si>
    <t>Planned maintenance outages were undertaken between 8 - 29th March and 24th June - 9th August. 
During the March outage an additional Shock Pulse Generator was installed in the gasifier
During the summer outage the RDF plug screw feeder was replaced due to wear.
The RDF walking floor bunker, was emptied and inspected. Minor repairs were made
There was also a significant outage in December due to mechancial failure of 2 RDF feed conveyors, which resulted in those conveyors being replaced.</t>
  </si>
  <si>
    <t xml:space="preserve">Include summary of key operational and/or mainteanance activity undertaken in the year, such as any major component upgrades and/or replacements </t>
  </si>
  <si>
    <t>Summary of Residue Handling for the reporting year</t>
  </si>
  <si>
    <t>Bottom ash is stored as a stockpile and collected by bulk trailer.
Boiler ash and APCR are stored in silos and collected by tanker. 
All ashes were all sent to landfill as hazardous waste. An ongoing programme of sampling and testing is ongoing to establish if the bottom ash and boiler ash can be classified as non-hazardous.</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</si>
  <si>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</si>
  <si>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</si>
  <si>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</si>
  <si>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</si>
  <si>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</si>
  <si>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</si>
  <si>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</si>
  <si>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</si>
  <si>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</si>
  <si>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</si>
  <si>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</si>
  <si>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</si>
  <si>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</si>
  <si>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</si>
  <si>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</si>
  <si>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</si>
  <si>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D05/D09</t>
  </si>
  <si>
    <t>IBA</t>
  </si>
  <si>
    <t>Total Hazardous Waste</t>
  </si>
  <si>
    <t>2) Non-Hazardous Wastes</t>
  </si>
  <si>
    <t>Ferrous Metal</t>
  </si>
  <si>
    <t>R04</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</si>
  <si>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</si>
  <si>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</si>
  <si>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</si>
  <si>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</si>
  <si>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</si>
  <si>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</si>
  <si>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</si>
  <si>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</si>
  <si>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</si>
  <si>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</si>
  <si>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</si>
  <si>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</si>
  <si>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</si>
  <si>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</si>
  <si>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</si>
  <si>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</si>
  <si>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</si>
  <si>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</si>
  <si>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</si>
  <si>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</si>
  <si>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</si>
  <si>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</si>
  <si>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</si>
  <si>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</si>
  <si>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</si>
  <si>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</si>
  <si>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</si>
  <si>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</si>
  <si>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</si>
  <si>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</si>
  <si>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</si>
  <si>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</si>
  <si>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</si>
  <si>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</si>
  <si>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</si>
  <si>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</si>
  <si>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</si>
  <si>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</si>
  <si>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</si>
  <si>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</si>
  <si>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</si>
  <si>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Density value of 845 kg.m-3 used to convert gas oil litres to tonnes.
Net Calorific Value (NCV) of 42,800 kJ.kg-1 used for gas oil</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</si>
  <si>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</si>
  <si>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</si>
  <si>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</si>
  <si>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</si>
  <si>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</si>
  <si>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</si>
  <si>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</si>
  <si>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</si>
  <si>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</si>
  <si>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</si>
  <si>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</si>
  <si>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</si>
  <si>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100.00 % 95% of 10-min averages</t>
  </si>
  <si>
    <t>Total organic carbon</t>
  </si>
  <si>
    <t>Hydrogen chloride</t>
  </si>
  <si>
    <t>Summary of any notifications or non-compliances under the permit</t>
  </si>
  <si>
    <t>Summary of notification or non-compliance [including Line/Reference]</t>
  </si>
  <si>
    <t xml:space="preserve">Reason </t>
  </si>
  <si>
    <t>Measures taken to prevent reoccurrence</t>
  </si>
  <si>
    <t>Hydrostep valve steam leak during start-up - noise</t>
  </si>
  <si>
    <t>Poor installation/thermal cycling</t>
  </si>
  <si>
    <t>Hydrostep valve reinstalled</t>
  </si>
  <si>
    <t>Carbon dosing failure - abnormal operation</t>
  </si>
  <si>
    <t>Loose electrical connection</t>
  </si>
  <si>
    <t>Connection repaired</t>
  </si>
  <si>
    <t>NOx breach of daily average emission limit</t>
  </si>
  <si>
    <t>Urea blockage</t>
  </si>
  <si>
    <t>Blockage cleared and additional procedures implemented</t>
  </si>
  <si>
    <t>Fire in RDF bay - no damage or adverse environmental impact</t>
  </si>
  <si>
    <t>Battery ignition</t>
  </si>
  <si>
    <t>Fire prevention plan review and update in progress</t>
  </si>
  <si>
    <t>Fire in antifoam dosing control unit</t>
  </si>
  <si>
    <t>Electrical short circuit</t>
  </si>
  <si>
    <t>Redesign of control kiosk</t>
  </si>
  <si>
    <t>FID failure - loss of VOC CEMS data - abnormal operation</t>
  </si>
  <si>
    <t>Site wide electrical blackout</t>
  </si>
  <si>
    <t>Start-up procedure refresher training</t>
  </si>
  <si>
    <t>Summary of any complaints received and actions to taken to resolve them.</t>
  </si>
  <si>
    <t>Summary of complaint [including Line/Reference]</t>
  </si>
  <si>
    <t>Reason *</t>
  </si>
  <si>
    <t>Noise complaints x 56.
40 of these corresponded with fire alarms on the alarm log. 16 complaints could not be linked to site activities.</t>
  </si>
  <si>
    <t>None substantiated by EA</t>
  </si>
  <si>
    <t>Fire protection systems service contractor working to resolve all known issues/faults with the system to prevent false alarms. Contractor also looking to silence external alarms overnight.</t>
  </si>
  <si>
    <t>Odour (&amp; smoke) x 86
83 of these complaints are unable to be substantiated and not believed to be linked to site activities. Investigation frequently identified offsite bonfires as potential cause. 3 complaints likely to be linked to one off event where a contractor emptied the recycled water tank into the trade effluent drainage system. Complaints re alleged 'smoke' generally linked to visible stack plume and lack of public knowledge about the process. CEMS compliance with emission limit values confirmed in all cases.</t>
  </si>
  <si>
    <t>None required</t>
  </si>
  <si>
    <t>Flies x 38
24 potentially linked to increased fly activity on site. 14 reports did not correlate with significant fly activity on site.</t>
  </si>
  <si>
    <t>Pest control regime and frequency of visits by contractor increased in response to any increase in fly numbers observed on site. Entomologist employed to complete study and observation of numbers to ensure the pest control regime is appropriate. Pest Management Plan updated and submitted to the Environment Agency for approval.</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</si>
  <si>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</si>
  <si>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</si>
  <si>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</si>
  <si>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</si>
  <si>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 xml:space="preserve">IC1 calibration and verification testing of CEMS - submitted 31/03/2022
IC3 AD plant and Gasification plant commissioning reports - submitted 29/04/2022
IC4 flue gas residence time, temperature and oxygen content verification - submitted 20/04/2022
IC5 SNCR and SCR performance and optimisation - submitted 04/07/2022
IC2 size distribution of particulate matter - submitted 09/11/2022
</t>
  </si>
  <si>
    <t>Summary of any changes to the plant or operating techniques which required a variation to the permit and a summary of the resulting environmental impact.</t>
  </si>
  <si>
    <t>Following completion of detailed design and construction of the facility, it has been identified that the Environmental Permit does not fully reflect the as-built designs. Therefore, SUEZ is applying to the EA to regularise the requirements of the EP with the as-built designs. The application is expected to be submitted during Q1 of 2023.
The proposed changes to the EP are summarised as follows:
• changing the acid gas abatement system from a dry system to a semi-dry system;
• removing the secondary NOx abatements system;
• incorporate additional processes/changes to the pre-treatment plant;
• changes to the anaerobic digestion (AD) process;
• increasing the electrical output of the AD/biogas engines;
• changes to the odour abatement arrangements for the overall site;
• incorporating additional emission points to air to facilitate additional odour abatement systems
and emission points;
• incorporating additional EWC codes for waste delivered to the HWRC (in line with RPS 234);
• correct referencing to align with the 2019 Trade Effluent Consent granted by Thames Water;
• moving the road sweepings area; and
• additional minor modifications to the design and layout of the Facility to optimise the waste
processing and handling arrangements across the site.</t>
  </si>
  <si>
    <t>Summary of any other improvements made to the plant or planned to be made and a summary of the resulting environmental benefits.</t>
  </si>
  <si>
    <t>A trial is underway of using urea solution with an anti-scaling additive, to avoid blockages and improve NOx control and reduce ammonia emissions</t>
  </si>
  <si>
    <t>Details of Public &amp; Stakeholder Liasion</t>
  </si>
  <si>
    <t>Summary of events held during the reporting year.</t>
  </si>
  <si>
    <t>Description</t>
  </si>
  <si>
    <t>SUEZ stand at the Shepperton Village Fair - focused on reuse</t>
  </si>
  <si>
    <t>Community Liaison Group Meeting - resumption of quarterly meetings following removal of all Covid restrictions</t>
  </si>
  <si>
    <t>Community Liaison Group Meeting</t>
  </si>
  <si>
    <t>Shepperton Matters magazine - update on site operations</t>
  </si>
  <si>
    <t>List of events planned for next year</t>
  </si>
  <si>
    <t>Q2 - Q4 2023</t>
  </si>
  <si>
    <t>CLG Meeting dates to be confirmed</t>
  </si>
  <si>
    <t>If you wish to be involved in the public liasion programme, please contact kacie.thompson@suez.com</t>
  </si>
  <si>
    <t>Carbon dioxide emissions and biogenic content of waste inputs</t>
  </si>
  <si>
    <r>
      <t xml:space="preserve">Carbon dioxide emissions </t>
    </r>
    <r>
      <rPr>
        <sz val="12"/>
        <color theme="1"/>
        <rFont val="Arial"/>
        <family val="2"/>
      </rPr>
      <t>(all types of plant)</t>
    </r>
  </si>
  <si>
    <t>Annual mass of carbon dioxide released</t>
  </si>
  <si>
    <t>Annual mass of carbon dioxide released per tonne of waste burned</t>
  </si>
  <si>
    <t>Annual mass of carbon dioxide released per MWh of energy exported</t>
  </si>
  <si>
    <t>Description of how annual carbon dioxide mass emission has been calculated</t>
  </si>
  <si>
    <r>
      <rPr>
        <i/>
        <sz val="11"/>
        <color rgb="FF000000"/>
        <rFont val="Arial"/>
        <family val="2"/>
      </rPr>
      <t>CO</t>
    </r>
    <r>
      <rPr>
        <i/>
        <vertAlign val="subscript"/>
        <sz val="11"/>
        <color rgb="FF000000"/>
        <rFont val="Arial"/>
        <family val="2"/>
      </rPr>
      <t>2</t>
    </r>
    <r>
      <rPr>
        <i/>
        <sz val="11"/>
        <color rgb="FF000000"/>
        <rFont val="Arial"/>
        <family val="2"/>
      </rPr>
      <t xml:space="preserve"> (%) measured by the CEMS was converted to a mass and then multiplied by flow rate and operational hours to provide the annual mass emission. The commissioning of the plant was not completed until March 2022. Data from 1st July 2022 has a calibration function apllied from the QAL2 calibration that took place on the 9th May 2022.</t>
    </r>
  </si>
  <si>
    <r>
      <rPr>
        <b/>
        <sz val="12"/>
        <color theme="1"/>
        <rFont val="Arial"/>
        <family val="2"/>
      </rPr>
      <t>Nitrous oxide emissions</t>
    </r>
    <r>
      <rPr>
        <sz val="12"/>
        <color theme="1"/>
        <rFont val="Arial"/>
        <family val="2"/>
      </rPr>
      <t xml:space="preserve"> (only plants which use ammonia or urea to abate NOx emissions)</t>
    </r>
  </si>
  <si>
    <t>Total annual mass emissions of nitrous oxide</t>
  </si>
  <si>
    <t>Description of how annual nitrous oxide mass emission has been calculated</t>
  </si>
  <si>
    <r>
      <t>N</t>
    </r>
    <r>
      <rPr>
        <i/>
        <vertAlign val="subscript"/>
        <sz val="11"/>
        <rFont val="Arial"/>
        <family val="2"/>
      </rPr>
      <t>2</t>
    </r>
    <r>
      <rPr>
        <i/>
        <sz val="11"/>
        <rFont val="Arial"/>
        <family val="2"/>
      </rPr>
      <t>O data was provided by the CEMS and multiplied by operational hours and flow rate to provide an annual mass emission. QAL2 calibration was carried out as per CO2.</t>
    </r>
  </si>
  <si>
    <r>
      <t xml:space="preserve">Total annual carbon dioxide and nitrous oxide emissions as carbon dioxide equivalent </t>
    </r>
    <r>
      <rPr>
        <sz val="10"/>
        <color theme="1"/>
        <rFont val="Arial"/>
        <family val="2"/>
      </rPr>
      <t>(whereby 1 kg nitrous oxide is equivalent to 298 kg carbon dioxide)</t>
    </r>
  </si>
  <si>
    <t>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</si>
  <si>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</si>
  <si>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mass</t>
  </si>
  <si>
    <t>Description of how biogenic percentage has been calculated</t>
  </si>
  <si>
    <t>Periodic waste sampling is carried out in order to determine the biogenic fraction, and from this a factor is derived to determine the proportion of biogenic CO2 emitted from the plant.</t>
  </si>
  <si>
    <t>Percentage of total carbon dioxide emissions arising from biogenic waste</t>
  </si>
  <si>
    <t>Description of how percentage biogenic carbon dioxide emissions have been calculated</t>
  </si>
  <si>
    <t>Comments:</t>
  </si>
  <si>
    <t>Residue Quality Monitoring Requirements</t>
  </si>
  <si>
    <t>Summary of monitoring undertaken and compliance</t>
  </si>
  <si>
    <t>The samples for the quarterly IBA analysis were undertaken on the 19/01/2022, 04/03/2022, 07/06/2022, 05/09/2022 and 05/12/2022.</t>
  </si>
  <si>
    <t>The sample taken in January was necessary to complete the permit requirement to complete monthly sampling &amp; analysis monthly for the first 12 months of operation. The frequency then reduces to quarterly through the rest of 2023 in line with permit requirements.</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</si>
  <si>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</si>
  <si>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</si>
  <si>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</si>
  <si>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</si>
  <si>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</si>
  <si>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</si>
  <si>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</si>
  <si>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</si>
  <si>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</si>
  <si>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</si>
  <si>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</si>
  <si>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</si>
  <si>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</si>
  <si>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</si>
  <si>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Not assessed</t>
  </si>
  <si>
    <t>Comments :</t>
  </si>
  <si>
    <t>Jan 22 - TOC = 0.39%
Mar 22 - TOC = 0.05%
Jun 22 - TOC = 0.24%
Sep 22 - TOC = 0.07%
Dec 22 - TOC = 0.08%</t>
  </si>
  <si>
    <t>There is no monitoring of emissions to water required by the Environmental Permit. Analysis of all trade effluent discharged to sewer under the Trade Effluent Consent is undertaken but is not provided here as the Trade Effluent Consent is issued by Thames Water and not the Environment Agency.</t>
  </si>
  <si>
    <t>Emissions to Water / Sewer</t>
  </si>
  <si>
    <t>Monitoring Frequency</t>
  </si>
  <si>
    <t>Target</t>
  </si>
  <si>
    <t>Max.</t>
  </si>
  <si>
    <t>Average</t>
  </si>
  <si>
    <t>Summary of monitoring undertaken, standards used and compliance</t>
  </si>
  <si>
    <t>During the first year of operation, analysis of dioxins, furans and dioxin like PCB's is required to be completed on a monthly basis for the six months. This analysis was completed by an external emissions testing contractor between January and June 2022.
All other parameters are required to be monitored on a quarterly basis for the first year of operation. This monitoring was completed in March, May, September and November 2022.
All monitoring was carried out by MCERTS accredited contractors and in line with the standards set out in the Environmental Permit with the exception of Mercury. The Mercury standard used was EN 13211 in accordance with recent guidance from the Environment Agency.</t>
  </si>
  <si>
    <t xml:space="preserve">Template may require adjustment for any bespoke monitoring requirements of permit. </t>
  </si>
  <si>
    <t>User to add additional tables as necessary, depending on whether quarterly or bi-annual reporting is required for the compliance year</t>
  </si>
  <si>
    <t>Results of emissions to air that are periodically monitored</t>
  </si>
  <si>
    <t>Ref. Period</t>
  </si>
  <si>
    <t>Emission Limit Value</t>
  </si>
  <si>
    <t>Q3 22</t>
  </si>
  <si>
    <t>Q4 22</t>
  </si>
  <si>
    <t>Hydrogen fluoride</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</si>
  <si>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</si>
  <si>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</si>
  <si>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</si>
  <si>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</si>
  <si>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</si>
  <si>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</si>
  <si>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</si>
  <si>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</si>
  <si>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</si>
  <si>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</si>
  <si>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</si>
  <si>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</si>
  <si>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</si>
  <si>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</si>
  <si>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</si>
  <si>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</si>
  <si>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</si>
  <si>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</si>
  <si>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</si>
  <si>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</si>
  <si>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</si>
  <si>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</si>
  <si>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</si>
  <si>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</si>
  <si>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</si>
  <si>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</si>
  <si>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</si>
  <si>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</si>
  <si>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</si>
  <si>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</si>
  <si>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</si>
  <si>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</si>
  <si>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</si>
  <si>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</si>
  <si>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</si>
  <si>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</si>
  <si>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The CEMS set up comprises a multigas analyser, FID analyser and then the oxygen probe for extractive sampling where flue gases are drawn continuously via a heated line to the analysers in the CEMS room. In situ sampling i.e. where the probes are installed directly into the flue gas flow in the stack is for the dust probes only. This set up for the duty analysers is mirrored by the standby analysers. Continuous monitoring is provided by the CEMS as required by the permit except in the instances highlighted in the Permit Compliance tab of this report. The CEMS are installed in accordance with EN14181 and relevant Environment Agency guidance.</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</si>
  <si>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</si>
  <si>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</si>
  <si>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</si>
  <si>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</si>
  <si>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</si>
  <si>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</si>
  <si>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</si>
  <si>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</si>
  <si>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</si>
  <si>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</si>
  <si>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</si>
  <si>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</si>
  <si>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</si>
  <si>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</si>
  <si>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</si>
  <si>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</si>
  <si>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</si>
  <si>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</si>
  <si>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</si>
  <si>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</si>
  <si>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</si>
  <si>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</si>
  <si>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</si>
  <si>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</si>
  <si>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Calibrated data has been used to provide the CO maximum 10 min average during December. Results from December 24th were affected by incorrect oxygen readings so 'calibrated data' is used to remove the erroneous values generated by high oxygen.</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</si>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</sst>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_ ;\-#,##0.0\ "/>
  </numFmts>
  <fonts count="39">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name val="Arial"/>
      <family val="2"/>
    </font>
    <font>
      <i/>
      <vertAlign val="subscript"/>
      <sz val="11"/>
      <name val="Arial"/>
      <family val="2"/>
    </font>
    <font>
      <i/>
      <sz val="11"/>
      <color rgb="FF000000"/>
      <name val="Arial"/>
      <family val="2"/>
    </font>
    <font>
      <i/>
      <vertAlign val="subscript"/>
      <sz val="11"/>
      <color rgb="FF000000"/>
      <name val="Arial"/>
      <family val="2"/>
    </font>
    <font>
      <u/>
      <sz val="11"/>
      <color theme="10"/>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right style="thin">
        <color rgb="FF000000"/>
      </right>
      <top/>
      <bottom style="thin">
        <color indexed="64"/>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8" fillId="0" borderId="0" applyNumberFormat="0" applyFill="0" applyBorder="0" applyAlignment="0" applyProtection="0"/>
  </cellStyleXfs>
  <cellXfs count="391">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1" fillId="0" borderId="11" xfId="0" applyFont="1" applyBorder="1"/>
    <xf numFmtId="165" fontId="1" fillId="0" borderId="10" xfId="2" applyNumberFormat="1" applyFont="1" applyBorder="1" applyAlignment="1">
      <alignment horizontal="center"/>
    </xf>
    <xf numFmtId="17" fontId="2" fillId="0" borderId="0" xfId="0" applyNumberFormat="1" applyFont="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left"/>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164" fontId="1" fillId="2" borderId="0" xfId="1" applyNumberFormat="1" applyFont="1" applyFill="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2" fillId="2" borderId="2" xfId="0" applyFont="1" applyFill="1" applyBorder="1"/>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14" fontId="1" fillId="2" borderId="2" xfId="0" applyNumberFormat="1" applyFont="1" applyFill="1" applyBorder="1" applyAlignment="1">
      <alignment horizontal="left"/>
    </xf>
    <xf numFmtId="9" fontId="1" fillId="0" borderId="2" xfId="0" applyNumberFormat="1" applyFont="1" applyBorder="1" applyAlignment="1">
      <alignment horizontal="center" vertical="center" wrapText="1"/>
    </xf>
    <xf numFmtId="0" fontId="1" fillId="0" borderId="2" xfId="0" applyFont="1" applyBorder="1" applyAlignment="1">
      <alignment horizontal="center"/>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xf numFmtId="2" fontId="1" fillId="5" borderId="2" xfId="0" applyNumberFormat="1" applyFont="1" applyFill="1" applyBorder="1" applyAlignment="1">
      <alignment horizontal="center" vertical="center" wrapText="1"/>
    </xf>
    <xf numFmtId="2" fontId="1" fillId="5" borderId="1" xfId="0" applyNumberFormat="1" applyFont="1" applyFill="1" applyBorder="1" applyAlignment="1">
      <alignment horizontal="center" vertical="center" wrapText="1"/>
    </xf>
    <xf numFmtId="10" fontId="2" fillId="0" borderId="2" xfId="0" applyNumberFormat="1" applyFont="1" applyBorder="1" applyAlignment="1">
      <alignment horizontal="center" vertical="top"/>
    </xf>
    <xf numFmtId="17" fontId="1" fillId="0" borderId="0" xfId="0" applyNumberFormat="1" applyFont="1"/>
    <xf numFmtId="0" fontId="10" fillId="5" borderId="2" xfId="0" applyFont="1" applyFill="1" applyBorder="1" applyAlignment="1">
      <alignment horizontal="center" vertical="center" wrapText="1"/>
    </xf>
    <xf numFmtId="0" fontId="7" fillId="5" borderId="2" xfId="0" applyFont="1" applyFill="1" applyBorder="1" applyAlignment="1">
      <alignment horizontal="center"/>
    </xf>
    <xf numFmtId="2" fontId="2" fillId="0" borderId="2" xfId="0" applyNumberFormat="1" applyFont="1" applyBorder="1" applyAlignment="1">
      <alignment horizontal="center" vertical="top"/>
    </xf>
    <xf numFmtId="2" fontId="2" fillId="0" borderId="2" xfId="0" applyNumberFormat="1" applyFont="1" applyBorder="1" applyAlignment="1">
      <alignment horizontal="center" vertical="top" wrapText="1"/>
    </xf>
    <xf numFmtId="166" fontId="1" fillId="2" borderId="0" xfId="1" applyNumberFormat="1" applyFont="1" applyFill="1" applyAlignment="1">
      <alignment horizontal="center"/>
    </xf>
    <xf numFmtId="166" fontId="6" fillId="2" borderId="7" xfId="1" applyNumberFormat="1" applyFont="1" applyFill="1" applyBorder="1"/>
    <xf numFmtId="14" fontId="1" fillId="2" borderId="2" xfId="0" applyNumberFormat="1" applyFont="1" applyFill="1" applyBorder="1" applyAlignment="1">
      <alignment horizontal="center"/>
    </xf>
    <xf numFmtId="169" fontId="1" fillId="2" borderId="0" xfId="1" applyNumberFormat="1" applyFont="1" applyFill="1" applyAlignment="1">
      <alignment horizontal="center"/>
    </xf>
    <xf numFmtId="169" fontId="10" fillId="0" borderId="0" xfId="1" applyNumberFormat="1" applyFont="1" applyAlignment="1">
      <alignment horizontal="center"/>
    </xf>
    <xf numFmtId="14" fontId="15" fillId="0" borderId="12" xfId="0" applyNumberFormat="1" applyFont="1" applyBorder="1"/>
    <xf numFmtId="166" fontId="1" fillId="2" borderId="18" xfId="0" applyNumberFormat="1" applyFont="1" applyFill="1" applyBorder="1"/>
    <xf numFmtId="0" fontId="1" fillId="2" borderId="2" xfId="0" applyFont="1" applyFill="1" applyBorder="1" applyAlignment="1">
      <alignment horizontal="left" vertical="top"/>
    </xf>
    <xf numFmtId="0" fontId="2" fillId="2" borderId="0" xfId="0" applyFont="1" applyFill="1" applyAlignment="1">
      <alignment horizontal="left"/>
    </xf>
    <xf numFmtId="0" fontId="6" fillId="0" borderId="0" xfId="0" applyFont="1" applyAlignment="1">
      <alignment vertical="top"/>
    </xf>
    <xf numFmtId="0" fontId="2" fillId="2" borderId="0" xfId="0" applyFont="1" applyFill="1" applyAlignment="1">
      <alignment horizontal="left"/>
    </xf>
    <xf numFmtId="14" fontId="2" fillId="2" borderId="0" xfId="0" applyNumberFormat="1" applyFont="1" applyFill="1" applyAlignment="1">
      <alignment horizontal="left"/>
    </xf>
    <xf numFmtId="0" fontId="8" fillId="2" borderId="0" xfId="0" applyFont="1" applyFill="1" applyAlignment="1">
      <alignment horizontal="center"/>
    </xf>
    <xf numFmtId="0" fontId="38" fillId="2" borderId="0" xfId="3" applyFill="1" applyAlignment="1">
      <alignment horizontal="left"/>
    </xf>
    <xf numFmtId="0" fontId="22" fillId="0" borderId="0" xfId="0" applyFont="1" applyAlignment="1">
      <alignment horizontal="left" wrapText="1"/>
    </xf>
    <xf numFmtId="0" fontId="2" fillId="2" borderId="0" xfId="0" applyFont="1" applyFill="1" applyAlignment="1">
      <alignment horizontal="center" vertical="center"/>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2" fillId="0" borderId="0" xfId="0" applyFont="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0" fontId="1" fillId="0" borderId="2" xfId="0" applyFont="1" applyBorder="1" applyAlignment="1">
      <alignment horizontal="left"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1" fillId="2" borderId="2" xfId="0" applyFont="1" applyFill="1" applyBorder="1" applyAlignment="1">
      <alignmen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0" borderId="2" xfId="0" applyFont="1" applyBorder="1" applyAlignment="1">
      <alignment vertical="center" wrapText="1"/>
    </xf>
    <xf numFmtId="168" fontId="1" fillId="0" borderId="1" xfId="0" applyNumberFormat="1" applyFont="1" applyBorder="1" applyAlignment="1">
      <alignment horizontal="center"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0" fontId="6" fillId="0" borderId="0" xfId="0" applyFont="1" applyAlignment="1">
      <alignment horizontal="left"/>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2" borderId="2" xfId="0" applyFont="1" applyFill="1" applyBorder="1" applyAlignment="1">
      <alignment horizontal="left" vertical="top" wrapText="1"/>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2" fontId="1" fillId="5" borderId="2" xfId="0" applyNumberFormat="1" applyFont="1" applyFill="1" applyBorder="1" applyAlignment="1">
      <alignment horizontal="center" vertical="center" wrapText="1"/>
    </xf>
    <xf numFmtId="2" fontId="1" fillId="0" borderId="2" xfId="0" applyNumberFormat="1" applyFont="1" applyBorder="1" applyAlignment="1">
      <alignment horizontal="center" vertical="center"/>
    </xf>
    <xf numFmtId="0" fontId="6" fillId="0" borderId="0" xfId="0" applyFont="1" applyAlignment="1">
      <alignment horizontal="left" vertical="top"/>
    </xf>
    <xf numFmtId="0" fontId="1" fillId="0" borderId="2" xfId="0" applyFont="1" applyBorder="1" applyAlignment="1">
      <alignment horizontal="center" vertical="center" wrapText="1"/>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 fillId="2" borderId="3" xfId="0" applyFont="1" applyFill="1" applyBorder="1" applyAlignment="1">
      <alignment horizontal="left"/>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2" xfId="0" applyFont="1" applyFill="1" applyBorder="1" applyAlignment="1">
      <alignment horizontal="left" wrapText="1"/>
    </xf>
    <xf numFmtId="0" fontId="1" fillId="2" borderId="3" xfId="0" applyFont="1" applyFill="1" applyBorder="1" applyAlignment="1">
      <alignment horizontal="left" wrapText="1"/>
    </xf>
    <xf numFmtId="0" fontId="1" fillId="2" borderId="3" xfId="0" applyFont="1" applyFill="1" applyBorder="1" applyAlignment="1">
      <alignment horizontal="left" vertical="top"/>
    </xf>
    <xf numFmtId="0" fontId="1" fillId="2" borderId="2" xfId="0" applyFont="1" applyFill="1" applyBorder="1" applyAlignment="1">
      <alignment horizontal="center" vertical="center"/>
    </xf>
    <xf numFmtId="10" fontId="1" fillId="2" borderId="2" xfId="0" applyNumberFormat="1"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14" fontId="1" fillId="2" borderId="6" xfId="0" applyNumberFormat="1" applyFont="1" applyFill="1" applyBorder="1" applyAlignment="1">
      <alignment horizontal="left" vertical="top"/>
    </xf>
    <xf numFmtId="17" fontId="1" fillId="2" borderId="6" xfId="0" applyNumberFormat="1" applyFont="1" applyFill="1" applyBorder="1" applyAlignment="1">
      <alignment horizontal="left" vertical="top"/>
    </xf>
    <xf numFmtId="0" fontId="34" fillId="0" borderId="2" xfId="0" applyFont="1" applyBorder="1" applyAlignment="1">
      <alignment vertical="top" wrapText="1"/>
    </xf>
    <xf numFmtId="0" fontId="0" fillId="0" borderId="2" xfId="0" applyBorder="1" applyAlignment="1">
      <alignment vertical="top" wrapText="1"/>
    </xf>
    <xf numFmtId="0" fontId="4" fillId="0" borderId="2" xfId="0" applyFont="1" applyBorder="1" applyAlignment="1">
      <alignment vertical="top" wrapText="1"/>
    </xf>
    <xf numFmtId="0" fontId="0" fillId="0" borderId="2" xfId="0" applyBorder="1" applyAlignment="1">
      <alignment vertical="top"/>
    </xf>
    <xf numFmtId="0" fontId="36" fillId="0" borderId="2" xfId="0" applyFont="1" applyBorder="1" applyAlignment="1">
      <alignment vertical="top" wrapText="1"/>
    </xf>
    <xf numFmtId="0" fontId="2" fillId="0" borderId="2" xfId="0" applyFont="1" applyBorder="1" applyAlignment="1">
      <alignment vertical="top" wrapText="1"/>
    </xf>
    <xf numFmtId="0" fontId="6" fillId="2" borderId="2" xfId="0" applyFont="1" applyFill="1" applyBorder="1" applyAlignment="1">
      <alignment horizontal="left" vertical="top"/>
    </xf>
    <xf numFmtId="0" fontId="1" fillId="5" borderId="2" xfId="0" applyFont="1" applyFill="1" applyBorder="1" applyAlignment="1">
      <alignment horizontal="center" vertical="center" wrapText="1"/>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8" fillId="0" borderId="2" xfId="0" applyFont="1" applyBorder="1" applyAlignment="1">
      <alignment horizontal="left" vertical="center" wrapText="1"/>
    </xf>
    <xf numFmtId="14" fontId="1" fillId="2" borderId="6" xfId="0" applyNumberFormat="1" applyFont="1" applyFill="1" applyBorder="1" applyAlignment="1">
      <alignment horizontal="left" vertical="top" wrapText="1"/>
    </xf>
    <xf numFmtId="0" fontId="1" fillId="5" borderId="2"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wrapText="1"/>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4.5999999999999996</c:v>
                </c:pt>
                <c:pt idx="1">
                  <c:v>5.3</c:v>
                </c:pt>
                <c:pt idx="2">
                  <c:v>4.7</c:v>
                </c:pt>
                <c:pt idx="3">
                  <c:v>6</c:v>
                </c:pt>
                <c:pt idx="4">
                  <c:v>7</c:v>
                </c:pt>
                <c:pt idx="5">
                  <c:v>8</c:v>
                </c:pt>
                <c:pt idx="6">
                  <c:v>0</c:v>
                </c:pt>
                <c:pt idx="7">
                  <c:v>6</c:v>
                </c:pt>
                <c:pt idx="8">
                  <c:v>6</c:v>
                </c:pt>
                <c:pt idx="9">
                  <c:v>6</c:v>
                </c:pt>
                <c:pt idx="10">
                  <c:v>4</c:v>
                </c:pt>
                <c:pt idx="11">
                  <c:v>6</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19.5</c:v>
                </c:pt>
                <c:pt idx="1">
                  <c:v>27.9</c:v>
                </c:pt>
                <c:pt idx="2">
                  <c:v>9</c:v>
                </c:pt>
                <c:pt idx="3">
                  <c:v>42</c:v>
                </c:pt>
                <c:pt idx="4">
                  <c:v>21</c:v>
                </c:pt>
                <c:pt idx="5">
                  <c:v>28</c:v>
                </c:pt>
                <c:pt idx="6">
                  <c:v>0</c:v>
                </c:pt>
                <c:pt idx="7">
                  <c:v>51</c:v>
                </c:pt>
                <c:pt idx="8">
                  <c:v>15</c:v>
                </c:pt>
                <c:pt idx="9">
                  <c:v>15</c:v>
                </c:pt>
                <c:pt idx="10">
                  <c:v>11</c:v>
                </c:pt>
                <c:pt idx="11">
                  <c:v>12</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4.5999999999999996</c:v>
                </c:pt>
                <c:pt idx="1">
                  <c:v>5.3</c:v>
                </c:pt>
                <c:pt idx="2">
                  <c:v>4.7</c:v>
                </c:pt>
                <c:pt idx="3">
                  <c:v>6</c:v>
                </c:pt>
                <c:pt idx="4">
                  <c:v>7</c:v>
                </c:pt>
                <c:pt idx="5">
                  <c:v>8</c:v>
                </c:pt>
                <c:pt idx="6">
                  <c:v>0</c:v>
                </c:pt>
                <c:pt idx="7">
                  <c:v>6</c:v>
                </c:pt>
                <c:pt idx="8">
                  <c:v>6</c:v>
                </c:pt>
                <c:pt idx="9">
                  <c:v>6</c:v>
                </c:pt>
                <c:pt idx="10">
                  <c:v>4</c:v>
                </c:pt>
                <c:pt idx="11">
                  <c:v>6</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5.6</c:v>
                </c:pt>
                <c:pt idx="1">
                  <c:v>5.4</c:v>
                </c:pt>
                <c:pt idx="2">
                  <c:v>5.2</c:v>
                </c:pt>
                <c:pt idx="3">
                  <c:v>6</c:v>
                </c:pt>
                <c:pt idx="4">
                  <c:v>8</c:v>
                </c:pt>
                <c:pt idx="5">
                  <c:v>10</c:v>
                </c:pt>
                <c:pt idx="6">
                  <c:v>0</c:v>
                </c:pt>
                <c:pt idx="7">
                  <c:v>8</c:v>
                </c:pt>
                <c:pt idx="8">
                  <c:v>7</c:v>
                </c:pt>
                <c:pt idx="9">
                  <c:v>7</c:v>
                </c:pt>
                <c:pt idx="10">
                  <c:v>6</c:v>
                </c:pt>
                <c:pt idx="11">
                  <c:v>6</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0</c:v>
                </c:pt>
                <c:pt idx="1">
                  <c:v>0</c:v>
                </c:pt>
                <c:pt idx="2">
                  <c:v>0</c:v>
                </c:pt>
                <c:pt idx="3">
                  <c:v>0</c:v>
                </c:pt>
                <c:pt idx="4">
                  <c:v>0</c:v>
                </c:pt>
                <c:pt idx="5">
                  <c:v>0</c:v>
                </c:pt>
                <c:pt idx="6">
                  <c:v>0</c:v>
                </c:pt>
                <c:pt idx="7">
                  <c:v>9</c:v>
                </c:pt>
                <c:pt idx="8">
                  <c:v>10</c:v>
                </c:pt>
                <c:pt idx="9">
                  <c:v>10</c:v>
                </c:pt>
                <c:pt idx="10">
                  <c:v>16</c:v>
                </c:pt>
                <c:pt idx="11">
                  <c:v>8.8000000000000007</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8</c:v>
                </c:pt>
                <c:pt idx="1">
                  <c:v>103</c:v>
                </c:pt>
                <c:pt idx="2">
                  <c:v>46</c:v>
                </c:pt>
                <c:pt idx="3">
                  <c:v>20</c:v>
                </c:pt>
                <c:pt idx="4">
                  <c:v>10</c:v>
                </c:pt>
                <c:pt idx="5">
                  <c:v>42</c:v>
                </c:pt>
                <c:pt idx="6">
                  <c:v>0</c:v>
                </c:pt>
                <c:pt idx="7">
                  <c:v>24</c:v>
                </c:pt>
                <c:pt idx="8">
                  <c:v>40</c:v>
                </c:pt>
                <c:pt idx="9">
                  <c:v>43</c:v>
                </c:pt>
                <c:pt idx="10">
                  <c:v>59</c:v>
                </c:pt>
                <c:pt idx="11">
                  <c:v>30</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0</c:v>
                </c:pt>
                <c:pt idx="1">
                  <c:v>0</c:v>
                </c:pt>
                <c:pt idx="2">
                  <c:v>0</c:v>
                </c:pt>
                <c:pt idx="3">
                  <c:v>0</c:v>
                </c:pt>
                <c:pt idx="4">
                  <c:v>0</c:v>
                </c:pt>
                <c:pt idx="5">
                  <c:v>0</c:v>
                </c:pt>
                <c:pt idx="6">
                  <c:v>0</c:v>
                </c:pt>
                <c:pt idx="7">
                  <c:v>9</c:v>
                </c:pt>
                <c:pt idx="8">
                  <c:v>10</c:v>
                </c:pt>
                <c:pt idx="9">
                  <c:v>10</c:v>
                </c:pt>
                <c:pt idx="10">
                  <c:v>16</c:v>
                </c:pt>
                <c:pt idx="11">
                  <c:v>9</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0</c:v>
                </c:pt>
                <c:pt idx="1">
                  <c:v>1</c:v>
                </c:pt>
                <c:pt idx="2">
                  <c:v>0</c:v>
                </c:pt>
                <c:pt idx="3">
                  <c:v>1</c:v>
                </c:pt>
                <c:pt idx="4">
                  <c:v>1</c:v>
                </c:pt>
                <c:pt idx="5">
                  <c:v>1</c:v>
                </c:pt>
                <c:pt idx="6">
                  <c:v>0</c:v>
                </c:pt>
                <c:pt idx="7">
                  <c:v>10</c:v>
                </c:pt>
                <c:pt idx="8">
                  <c:v>11</c:v>
                </c:pt>
                <c:pt idx="9">
                  <c:v>12</c:v>
                </c:pt>
                <c:pt idx="10">
                  <c:v>29</c:v>
                </c:pt>
                <c:pt idx="11">
                  <c:v>9</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76</c:v>
                </c:pt>
                <c:pt idx="1">
                  <c:v>80</c:v>
                </c:pt>
                <c:pt idx="2">
                  <c:v>77</c:v>
                </c:pt>
                <c:pt idx="3">
                  <c:v>76</c:v>
                </c:pt>
                <c:pt idx="4">
                  <c:v>80</c:v>
                </c:pt>
                <c:pt idx="5">
                  <c:v>78</c:v>
                </c:pt>
                <c:pt idx="6">
                  <c:v>0</c:v>
                </c:pt>
                <c:pt idx="7">
                  <c:v>80</c:v>
                </c:pt>
                <c:pt idx="8">
                  <c:v>80</c:v>
                </c:pt>
                <c:pt idx="9">
                  <c:v>84</c:v>
                </c:pt>
                <c:pt idx="10">
                  <c:v>80</c:v>
                </c:pt>
                <c:pt idx="11">
                  <c:v>82.7</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175</c:v>
                </c:pt>
                <c:pt idx="1">
                  <c:v>346</c:v>
                </c:pt>
                <c:pt idx="2">
                  <c:v>280</c:v>
                </c:pt>
                <c:pt idx="3">
                  <c:v>183</c:v>
                </c:pt>
                <c:pt idx="4">
                  <c:v>139</c:v>
                </c:pt>
                <c:pt idx="5">
                  <c:v>151</c:v>
                </c:pt>
                <c:pt idx="6">
                  <c:v>0</c:v>
                </c:pt>
                <c:pt idx="7">
                  <c:v>199</c:v>
                </c:pt>
                <c:pt idx="8">
                  <c:v>293</c:v>
                </c:pt>
                <c:pt idx="9">
                  <c:v>225</c:v>
                </c:pt>
                <c:pt idx="10">
                  <c:v>310</c:v>
                </c:pt>
                <c:pt idx="11">
                  <c:v>208</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76</c:v>
                </c:pt>
                <c:pt idx="1">
                  <c:v>80</c:v>
                </c:pt>
                <c:pt idx="2">
                  <c:v>77</c:v>
                </c:pt>
                <c:pt idx="3">
                  <c:v>76</c:v>
                </c:pt>
                <c:pt idx="4">
                  <c:v>80</c:v>
                </c:pt>
                <c:pt idx="5">
                  <c:v>78</c:v>
                </c:pt>
                <c:pt idx="6">
                  <c:v>0</c:v>
                </c:pt>
                <c:pt idx="7">
                  <c:v>80</c:v>
                </c:pt>
                <c:pt idx="8">
                  <c:v>80</c:v>
                </c:pt>
                <c:pt idx="9">
                  <c:v>84</c:v>
                </c:pt>
                <c:pt idx="10">
                  <c:v>80</c:v>
                </c:pt>
                <c:pt idx="11">
                  <c:v>86</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80</c:v>
                </c:pt>
                <c:pt idx="1">
                  <c:v>89</c:v>
                </c:pt>
                <c:pt idx="2">
                  <c:v>89</c:v>
                </c:pt>
                <c:pt idx="3">
                  <c:v>109</c:v>
                </c:pt>
                <c:pt idx="4">
                  <c:v>90</c:v>
                </c:pt>
                <c:pt idx="5">
                  <c:v>87</c:v>
                </c:pt>
                <c:pt idx="6">
                  <c:v>0</c:v>
                </c:pt>
                <c:pt idx="7">
                  <c:v>84</c:v>
                </c:pt>
                <c:pt idx="8">
                  <c:v>90</c:v>
                </c:pt>
                <c:pt idx="9">
                  <c:v>91</c:v>
                </c:pt>
                <c:pt idx="10">
                  <c:v>91</c:v>
                </c:pt>
                <c:pt idx="11">
                  <c:v>86</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0.8</c:v>
                </c:pt>
                <c:pt idx="1">
                  <c:v>0.7</c:v>
                </c:pt>
                <c:pt idx="2">
                  <c:v>0.6</c:v>
                </c:pt>
                <c:pt idx="3">
                  <c:v>1</c:v>
                </c:pt>
                <c:pt idx="4">
                  <c:v>1</c:v>
                </c:pt>
                <c:pt idx="5">
                  <c:v>1</c:v>
                </c:pt>
                <c:pt idx="6">
                  <c:v>0</c:v>
                </c:pt>
                <c:pt idx="7">
                  <c:v>0</c:v>
                </c:pt>
                <c:pt idx="8">
                  <c:v>1</c:v>
                </c:pt>
                <c:pt idx="9">
                  <c:v>1</c:v>
                </c:pt>
                <c:pt idx="10">
                  <c:v>1</c:v>
                </c:pt>
                <c:pt idx="11">
                  <c:v>1</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11.4</c:v>
                </c:pt>
                <c:pt idx="1">
                  <c:v>20.399999999999999</c:v>
                </c:pt>
                <c:pt idx="2">
                  <c:v>2.6</c:v>
                </c:pt>
                <c:pt idx="3">
                  <c:v>4</c:v>
                </c:pt>
                <c:pt idx="4">
                  <c:v>5</c:v>
                </c:pt>
                <c:pt idx="5">
                  <c:v>5</c:v>
                </c:pt>
                <c:pt idx="6">
                  <c:v>0</c:v>
                </c:pt>
                <c:pt idx="7">
                  <c:v>4</c:v>
                </c:pt>
                <c:pt idx="8">
                  <c:v>9</c:v>
                </c:pt>
                <c:pt idx="9">
                  <c:v>7</c:v>
                </c:pt>
                <c:pt idx="10">
                  <c:v>13</c:v>
                </c:pt>
                <c:pt idx="11">
                  <c:v>6</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0.8</c:v>
                </c:pt>
                <c:pt idx="1">
                  <c:v>0.7</c:v>
                </c:pt>
                <c:pt idx="2">
                  <c:v>0.6</c:v>
                </c:pt>
                <c:pt idx="3">
                  <c:v>1</c:v>
                </c:pt>
                <c:pt idx="4">
                  <c:v>1</c:v>
                </c:pt>
                <c:pt idx="5">
                  <c:v>1</c:v>
                </c:pt>
                <c:pt idx="6">
                  <c:v>0</c:v>
                </c:pt>
                <c:pt idx="7">
                  <c:v>0</c:v>
                </c:pt>
                <c:pt idx="8">
                  <c:v>1</c:v>
                </c:pt>
                <c:pt idx="9">
                  <c:v>1</c:v>
                </c:pt>
                <c:pt idx="10">
                  <c:v>1</c:v>
                </c:pt>
                <c:pt idx="11">
                  <c:v>1</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1.1000000000000001</c:v>
                </c:pt>
                <c:pt idx="1">
                  <c:v>1.2</c:v>
                </c:pt>
                <c:pt idx="2">
                  <c:v>0.8</c:v>
                </c:pt>
                <c:pt idx="3">
                  <c:v>1</c:v>
                </c:pt>
                <c:pt idx="4">
                  <c:v>1</c:v>
                </c:pt>
                <c:pt idx="5">
                  <c:v>1</c:v>
                </c:pt>
                <c:pt idx="6">
                  <c:v>0</c:v>
                </c:pt>
                <c:pt idx="7">
                  <c:v>1</c:v>
                </c:pt>
                <c:pt idx="8">
                  <c:v>1</c:v>
                </c:pt>
                <c:pt idx="9">
                  <c:v>1</c:v>
                </c:pt>
                <c:pt idx="10">
                  <c:v>1</c:v>
                </c:pt>
                <c:pt idx="11">
                  <c:v>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0.2</c:v>
                </c:pt>
                <c:pt idx="1">
                  <c:v>0.1</c:v>
                </c:pt>
                <c:pt idx="2">
                  <c:v>0.1</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0.8</c:v>
                </c:pt>
                <c:pt idx="1">
                  <c:v>1</c:v>
                </c:pt>
                <c:pt idx="2">
                  <c:v>0.6</c:v>
                </c:pt>
                <c:pt idx="3">
                  <c:v>0</c:v>
                </c:pt>
                <c:pt idx="4">
                  <c:v>18</c:v>
                </c:pt>
                <c:pt idx="5">
                  <c:v>0</c:v>
                </c:pt>
                <c:pt idx="6">
                  <c:v>0</c:v>
                </c:pt>
                <c:pt idx="7">
                  <c:v>1</c:v>
                </c:pt>
                <c:pt idx="8">
                  <c:v>1</c:v>
                </c:pt>
                <c:pt idx="9">
                  <c:v>1</c:v>
                </c:pt>
                <c:pt idx="10">
                  <c:v>4</c:v>
                </c:pt>
                <c:pt idx="11">
                  <c:v>1</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0.2</c:v>
                </c:pt>
                <c:pt idx="1">
                  <c:v>0.1</c:v>
                </c:pt>
                <c:pt idx="2">
                  <c:v>0.1</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0.2</c:v>
                </c:pt>
                <c:pt idx="1">
                  <c:v>0.2</c:v>
                </c:pt>
                <c:pt idx="2">
                  <c:v>0.1</c:v>
                </c:pt>
                <c:pt idx="3">
                  <c:v>0</c:v>
                </c:pt>
                <c:pt idx="4">
                  <c:v>1</c:v>
                </c:pt>
                <c:pt idx="5">
                  <c:v>0</c:v>
                </c:pt>
                <c:pt idx="6">
                  <c:v>0</c:v>
                </c:pt>
                <c:pt idx="7">
                  <c:v>0</c:v>
                </c:pt>
                <c:pt idx="8">
                  <c:v>0</c:v>
                </c:pt>
                <c:pt idx="9">
                  <c:v>0</c:v>
                </c:pt>
                <c:pt idx="10">
                  <c:v>1</c:v>
                </c:pt>
                <c:pt idx="11">
                  <c:v>0</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44</c:v>
                </c:pt>
                <c:pt idx="1">
                  <c:v>27</c:v>
                </c:pt>
                <c:pt idx="2">
                  <c:v>33</c:v>
                </c:pt>
                <c:pt idx="3">
                  <c:v>122</c:v>
                </c:pt>
                <c:pt idx="4">
                  <c:v>95</c:v>
                </c:pt>
                <c:pt idx="5">
                  <c:v>69</c:v>
                </c:pt>
                <c:pt idx="6">
                  <c:v>0</c:v>
                </c:pt>
                <c:pt idx="7">
                  <c:v>27</c:v>
                </c:pt>
                <c:pt idx="8">
                  <c:v>89</c:v>
                </c:pt>
                <c:pt idx="9">
                  <c:v>36</c:v>
                </c:pt>
                <c:pt idx="10">
                  <c:v>111</c:v>
                </c:pt>
                <c:pt idx="11">
                  <c:v>195</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265</c:v>
                </c:pt>
                <c:pt idx="1">
                  <c:v>813</c:v>
                </c:pt>
                <c:pt idx="2">
                  <c:v>514</c:v>
                </c:pt>
                <c:pt idx="3">
                  <c:v>360</c:v>
                </c:pt>
                <c:pt idx="4">
                  <c:v>439</c:v>
                </c:pt>
                <c:pt idx="5">
                  <c:v>565</c:v>
                </c:pt>
                <c:pt idx="6">
                  <c:v>0</c:v>
                </c:pt>
                <c:pt idx="7">
                  <c:v>558</c:v>
                </c:pt>
                <c:pt idx="8">
                  <c:v>911</c:v>
                </c:pt>
                <c:pt idx="9">
                  <c:v>791</c:v>
                </c:pt>
                <c:pt idx="10">
                  <c:v>562</c:v>
                </c:pt>
                <c:pt idx="11">
                  <c:v>300</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4</c:v>
                </c:pt>
                <c:pt idx="1">
                  <c:v>5</c:v>
                </c:pt>
                <c:pt idx="2">
                  <c:v>6</c:v>
                </c:pt>
                <c:pt idx="3">
                  <c:v>7</c:v>
                </c:pt>
                <c:pt idx="4">
                  <c:v>9</c:v>
                </c:pt>
                <c:pt idx="5">
                  <c:v>8</c:v>
                </c:pt>
                <c:pt idx="6">
                  <c:v>0</c:v>
                </c:pt>
                <c:pt idx="7">
                  <c:v>6</c:v>
                </c:pt>
                <c:pt idx="8">
                  <c:v>12</c:v>
                </c:pt>
                <c:pt idx="9">
                  <c:v>3</c:v>
                </c:pt>
                <c:pt idx="10">
                  <c:v>8</c:v>
                </c:pt>
                <c:pt idx="11">
                  <c:v>13.5</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6</c:v>
                </c:pt>
                <c:pt idx="1">
                  <c:v>7</c:v>
                </c:pt>
                <c:pt idx="2">
                  <c:v>7</c:v>
                </c:pt>
                <c:pt idx="3">
                  <c:v>15</c:v>
                </c:pt>
                <c:pt idx="4">
                  <c:v>14</c:v>
                </c:pt>
                <c:pt idx="5">
                  <c:v>11</c:v>
                </c:pt>
                <c:pt idx="6">
                  <c:v>0</c:v>
                </c:pt>
                <c:pt idx="7">
                  <c:v>9</c:v>
                </c:pt>
                <c:pt idx="8">
                  <c:v>19</c:v>
                </c:pt>
                <c:pt idx="9">
                  <c:v>6</c:v>
                </c:pt>
                <c:pt idx="10">
                  <c:v>13</c:v>
                </c:pt>
                <c:pt idx="11">
                  <c:v>15</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8.9</c:v>
                </c:pt>
                <c:pt idx="1">
                  <c:v>8.4</c:v>
                </c:pt>
                <c:pt idx="2">
                  <c:v>9.5</c:v>
                </c:pt>
                <c:pt idx="3">
                  <c:v>14</c:v>
                </c:pt>
                <c:pt idx="4">
                  <c:v>10</c:v>
                </c:pt>
                <c:pt idx="5">
                  <c:v>10</c:v>
                </c:pt>
                <c:pt idx="6">
                  <c:v>0</c:v>
                </c:pt>
                <c:pt idx="7">
                  <c:v>10</c:v>
                </c:pt>
                <c:pt idx="8">
                  <c:v>18</c:v>
                </c:pt>
                <c:pt idx="9">
                  <c:v>17</c:v>
                </c:pt>
                <c:pt idx="10">
                  <c:v>17</c:v>
                </c:pt>
                <c:pt idx="11">
                  <c:v>21</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34</c:v>
                </c:pt>
                <c:pt idx="1">
                  <c:v>27</c:v>
                </c:pt>
                <c:pt idx="2">
                  <c:v>68.8</c:v>
                </c:pt>
                <c:pt idx="3">
                  <c:v>96</c:v>
                </c:pt>
                <c:pt idx="4">
                  <c:v>53</c:v>
                </c:pt>
                <c:pt idx="5">
                  <c:v>51</c:v>
                </c:pt>
                <c:pt idx="6">
                  <c:v>0</c:v>
                </c:pt>
                <c:pt idx="7">
                  <c:v>36</c:v>
                </c:pt>
                <c:pt idx="8">
                  <c:v>89</c:v>
                </c:pt>
                <c:pt idx="9">
                  <c:v>62</c:v>
                </c:pt>
                <c:pt idx="10">
                  <c:v>61</c:v>
                </c:pt>
                <c:pt idx="11">
                  <c:v>128</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8.9</c:v>
                </c:pt>
                <c:pt idx="1">
                  <c:v>8.4</c:v>
                </c:pt>
                <c:pt idx="2">
                  <c:v>9.5</c:v>
                </c:pt>
                <c:pt idx="3">
                  <c:v>14</c:v>
                </c:pt>
                <c:pt idx="4">
                  <c:v>10</c:v>
                </c:pt>
                <c:pt idx="5">
                  <c:v>10</c:v>
                </c:pt>
                <c:pt idx="6">
                  <c:v>0</c:v>
                </c:pt>
                <c:pt idx="7">
                  <c:v>10</c:v>
                </c:pt>
                <c:pt idx="8">
                  <c:v>18</c:v>
                </c:pt>
                <c:pt idx="9">
                  <c:v>17</c:v>
                </c:pt>
                <c:pt idx="10">
                  <c:v>17</c:v>
                </c:pt>
                <c:pt idx="11">
                  <c:v>17</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11</c:v>
                </c:pt>
                <c:pt idx="1">
                  <c:v>9.1999999999999993</c:v>
                </c:pt>
                <c:pt idx="2">
                  <c:v>10</c:v>
                </c:pt>
                <c:pt idx="3">
                  <c:v>40</c:v>
                </c:pt>
                <c:pt idx="4">
                  <c:v>21</c:v>
                </c:pt>
                <c:pt idx="5">
                  <c:v>18</c:v>
                </c:pt>
                <c:pt idx="6">
                  <c:v>0</c:v>
                </c:pt>
                <c:pt idx="7">
                  <c:v>13</c:v>
                </c:pt>
                <c:pt idx="8">
                  <c:v>22</c:v>
                </c:pt>
                <c:pt idx="9">
                  <c:v>25</c:v>
                </c:pt>
                <c:pt idx="10">
                  <c:v>25</c:v>
                </c:pt>
                <c:pt idx="11">
                  <c:v>17</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2</xdr:col>
      <xdr:colOff>228600</xdr:colOff>
      <xdr:row>7</xdr:row>
      <xdr:rowOff>39243</xdr:rowOff>
    </xdr:from>
    <xdr:to>
      <xdr:col>7</xdr:col>
      <xdr:colOff>57150</xdr:colOff>
      <xdr:row>23</xdr:row>
      <xdr:rowOff>104776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9812"/>
        <a:stretch/>
      </xdr:blipFill>
      <xdr:spPr>
        <a:xfrm>
          <a:off x="1819275" y="1372743"/>
          <a:ext cx="2924175" cy="3123058"/>
        </a:xfrm>
        <a:prstGeom prst="rect">
          <a:avLst/>
        </a:prstGeom>
      </xdr:spPr>
    </xdr:pic>
    <xdr:clientData/>
  </xdr:twoCellAnchor>
  <xdr:twoCellAnchor editAs="oneCell">
    <xdr:from>
      <xdr:col>3</xdr:col>
      <xdr:colOff>180975</xdr:colOff>
      <xdr:row>0</xdr:row>
      <xdr:rowOff>9525</xdr:rowOff>
    </xdr:from>
    <xdr:to>
      <xdr:col>6</xdr:col>
      <xdr:colOff>381000</xdr:colOff>
      <xdr:row>6</xdr:row>
      <xdr:rowOff>108796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2390775" y="9525"/>
          <a:ext cx="2057400" cy="12422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30480</xdr:colOff>
          <xdr:row>4</xdr:row>
          <xdr:rowOff>68580</xdr:rowOff>
        </xdr:from>
        <xdr:to>
          <xdr:col>6</xdr:col>
          <xdr:colOff>335280</xdr:colOff>
          <xdr:row>8</xdr:row>
          <xdr:rowOff>213360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enquiries.uk@suez.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4"/>
  <sheetViews>
    <sheetView tabSelected="1" view="pageBreakPreview" topLeftCell="A15" zoomScale="115" zoomScaleNormal="100" zoomScaleSheetLayoutView="115" workbookViewId="0">
      <selection activeCell="B31" sqref="B31:I3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92"/>
      <c r="C1" s="92"/>
      <c r="D1" s="192" t="s">
        <v>0</v>
      </c>
      <c r="E1" s="192"/>
      <c r="F1" s="192"/>
      <c r="G1" s="192"/>
      <c r="H1" s="92"/>
      <c r="I1" s="92"/>
      <c r="J1" s="92"/>
      <c r="K1" s="92"/>
      <c r="L1" s="92"/>
      <c r="M1" s="92"/>
      <c r="N1" s="92"/>
      <c r="O1" s="92"/>
      <c r="P1" s="92"/>
    </row>
    <row r="2" spans="2:16">
      <c r="B2" s="92"/>
      <c r="C2" s="92"/>
      <c r="D2" s="192"/>
      <c r="E2" s="192"/>
      <c r="F2" s="192"/>
      <c r="G2" s="192"/>
      <c r="H2" s="92"/>
      <c r="I2" s="92"/>
      <c r="J2" s="92"/>
      <c r="K2" s="92"/>
      <c r="L2" s="92"/>
      <c r="M2" s="92"/>
      <c r="N2" s="92" t="s">
        <v>1</v>
      </c>
      <c r="O2" s="92"/>
      <c r="P2" s="100"/>
    </row>
    <row r="3" spans="2:16">
      <c r="B3" s="92"/>
      <c r="C3" s="92"/>
      <c r="D3" s="192"/>
      <c r="E3" s="192"/>
      <c r="F3" s="192"/>
      <c r="G3" s="192"/>
      <c r="H3" s="92"/>
      <c r="I3" s="92"/>
      <c r="J3" s="92"/>
      <c r="K3" s="92"/>
      <c r="L3" s="92"/>
      <c r="M3" s="92"/>
      <c r="N3" s="100"/>
      <c r="O3" s="92"/>
      <c r="P3" s="92"/>
    </row>
    <row r="4" spans="2:16">
      <c r="B4" s="92"/>
      <c r="C4" s="92"/>
      <c r="D4" s="192"/>
      <c r="E4" s="192"/>
      <c r="F4" s="192"/>
      <c r="G4" s="192"/>
      <c r="H4" s="92"/>
      <c r="I4" s="92"/>
      <c r="J4" s="92"/>
      <c r="K4" s="92"/>
      <c r="L4" s="92"/>
      <c r="M4" s="92"/>
      <c r="N4" s="92"/>
      <c r="O4" s="92"/>
      <c r="P4" s="92"/>
    </row>
    <row r="5" spans="2:16">
      <c r="B5" s="92"/>
      <c r="C5" s="92"/>
      <c r="D5" s="192"/>
      <c r="E5" s="192"/>
      <c r="F5" s="192"/>
      <c r="G5" s="192"/>
      <c r="H5" s="92"/>
      <c r="I5" s="92"/>
      <c r="J5" s="92"/>
      <c r="K5" s="92"/>
      <c r="L5" s="92"/>
      <c r="M5" s="92"/>
      <c r="N5" s="92"/>
      <c r="O5" s="92"/>
      <c r="P5" s="92"/>
    </row>
    <row r="6" spans="2:16">
      <c r="B6" s="92"/>
      <c r="C6" s="92"/>
      <c r="D6" s="192"/>
      <c r="E6" s="192"/>
      <c r="F6" s="192"/>
      <c r="G6" s="192"/>
      <c r="H6" s="92"/>
      <c r="I6" s="92"/>
      <c r="J6" s="92"/>
      <c r="K6" s="92"/>
      <c r="L6" s="92"/>
      <c r="M6" s="92"/>
      <c r="N6" s="92"/>
      <c r="O6" s="92"/>
      <c r="P6" s="92"/>
    </row>
    <row r="8" spans="2:16" ht="15.75" customHeight="1">
      <c r="B8" s="192" t="s">
        <v>2</v>
      </c>
      <c r="C8" s="192"/>
      <c r="D8" s="192"/>
      <c r="E8" s="192"/>
      <c r="F8" s="192"/>
      <c r="G8" s="192"/>
      <c r="H8" s="192"/>
      <c r="I8" s="192"/>
      <c r="J8" s="92"/>
      <c r="K8" s="92"/>
      <c r="L8" s="92"/>
      <c r="M8" s="92"/>
      <c r="N8" s="70"/>
      <c r="O8" s="92"/>
      <c r="P8" s="92"/>
    </row>
    <row r="9" spans="2:16">
      <c r="B9" s="192"/>
      <c r="C9" s="192"/>
      <c r="D9" s="192"/>
      <c r="E9" s="192"/>
      <c r="F9" s="192"/>
      <c r="G9" s="192"/>
      <c r="H9" s="192"/>
      <c r="I9" s="192"/>
      <c r="J9" s="92"/>
      <c r="K9" s="92"/>
      <c r="L9" s="92"/>
      <c r="M9" s="92"/>
      <c r="N9" s="92"/>
      <c r="O9" s="92"/>
      <c r="P9" s="92"/>
    </row>
    <row r="10" spans="2:16">
      <c r="B10" s="192"/>
      <c r="C10" s="192"/>
      <c r="D10" s="192"/>
      <c r="E10" s="192"/>
      <c r="F10" s="192"/>
      <c r="G10" s="192"/>
      <c r="H10" s="192"/>
      <c r="I10" s="192"/>
      <c r="J10" s="92"/>
      <c r="K10" s="92"/>
      <c r="L10" s="92"/>
      <c r="M10" s="92"/>
      <c r="N10" s="92"/>
      <c r="O10" s="92"/>
      <c r="P10" s="92"/>
    </row>
    <row r="11" spans="2:16">
      <c r="B11" s="192"/>
      <c r="C11" s="192"/>
      <c r="D11" s="192"/>
      <c r="E11" s="192"/>
      <c r="F11" s="192"/>
      <c r="G11" s="192"/>
      <c r="H11" s="192"/>
      <c r="I11" s="192"/>
      <c r="J11" s="92"/>
      <c r="K11" s="92"/>
      <c r="L11" s="92"/>
      <c r="M11" s="92"/>
      <c r="N11" s="92"/>
      <c r="O11" s="92"/>
      <c r="P11" s="92"/>
    </row>
    <row r="12" spans="2:16">
      <c r="B12" s="192"/>
      <c r="C12" s="192"/>
      <c r="D12" s="192"/>
      <c r="E12" s="192"/>
      <c r="F12" s="192"/>
      <c r="G12" s="192"/>
      <c r="H12" s="192"/>
      <c r="I12" s="192"/>
      <c r="J12" s="92"/>
      <c r="K12" s="92"/>
      <c r="L12" s="92"/>
      <c r="M12" s="92"/>
      <c r="N12" s="92"/>
      <c r="O12" s="92"/>
      <c r="P12" s="92"/>
    </row>
    <row r="13" spans="2:16" ht="15.6">
      <c r="B13" s="192"/>
      <c r="C13" s="192"/>
      <c r="D13" s="192"/>
      <c r="E13" s="192"/>
      <c r="F13" s="192"/>
      <c r="G13" s="192"/>
      <c r="H13" s="192"/>
      <c r="I13" s="192"/>
      <c r="J13" s="92"/>
      <c r="K13" s="92"/>
      <c r="L13" s="92"/>
      <c r="M13" s="92"/>
      <c r="N13" s="74" t="s">
        <v>3</v>
      </c>
      <c r="O13" s="72"/>
      <c r="P13" s="72"/>
    </row>
    <row r="14" spans="2:16" ht="15.6" customHeight="1">
      <c r="B14" s="192"/>
      <c r="C14" s="192"/>
      <c r="D14" s="192"/>
      <c r="E14" s="192"/>
      <c r="F14" s="192"/>
      <c r="G14" s="192"/>
      <c r="H14" s="192"/>
      <c r="I14" s="192"/>
      <c r="J14" s="92"/>
      <c r="K14" s="92"/>
      <c r="L14" s="92"/>
      <c r="M14" s="92"/>
      <c r="N14" s="191" t="s">
        <v>4</v>
      </c>
      <c r="O14" s="191"/>
      <c r="P14" s="191"/>
    </row>
    <row r="15" spans="2:16">
      <c r="B15" s="192"/>
      <c r="C15" s="192"/>
      <c r="D15" s="192"/>
      <c r="E15" s="192"/>
      <c r="F15" s="192"/>
      <c r="G15" s="192"/>
      <c r="H15" s="192"/>
      <c r="I15" s="192"/>
      <c r="J15" s="92"/>
      <c r="K15" s="92"/>
      <c r="L15" s="92"/>
      <c r="M15" s="92"/>
      <c r="N15" s="191"/>
      <c r="O15" s="191"/>
      <c r="P15" s="191"/>
    </row>
    <row r="16" spans="2:16">
      <c r="B16" s="192"/>
      <c r="C16" s="192"/>
      <c r="D16" s="192"/>
      <c r="E16" s="192"/>
      <c r="F16" s="192"/>
      <c r="G16" s="192"/>
      <c r="H16" s="192"/>
      <c r="I16" s="192"/>
      <c r="J16" s="92"/>
      <c r="K16" s="92"/>
      <c r="L16" s="92"/>
      <c r="M16" s="92"/>
      <c r="N16" s="191"/>
      <c r="O16" s="191"/>
      <c r="P16" s="191"/>
    </row>
    <row r="17" spans="2:16">
      <c r="B17" s="192"/>
      <c r="C17" s="192"/>
      <c r="D17" s="192"/>
      <c r="E17" s="192"/>
      <c r="F17" s="192"/>
      <c r="G17" s="192"/>
      <c r="H17" s="192"/>
      <c r="I17" s="192"/>
      <c r="J17" s="92"/>
      <c r="K17" s="92"/>
      <c r="L17" s="92"/>
      <c r="M17" s="92"/>
      <c r="N17" s="191"/>
      <c r="O17" s="191"/>
      <c r="P17" s="191"/>
    </row>
    <row r="18" spans="2:16">
      <c r="B18" s="192"/>
      <c r="C18" s="192"/>
      <c r="D18" s="192"/>
      <c r="E18" s="192"/>
      <c r="F18" s="192"/>
      <c r="G18" s="192"/>
      <c r="H18" s="192"/>
      <c r="I18" s="192"/>
      <c r="J18" s="92"/>
      <c r="K18" s="92"/>
      <c r="L18" s="92"/>
      <c r="M18" s="92"/>
      <c r="N18" s="191"/>
      <c r="O18" s="191"/>
      <c r="P18" s="191"/>
    </row>
    <row r="19" spans="2:16">
      <c r="B19" s="192"/>
      <c r="C19" s="192"/>
      <c r="D19" s="192"/>
      <c r="E19" s="192"/>
      <c r="F19" s="192"/>
      <c r="G19" s="192"/>
      <c r="H19" s="192"/>
      <c r="I19" s="192"/>
      <c r="J19" s="92"/>
      <c r="K19" s="92"/>
      <c r="L19" s="92"/>
      <c r="M19" s="92"/>
      <c r="N19" s="191"/>
      <c r="O19" s="191"/>
      <c r="P19" s="191"/>
    </row>
    <row r="20" spans="2:16">
      <c r="B20" s="192"/>
      <c r="C20" s="192"/>
      <c r="D20" s="192"/>
      <c r="E20" s="192"/>
      <c r="F20" s="192"/>
      <c r="G20" s="192"/>
      <c r="H20" s="192"/>
      <c r="I20" s="192"/>
      <c r="J20" s="92"/>
      <c r="K20" s="92"/>
      <c r="L20" s="92"/>
      <c r="M20" s="92"/>
      <c r="N20" s="92"/>
      <c r="O20" s="92"/>
      <c r="P20" s="92"/>
    </row>
    <row r="21" spans="2:16">
      <c r="B21" s="192"/>
      <c r="C21" s="192"/>
      <c r="D21" s="192"/>
      <c r="E21" s="192"/>
      <c r="F21" s="192"/>
      <c r="G21" s="192"/>
      <c r="H21" s="192"/>
      <c r="I21" s="192"/>
      <c r="J21" s="92"/>
      <c r="K21" s="92"/>
      <c r="L21" s="92"/>
      <c r="M21" s="92"/>
      <c r="N21" s="92"/>
      <c r="O21" s="92"/>
      <c r="P21" s="92"/>
    </row>
    <row r="22" spans="2:16">
      <c r="B22" s="192"/>
      <c r="C22" s="192"/>
      <c r="D22" s="192"/>
      <c r="E22" s="192"/>
      <c r="F22" s="192"/>
      <c r="G22" s="192"/>
      <c r="H22" s="192"/>
      <c r="I22" s="192"/>
      <c r="J22" s="92"/>
      <c r="K22" s="92"/>
      <c r="L22" s="92"/>
      <c r="M22" s="92"/>
      <c r="N22" s="92"/>
      <c r="O22" s="92"/>
      <c r="P22" s="92"/>
    </row>
    <row r="23" spans="2:16">
      <c r="B23" s="192"/>
      <c r="C23" s="192"/>
      <c r="D23" s="192"/>
      <c r="E23" s="192"/>
      <c r="F23" s="192"/>
      <c r="G23" s="192"/>
      <c r="H23" s="192"/>
      <c r="I23" s="192"/>
      <c r="J23" s="92"/>
      <c r="K23" s="92"/>
      <c r="L23" s="92"/>
      <c r="M23" s="92"/>
      <c r="N23" s="92"/>
      <c r="O23" s="92"/>
      <c r="P23" s="92"/>
    </row>
    <row r="24" spans="2:16">
      <c r="B24" s="192"/>
      <c r="C24" s="192"/>
      <c r="D24" s="192"/>
      <c r="E24" s="192"/>
      <c r="F24" s="192"/>
      <c r="G24" s="192"/>
      <c r="H24" s="192"/>
      <c r="I24" s="192"/>
      <c r="J24" s="92"/>
      <c r="K24" s="92"/>
      <c r="L24" s="92"/>
      <c r="M24" s="92"/>
      <c r="N24" s="92"/>
      <c r="O24" s="92"/>
      <c r="P24" s="92"/>
    </row>
    <row r="29" spans="2:16" ht="17.45">
      <c r="B29" s="189" t="s">
        <v>5</v>
      </c>
      <c r="C29" s="189"/>
      <c r="D29" s="189"/>
      <c r="E29" s="189"/>
      <c r="F29" s="189"/>
      <c r="G29" s="189"/>
      <c r="H29" s="189"/>
      <c r="I29" s="189"/>
      <c r="J29" s="92"/>
      <c r="K29" s="92"/>
      <c r="L29" s="92"/>
      <c r="M29" s="92"/>
      <c r="N29" s="92"/>
      <c r="O29" s="92"/>
      <c r="P29" s="92"/>
    </row>
    <row r="30" spans="2:16" ht="17.45">
      <c r="B30" s="92"/>
      <c r="C30" s="7"/>
      <c r="D30" s="8"/>
      <c r="E30" s="8"/>
      <c r="F30" s="8"/>
      <c r="G30" s="8"/>
      <c r="H30" s="8"/>
      <c r="I30" s="8"/>
      <c r="J30" s="92"/>
      <c r="K30" s="92"/>
      <c r="L30" s="92"/>
      <c r="M30" s="92"/>
      <c r="N30" s="92"/>
      <c r="O30" s="92"/>
      <c r="P30" s="92"/>
    </row>
    <row r="31" spans="2:16" ht="17.45">
      <c r="B31" s="189" t="s">
        <v>6</v>
      </c>
      <c r="C31" s="189"/>
      <c r="D31" s="189"/>
      <c r="E31" s="189"/>
      <c r="F31" s="189"/>
      <c r="G31" s="189"/>
      <c r="H31" s="189"/>
      <c r="I31" s="189"/>
      <c r="J31" s="92"/>
      <c r="K31" s="92"/>
      <c r="L31" s="92"/>
      <c r="M31" s="92"/>
      <c r="N31" s="92"/>
      <c r="O31" s="92"/>
      <c r="P31" s="92"/>
    </row>
    <row r="32" spans="2:16" ht="17.45">
      <c r="B32" s="92"/>
      <c r="C32" s="7"/>
      <c r="D32" s="8"/>
      <c r="E32" s="8"/>
      <c r="F32" s="8"/>
      <c r="G32" s="8"/>
      <c r="H32" s="8"/>
      <c r="I32" s="8"/>
      <c r="J32" s="92"/>
      <c r="K32" s="92"/>
      <c r="L32" s="92"/>
      <c r="M32" s="92"/>
      <c r="N32" s="92"/>
      <c r="O32" s="92"/>
      <c r="P32" s="92"/>
    </row>
    <row r="33" spans="2:9" ht="17.45">
      <c r="B33" s="189" t="s">
        <v>7</v>
      </c>
      <c r="C33" s="189"/>
      <c r="D33" s="189"/>
      <c r="E33" s="189"/>
      <c r="F33" s="189"/>
      <c r="G33" s="189"/>
      <c r="H33" s="189"/>
      <c r="I33" s="189"/>
    </row>
    <row r="34" spans="2:9" ht="17.45">
      <c r="B34" s="92"/>
      <c r="C34" s="7"/>
      <c r="D34" s="8"/>
      <c r="E34" s="8"/>
      <c r="F34" s="8"/>
      <c r="G34" s="8"/>
      <c r="H34" s="8"/>
      <c r="I34" s="8"/>
    </row>
    <row r="35" spans="2:9" ht="17.45">
      <c r="B35" s="189"/>
      <c r="C35" s="189"/>
      <c r="D35" s="189"/>
      <c r="E35" s="189"/>
      <c r="F35" s="189"/>
      <c r="G35" s="189"/>
      <c r="H35" s="189"/>
      <c r="I35" s="189"/>
    </row>
    <row r="37" spans="2:9" ht="17.45">
      <c r="B37" s="189" t="s">
        <v>8</v>
      </c>
      <c r="C37" s="189"/>
      <c r="D37" s="189"/>
      <c r="E37" s="189"/>
      <c r="F37" s="189"/>
      <c r="G37" s="189"/>
      <c r="H37" s="189"/>
      <c r="I37" s="189"/>
    </row>
    <row r="39" spans="2:9">
      <c r="B39" s="92" t="s">
        <v>9</v>
      </c>
      <c r="C39" s="185">
        <v>2022</v>
      </c>
      <c r="D39" s="101"/>
      <c r="E39" s="101"/>
      <c r="F39" s="101"/>
      <c r="G39" s="101"/>
      <c r="H39" s="101"/>
      <c r="I39" s="101"/>
    </row>
    <row r="40" spans="2:9" ht="14.25" customHeight="1">
      <c r="B40" s="92"/>
      <c r="C40" s="101"/>
      <c r="D40" s="101"/>
      <c r="E40" s="101"/>
      <c r="F40" s="101"/>
      <c r="G40" s="101"/>
      <c r="H40" s="101"/>
      <c r="I40" s="101"/>
    </row>
    <row r="41" spans="2:9">
      <c r="B41" s="101" t="s">
        <v>10</v>
      </c>
      <c r="C41" s="187" t="s">
        <v>11</v>
      </c>
      <c r="D41" s="187"/>
      <c r="E41" s="187"/>
      <c r="F41" s="187"/>
      <c r="G41" s="187"/>
      <c r="H41" s="187"/>
      <c r="I41" s="187"/>
    </row>
    <row r="42" spans="2:9">
      <c r="B42" s="101"/>
      <c r="C42" s="101"/>
      <c r="D42" s="101"/>
      <c r="E42" s="101"/>
      <c r="F42" s="101"/>
      <c r="G42" s="101"/>
      <c r="H42" s="101"/>
      <c r="I42" s="101"/>
    </row>
    <row r="43" spans="2:9">
      <c r="B43" s="101" t="s">
        <v>12</v>
      </c>
      <c r="C43" s="187" t="s">
        <v>13</v>
      </c>
      <c r="D43" s="187"/>
      <c r="E43" s="187"/>
      <c r="F43" s="101"/>
      <c r="G43" s="101"/>
      <c r="H43" s="101"/>
      <c r="I43" s="101"/>
    </row>
    <row r="44" spans="2:9">
      <c r="B44" s="101"/>
      <c r="C44" s="101"/>
      <c r="D44" s="101"/>
      <c r="E44" s="101"/>
      <c r="F44" s="101"/>
      <c r="G44" s="101"/>
      <c r="H44" s="101"/>
      <c r="I44" s="101"/>
    </row>
    <row r="45" spans="2:9" ht="15.6">
      <c r="B45" s="101" t="s">
        <v>14</v>
      </c>
      <c r="C45" s="190" t="s">
        <v>15</v>
      </c>
      <c r="D45" s="187"/>
      <c r="E45" s="187"/>
      <c r="F45" s="101"/>
      <c r="G45" s="101"/>
      <c r="H45" s="101"/>
      <c r="I45" s="101"/>
    </row>
    <row r="46" spans="2:9">
      <c r="B46" s="101"/>
      <c r="C46" s="92"/>
      <c r="D46" s="92"/>
      <c r="E46" s="92"/>
      <c r="F46" s="92"/>
      <c r="G46" s="92"/>
      <c r="H46" s="92"/>
      <c r="I46" s="92"/>
    </row>
    <row r="47" spans="2:9">
      <c r="B47" s="101" t="s">
        <v>16</v>
      </c>
      <c r="C47" s="187" t="s">
        <v>17</v>
      </c>
      <c r="D47" s="187"/>
      <c r="E47" s="92"/>
      <c r="F47" s="92" t="s">
        <v>18</v>
      </c>
      <c r="G47" s="187" t="s">
        <v>19</v>
      </c>
      <c r="H47" s="187"/>
      <c r="I47" s="187"/>
    </row>
    <row r="48" spans="2:9">
      <c r="B48" s="101"/>
      <c r="C48" s="185" t="s">
        <v>20</v>
      </c>
      <c r="D48" s="185"/>
      <c r="E48" s="92"/>
      <c r="F48" s="92"/>
      <c r="G48" s="185" t="s">
        <v>21</v>
      </c>
      <c r="H48" s="185"/>
      <c r="I48" s="185"/>
    </row>
    <row r="49" spans="2:9">
      <c r="B49" s="101"/>
      <c r="C49" s="101"/>
      <c r="D49" s="101"/>
      <c r="E49" s="92"/>
      <c r="F49" s="92"/>
      <c r="G49" s="101"/>
      <c r="H49" s="101"/>
      <c r="I49" s="101"/>
    </row>
    <row r="50" spans="2:9">
      <c r="B50" s="101" t="s">
        <v>22</v>
      </c>
      <c r="C50" s="187" t="s">
        <v>23</v>
      </c>
      <c r="D50" s="187"/>
      <c r="E50" s="92"/>
      <c r="F50" s="92" t="s">
        <v>18</v>
      </c>
      <c r="G50" s="187" t="s">
        <v>24</v>
      </c>
      <c r="H50" s="187"/>
      <c r="I50" s="187"/>
    </row>
    <row r="51" spans="2:9">
      <c r="B51" s="101"/>
      <c r="C51" s="101"/>
      <c r="D51" s="101"/>
      <c r="E51" s="92"/>
      <c r="F51" s="92"/>
      <c r="G51" s="92"/>
      <c r="H51" s="92"/>
      <c r="I51" s="92"/>
    </row>
    <row r="52" spans="2:9">
      <c r="B52" s="101" t="s">
        <v>25</v>
      </c>
      <c r="C52" s="185">
        <v>1</v>
      </c>
      <c r="D52" s="101"/>
      <c r="E52" s="92"/>
      <c r="F52" s="92"/>
      <c r="G52" s="92"/>
      <c r="H52" s="92"/>
      <c r="I52" s="92"/>
    </row>
    <row r="53" spans="2:9">
      <c r="B53" s="101"/>
      <c r="C53" s="101"/>
      <c r="D53" s="101"/>
      <c r="E53" s="92"/>
      <c r="F53" s="92"/>
      <c r="G53" s="92"/>
      <c r="H53" s="92"/>
      <c r="I53" s="92"/>
    </row>
    <row r="54" spans="2:9">
      <c r="B54" s="101" t="s">
        <v>26</v>
      </c>
      <c r="C54" s="188">
        <v>44951</v>
      </c>
      <c r="D54" s="187"/>
      <c r="E54" s="92"/>
      <c r="F54" s="92"/>
      <c r="G54" s="92"/>
      <c r="H54" s="92"/>
      <c r="I54" s="92"/>
    </row>
  </sheetData>
  <mergeCells count="16">
    <mergeCell ref="N14:P19"/>
    <mergeCell ref="B35:I35"/>
    <mergeCell ref="D1:G6"/>
    <mergeCell ref="B8:I24"/>
    <mergeCell ref="B29:I29"/>
    <mergeCell ref="B31:I31"/>
    <mergeCell ref="B33:I33"/>
    <mergeCell ref="C50:D50"/>
    <mergeCell ref="G50:I50"/>
    <mergeCell ref="C54:D54"/>
    <mergeCell ref="B37:I37"/>
    <mergeCell ref="C41:I41"/>
    <mergeCell ref="C43:E43"/>
    <mergeCell ref="C45:E45"/>
    <mergeCell ref="C47:D47"/>
    <mergeCell ref="G47:I47"/>
  </mergeCells>
  <hyperlinks>
    <hyperlink ref="C45" r:id="rId1" xr:uid="{78C64080-C48A-4F27-8014-F023336AD298}"/>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view="pageBreakPreview" zoomScale="115" zoomScaleNormal="100" zoomScaleSheetLayoutView="115" workbookViewId="0">
      <selection activeCell="B32" sqref="B32:G32"/>
    </sheetView>
  </sheetViews>
  <sheetFormatPr defaultColWidth="9.28515625" defaultRowHeight="15"/>
  <cols>
    <col min="1" max="1" width="9.28515625" style="2" customWidth="1"/>
    <col min="2" max="2" width="14.5703125" style="2" bestFit="1" customWidth="1"/>
    <col min="3" max="7" width="9.28515625" style="2"/>
    <col min="8" max="8" width="10.140625" style="2" bestFit="1" customWidth="1"/>
    <col min="9" max="9" width="9.28515625" style="2"/>
    <col min="10" max="10" width="11.5703125" style="2" customWidth="1"/>
    <col min="11" max="16384" width="9.28515625" style="2"/>
  </cols>
  <sheetData>
    <row r="1" spans="1:15">
      <c r="A1" s="92" t="str">
        <f>+'Cover Page'!$B$29</f>
        <v>Annual Performance Report 2022</v>
      </c>
      <c r="B1" s="92"/>
      <c r="C1" s="92"/>
      <c r="D1" s="92"/>
      <c r="E1" s="92" t="str">
        <f>+'Cover Page'!$B$33</f>
        <v>Charlton Lane Eco Park</v>
      </c>
      <c r="F1" s="92"/>
      <c r="G1" s="92"/>
      <c r="H1" s="92"/>
      <c r="I1" s="92"/>
      <c r="J1" s="92"/>
      <c r="K1" s="92"/>
      <c r="L1" s="92"/>
      <c r="M1" s="92"/>
      <c r="N1" s="92"/>
      <c r="O1" s="92"/>
    </row>
    <row r="3" spans="1:15" ht="15.6">
      <c r="A3" s="52" t="s">
        <v>27</v>
      </c>
      <c r="B3" s="102"/>
      <c r="C3" s="102"/>
      <c r="D3" s="102"/>
      <c r="E3" s="102"/>
      <c r="F3" s="102"/>
      <c r="G3" s="102"/>
      <c r="H3" s="103"/>
      <c r="I3" s="92"/>
      <c r="J3" s="92"/>
      <c r="K3" s="74" t="s">
        <v>3</v>
      </c>
      <c r="L3" s="92"/>
      <c r="M3" s="92"/>
      <c r="N3" s="92"/>
      <c r="O3" s="92"/>
    </row>
    <row r="4" spans="1:15" ht="15.6">
      <c r="A4" s="5" t="s">
        <v>28</v>
      </c>
      <c r="B4" s="211" t="s">
        <v>29</v>
      </c>
      <c r="C4" s="211"/>
      <c r="D4" s="211"/>
      <c r="E4" s="211"/>
      <c r="F4" s="211"/>
      <c r="G4" s="211"/>
      <c r="H4" s="6" t="s">
        <v>30</v>
      </c>
      <c r="I4" s="92"/>
      <c r="J4" s="92"/>
      <c r="K4" s="72" t="s">
        <v>31</v>
      </c>
      <c r="L4" s="92"/>
      <c r="M4" s="92"/>
      <c r="N4" s="92"/>
      <c r="O4" s="92"/>
    </row>
    <row r="5" spans="1:15" ht="15.6" customHeight="1">
      <c r="A5" s="4"/>
      <c r="B5" s="210" t="s">
        <v>32</v>
      </c>
      <c r="C5" s="210"/>
      <c r="D5" s="210"/>
      <c r="E5" s="210"/>
      <c r="F5" s="210"/>
      <c r="G5" s="210"/>
      <c r="H5" s="4"/>
      <c r="I5" s="92"/>
      <c r="J5" s="92"/>
      <c r="K5" s="191" t="s">
        <v>33</v>
      </c>
      <c r="L5" s="191"/>
      <c r="M5" s="191"/>
      <c r="N5" s="191"/>
      <c r="O5" s="191"/>
    </row>
    <row r="6" spans="1:15">
      <c r="A6" s="4"/>
      <c r="B6" s="210" t="s">
        <v>34</v>
      </c>
      <c r="C6" s="210"/>
      <c r="D6" s="210"/>
      <c r="E6" s="210"/>
      <c r="F6" s="210"/>
      <c r="G6" s="210"/>
      <c r="H6" s="4"/>
      <c r="I6" s="92"/>
      <c r="J6" s="92"/>
      <c r="K6" s="191"/>
      <c r="L6" s="191"/>
      <c r="M6" s="191"/>
      <c r="N6" s="191"/>
      <c r="O6" s="191"/>
    </row>
    <row r="7" spans="1:15" ht="15.75" customHeight="1">
      <c r="A7" s="4"/>
      <c r="B7" s="210" t="s">
        <v>35</v>
      </c>
      <c r="C7" s="210"/>
      <c r="D7" s="210"/>
      <c r="E7" s="210"/>
      <c r="F7" s="210"/>
      <c r="G7" s="210"/>
      <c r="H7" s="4"/>
      <c r="I7" s="92"/>
      <c r="J7" s="92"/>
      <c r="K7" s="191"/>
      <c r="L7" s="191"/>
      <c r="M7" s="191"/>
      <c r="N7" s="191"/>
      <c r="O7" s="191"/>
    </row>
    <row r="8" spans="1:15">
      <c r="A8" s="4"/>
      <c r="B8" s="210" t="s">
        <v>36</v>
      </c>
      <c r="C8" s="210"/>
      <c r="D8" s="210"/>
      <c r="E8" s="210"/>
      <c r="F8" s="210"/>
      <c r="G8" s="210"/>
      <c r="H8" s="4"/>
      <c r="I8" s="92"/>
      <c r="J8" s="92"/>
      <c r="K8" s="191"/>
      <c r="L8" s="191"/>
      <c r="M8" s="191"/>
      <c r="N8" s="191"/>
      <c r="O8" s="191"/>
    </row>
    <row r="9" spans="1:15">
      <c r="A9" s="4"/>
      <c r="B9" s="210" t="s">
        <v>37</v>
      </c>
      <c r="C9" s="210"/>
      <c r="D9" s="210"/>
      <c r="E9" s="210"/>
      <c r="F9" s="210"/>
      <c r="G9" s="210"/>
      <c r="H9" s="4"/>
      <c r="I9" s="92"/>
      <c r="J9" s="92"/>
      <c r="K9" s="92"/>
      <c r="L9" s="92"/>
      <c r="M9" s="92"/>
      <c r="N9" s="92"/>
      <c r="O9" s="92"/>
    </row>
    <row r="10" spans="1:15">
      <c r="A10" s="4"/>
      <c r="B10" s="210" t="s">
        <v>38</v>
      </c>
      <c r="C10" s="210"/>
      <c r="D10" s="210"/>
      <c r="E10" s="210"/>
      <c r="F10" s="210"/>
      <c r="G10" s="210"/>
      <c r="H10" s="4"/>
      <c r="I10" s="92"/>
      <c r="J10" s="92"/>
      <c r="K10" s="92"/>
      <c r="L10" s="92"/>
      <c r="M10" s="92"/>
      <c r="N10" s="92"/>
      <c r="O10" s="92"/>
    </row>
    <row r="11" spans="1:15">
      <c r="A11" s="4"/>
      <c r="B11" s="210" t="s">
        <v>39</v>
      </c>
      <c r="C11" s="210"/>
      <c r="D11" s="210"/>
      <c r="E11" s="210"/>
      <c r="F11" s="210"/>
      <c r="G11" s="210"/>
      <c r="H11" s="4"/>
      <c r="I11" s="92"/>
      <c r="J11" s="92"/>
      <c r="K11" s="92"/>
      <c r="L11" s="92"/>
      <c r="M11" s="92"/>
      <c r="N11" s="92"/>
      <c r="O11" s="92"/>
    </row>
    <row r="12" spans="1:15">
      <c r="A12" s="4"/>
      <c r="B12" s="210" t="s">
        <v>40</v>
      </c>
      <c r="C12" s="210"/>
      <c r="D12" s="210"/>
      <c r="E12" s="210"/>
      <c r="F12" s="210"/>
      <c r="G12" s="210"/>
      <c r="H12" s="4"/>
      <c r="I12" s="92"/>
      <c r="J12" s="92"/>
      <c r="K12" s="92"/>
      <c r="L12" s="92"/>
      <c r="M12" s="92"/>
      <c r="N12" s="92"/>
      <c r="O12" s="92"/>
    </row>
    <row r="13" spans="1:15">
      <c r="A13" s="4"/>
      <c r="B13" s="210" t="s">
        <v>41</v>
      </c>
      <c r="C13" s="210"/>
      <c r="D13" s="210"/>
      <c r="E13" s="210"/>
      <c r="F13" s="210"/>
      <c r="G13" s="210"/>
      <c r="H13" s="4"/>
      <c r="I13" s="92"/>
      <c r="J13" s="92"/>
      <c r="K13" s="92"/>
      <c r="L13" s="92"/>
      <c r="M13" s="92"/>
      <c r="N13" s="92"/>
      <c r="O13" s="92"/>
    </row>
    <row r="14" spans="1:15">
      <c r="A14" s="4"/>
      <c r="B14" s="210" t="s">
        <v>42</v>
      </c>
      <c r="C14" s="210"/>
      <c r="D14" s="210"/>
      <c r="E14" s="210"/>
      <c r="F14" s="210"/>
      <c r="G14" s="210"/>
      <c r="H14" s="4"/>
      <c r="I14" s="92"/>
      <c r="J14" s="92"/>
      <c r="K14" s="92"/>
      <c r="L14" s="92"/>
      <c r="M14" s="92"/>
      <c r="N14" s="92"/>
      <c r="O14" s="92"/>
    </row>
    <row r="15" spans="1:15">
      <c r="A15" s="4"/>
      <c r="B15" s="210" t="s">
        <v>43</v>
      </c>
      <c r="C15" s="210"/>
      <c r="D15" s="210"/>
      <c r="E15" s="210"/>
      <c r="F15" s="210"/>
      <c r="G15" s="210"/>
      <c r="H15" s="4"/>
      <c r="I15" s="92"/>
      <c r="J15" s="92"/>
      <c r="K15" s="92"/>
      <c r="L15" s="92"/>
      <c r="M15" s="92"/>
      <c r="N15" s="92"/>
      <c r="O15" s="92"/>
    </row>
    <row r="16" spans="1:15">
      <c r="A16" s="4"/>
      <c r="B16" s="210" t="s">
        <v>44</v>
      </c>
      <c r="C16" s="210"/>
      <c r="D16" s="210"/>
      <c r="E16" s="210"/>
      <c r="F16" s="210"/>
      <c r="G16" s="210"/>
      <c r="H16" s="4"/>
      <c r="I16" s="92"/>
      <c r="J16" s="92"/>
      <c r="K16" s="92"/>
      <c r="L16" s="92"/>
      <c r="M16" s="92"/>
      <c r="N16" s="92"/>
      <c r="O16" s="92"/>
    </row>
    <row r="17" spans="1:8">
      <c r="A17" s="4"/>
      <c r="B17" s="210" t="s">
        <v>45</v>
      </c>
      <c r="C17" s="210"/>
      <c r="D17" s="210"/>
      <c r="E17" s="210"/>
      <c r="F17" s="210"/>
      <c r="G17" s="210"/>
      <c r="H17" s="4"/>
    </row>
    <row r="18" spans="1:8">
      <c r="A18" s="4"/>
      <c r="B18" s="210" t="s">
        <v>46</v>
      </c>
      <c r="C18" s="210"/>
      <c r="D18" s="210"/>
      <c r="E18" s="210"/>
      <c r="F18" s="210"/>
      <c r="G18" s="210"/>
      <c r="H18" s="4"/>
    </row>
    <row r="19" spans="1:8">
      <c r="A19" s="4"/>
      <c r="B19" s="210" t="s">
        <v>47</v>
      </c>
      <c r="C19" s="210"/>
      <c r="D19" s="210"/>
      <c r="E19" s="210"/>
      <c r="F19" s="210"/>
      <c r="G19" s="210"/>
      <c r="H19" s="4"/>
    </row>
    <row r="20" spans="1:8">
      <c r="A20" s="4"/>
      <c r="B20" s="210" t="s">
        <v>48</v>
      </c>
      <c r="C20" s="210"/>
      <c r="D20" s="210"/>
      <c r="E20" s="210"/>
      <c r="F20" s="210"/>
      <c r="G20" s="210"/>
      <c r="H20" s="4"/>
    </row>
    <row r="21" spans="1:8">
      <c r="A21" s="4"/>
      <c r="B21" s="210" t="s">
        <v>49</v>
      </c>
      <c r="C21" s="210"/>
      <c r="D21" s="210"/>
      <c r="E21" s="210"/>
      <c r="F21" s="210"/>
      <c r="G21" s="210"/>
      <c r="H21" s="4"/>
    </row>
    <row r="22" spans="1:8">
      <c r="A22" s="4"/>
      <c r="B22" s="210" t="s">
        <v>50</v>
      </c>
      <c r="C22" s="210"/>
      <c r="D22" s="210"/>
      <c r="E22" s="210"/>
      <c r="F22" s="210"/>
      <c r="G22" s="210"/>
      <c r="H22" s="4"/>
    </row>
    <row r="23" spans="1:8">
      <c r="A23" s="4"/>
      <c r="B23" s="203" t="s">
        <v>51</v>
      </c>
      <c r="C23" s="204"/>
      <c r="D23" s="204"/>
      <c r="E23" s="204"/>
      <c r="F23" s="204"/>
      <c r="G23" s="205"/>
      <c r="H23" s="4"/>
    </row>
    <row r="24" spans="1:8">
      <c r="A24" s="4"/>
      <c r="B24" s="203" t="s">
        <v>52</v>
      </c>
      <c r="C24" s="204"/>
      <c r="D24" s="204"/>
      <c r="E24" s="204"/>
      <c r="F24" s="204"/>
      <c r="G24" s="205"/>
      <c r="H24" s="4"/>
    </row>
    <row r="25" spans="1:8">
      <c r="A25" s="4"/>
      <c r="B25" s="206"/>
      <c r="C25" s="206"/>
      <c r="D25" s="206"/>
      <c r="E25" s="206"/>
      <c r="F25" s="206"/>
      <c r="G25" s="206"/>
      <c r="H25" s="4"/>
    </row>
    <row r="27" spans="1:8">
      <c r="A27" s="51" t="s">
        <v>53</v>
      </c>
      <c r="B27" s="102"/>
      <c r="C27" s="102"/>
      <c r="D27" s="102"/>
      <c r="E27" s="102"/>
      <c r="F27" s="102"/>
      <c r="G27" s="102"/>
      <c r="H27" s="103"/>
    </row>
    <row r="28" spans="1:8">
      <c r="A28" s="10" t="s">
        <v>28</v>
      </c>
      <c r="B28" s="207" t="s">
        <v>54</v>
      </c>
      <c r="C28" s="207"/>
      <c r="D28" s="207"/>
      <c r="E28" s="207"/>
      <c r="F28" s="207"/>
      <c r="G28" s="207"/>
      <c r="H28" s="11" t="s">
        <v>55</v>
      </c>
    </row>
    <row r="29" spans="1:8">
      <c r="A29" s="104">
        <v>1</v>
      </c>
      <c r="B29" s="208" t="s">
        <v>56</v>
      </c>
      <c r="C29" s="208"/>
      <c r="D29" s="208"/>
      <c r="E29" s="208"/>
      <c r="F29" s="208"/>
      <c r="G29" s="208"/>
      <c r="H29" s="179">
        <v>44951</v>
      </c>
    </row>
    <row r="30" spans="1:8">
      <c r="A30" s="104"/>
      <c r="B30" s="208"/>
      <c r="C30" s="208"/>
      <c r="D30" s="208"/>
      <c r="E30" s="208"/>
      <c r="F30" s="208"/>
      <c r="G30" s="208"/>
      <c r="H30" s="104"/>
    </row>
    <row r="31" spans="1:8">
      <c r="A31" s="104"/>
      <c r="B31" s="208"/>
      <c r="C31" s="208"/>
      <c r="D31" s="208"/>
      <c r="E31" s="208"/>
      <c r="F31" s="208"/>
      <c r="G31" s="208"/>
      <c r="H31" s="104"/>
    </row>
    <row r="32" spans="1:8">
      <c r="A32" s="104"/>
      <c r="B32" s="208"/>
      <c r="C32" s="208"/>
      <c r="D32" s="208"/>
      <c r="E32" s="208"/>
      <c r="F32" s="208"/>
      <c r="G32" s="208"/>
      <c r="H32" s="104"/>
    </row>
    <row r="33" spans="1:10">
      <c r="A33" s="104"/>
      <c r="B33" s="208"/>
      <c r="C33" s="208"/>
      <c r="D33" s="208"/>
      <c r="E33" s="208"/>
      <c r="F33" s="208"/>
      <c r="G33" s="208"/>
      <c r="H33" s="104"/>
      <c r="I33" s="92"/>
      <c r="J33" s="92"/>
    </row>
    <row r="35" spans="1:10" ht="14.25" customHeight="1">
      <c r="A35" s="51" t="s">
        <v>57</v>
      </c>
      <c r="B35" s="102"/>
      <c r="C35" s="102"/>
      <c r="D35" s="102"/>
      <c r="E35" s="102"/>
      <c r="F35" s="102"/>
      <c r="G35" s="102"/>
      <c r="H35" s="103"/>
      <c r="I35" s="92"/>
      <c r="J35" s="92"/>
    </row>
    <row r="36" spans="1:10">
      <c r="A36" s="13" t="s">
        <v>58</v>
      </c>
      <c r="B36" s="209" t="s">
        <v>59</v>
      </c>
      <c r="C36" s="209"/>
      <c r="D36" s="209"/>
      <c r="E36" s="209"/>
      <c r="F36" s="209"/>
      <c r="G36" s="209"/>
      <c r="H36" s="14" t="s">
        <v>60</v>
      </c>
      <c r="I36" s="92"/>
      <c r="J36" s="92"/>
    </row>
    <row r="37" spans="1:10">
      <c r="A37" s="106"/>
      <c r="B37" s="202"/>
      <c r="C37" s="202"/>
      <c r="D37" s="202"/>
      <c r="E37" s="202"/>
      <c r="F37" s="202"/>
      <c r="G37" s="202"/>
      <c r="H37" s="106"/>
      <c r="I37" s="92"/>
      <c r="J37" s="92"/>
    </row>
    <row r="38" spans="1:10">
      <c r="A38" s="106"/>
      <c r="B38" s="202"/>
      <c r="C38" s="202"/>
      <c r="D38" s="202"/>
      <c r="E38" s="202"/>
      <c r="F38" s="202"/>
      <c r="G38" s="202"/>
      <c r="H38" s="106"/>
      <c r="I38" s="92"/>
      <c r="J38" s="92"/>
    </row>
    <row r="39" spans="1:10">
      <c r="A39" s="106"/>
      <c r="B39" s="202"/>
      <c r="C39" s="202"/>
      <c r="D39" s="202"/>
      <c r="E39" s="202"/>
      <c r="F39" s="202"/>
      <c r="G39" s="202"/>
      <c r="H39" s="106"/>
      <c r="I39" s="92"/>
      <c r="J39" s="92"/>
    </row>
    <row r="40" spans="1:10">
      <c r="A40" s="106"/>
      <c r="B40" s="202"/>
      <c r="C40" s="202"/>
      <c r="D40" s="202"/>
      <c r="E40" s="202"/>
      <c r="F40" s="202"/>
      <c r="G40" s="202"/>
      <c r="H40" s="106"/>
      <c r="I40" s="92"/>
      <c r="J40" s="92"/>
    </row>
    <row r="41" spans="1:10">
      <c r="A41" s="106"/>
      <c r="B41" s="202"/>
      <c r="C41" s="202"/>
      <c r="D41" s="202"/>
      <c r="E41" s="202"/>
      <c r="F41" s="202"/>
      <c r="G41" s="202"/>
      <c r="H41" s="106"/>
      <c r="I41" s="92"/>
      <c r="J41" s="92"/>
    </row>
    <row r="42" spans="1:10">
      <c r="A42" s="106"/>
      <c r="B42" s="202"/>
      <c r="C42" s="202"/>
      <c r="D42" s="202"/>
      <c r="E42" s="202"/>
      <c r="F42" s="202"/>
      <c r="G42" s="202"/>
      <c r="H42" s="106"/>
      <c r="I42" s="92"/>
      <c r="J42" s="92"/>
    </row>
    <row r="43" spans="1:10">
      <c r="A43" s="106"/>
      <c r="B43" s="202"/>
      <c r="C43" s="202"/>
      <c r="D43" s="202"/>
      <c r="E43" s="202"/>
      <c r="F43" s="202"/>
      <c r="G43" s="202"/>
      <c r="H43" s="106"/>
      <c r="I43" s="92"/>
      <c r="J43" s="92"/>
    </row>
    <row r="45" spans="1:10">
      <c r="A45" s="193" t="s">
        <v>61</v>
      </c>
      <c r="B45" s="194"/>
      <c r="C45" s="194"/>
      <c r="D45" s="194"/>
      <c r="E45" s="194"/>
      <c r="F45" s="194"/>
      <c r="G45" s="194"/>
      <c r="H45" s="194"/>
      <c r="I45" s="194"/>
      <c r="J45" s="195"/>
    </row>
    <row r="46" spans="1:10">
      <c r="A46" s="196"/>
      <c r="B46" s="197"/>
      <c r="C46" s="197"/>
      <c r="D46" s="197"/>
      <c r="E46" s="197"/>
      <c r="F46" s="197"/>
      <c r="G46" s="197"/>
      <c r="H46" s="197"/>
      <c r="I46" s="197"/>
      <c r="J46" s="198"/>
    </row>
    <row r="47" spans="1:10">
      <c r="A47" s="196"/>
      <c r="B47" s="197"/>
      <c r="C47" s="197"/>
      <c r="D47" s="197"/>
      <c r="E47" s="197"/>
      <c r="F47" s="197"/>
      <c r="G47" s="197"/>
      <c r="H47" s="197"/>
      <c r="I47" s="197"/>
      <c r="J47" s="198"/>
    </row>
    <row r="48" spans="1:10">
      <c r="A48" s="199"/>
      <c r="B48" s="200"/>
      <c r="C48" s="200"/>
      <c r="D48" s="200"/>
      <c r="E48" s="200"/>
      <c r="F48" s="200"/>
      <c r="G48" s="200"/>
      <c r="H48" s="200"/>
      <c r="I48" s="200"/>
      <c r="J48" s="201"/>
    </row>
    <row r="66" spans="6:6">
      <c r="F66" s="3"/>
    </row>
  </sheetData>
  <mergeCells count="38">
    <mergeCell ref="K5:O8"/>
    <mergeCell ref="B9:G9"/>
    <mergeCell ref="B4:G4"/>
    <mergeCell ref="B5:G5"/>
    <mergeCell ref="B6:G6"/>
    <mergeCell ref="B7:G7"/>
    <mergeCell ref="B8:G8"/>
    <mergeCell ref="B22:G22"/>
    <mergeCell ref="B10:G10"/>
    <mergeCell ref="B11:G11"/>
    <mergeCell ref="B12:G12"/>
    <mergeCell ref="B13:G13"/>
    <mergeCell ref="B15:G15"/>
    <mergeCell ref="B16:G16"/>
    <mergeCell ref="B17:G17"/>
    <mergeCell ref="B18:G18"/>
    <mergeCell ref="B19:G19"/>
    <mergeCell ref="B20:G20"/>
    <mergeCell ref="B21:G21"/>
    <mergeCell ref="B14:G14"/>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view="pageBreakPreview" zoomScale="115" zoomScaleNormal="100" zoomScaleSheetLayoutView="115" workbookViewId="0">
      <selection activeCell="P9" sqref="P9"/>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Charlton Lane Eco Park</v>
      </c>
      <c r="F1" s="92"/>
      <c r="G1" s="92"/>
      <c r="H1" s="92"/>
      <c r="I1" s="92"/>
      <c r="J1" s="92"/>
      <c r="K1" s="92"/>
      <c r="L1" s="92"/>
      <c r="M1" s="92"/>
      <c r="N1" s="92"/>
    </row>
    <row r="3" spans="1:14" ht="15.6">
      <c r="A3" s="50" t="s">
        <v>62</v>
      </c>
      <c r="B3" s="107"/>
      <c r="C3" s="107"/>
      <c r="D3" s="107"/>
      <c r="E3" s="107"/>
      <c r="F3" s="107"/>
      <c r="G3" s="107"/>
      <c r="H3" s="107"/>
      <c r="I3" s="108"/>
      <c r="J3" s="92"/>
      <c r="K3" s="80" t="s">
        <v>3</v>
      </c>
      <c r="L3" s="92"/>
      <c r="M3" s="92"/>
      <c r="N3" s="92"/>
    </row>
    <row r="4" spans="1:14">
      <c r="A4" s="109"/>
      <c r="B4" s="110"/>
      <c r="C4" s="110"/>
      <c r="D4" s="110"/>
      <c r="E4" s="110"/>
      <c r="F4" s="110"/>
      <c r="G4" s="110"/>
      <c r="H4" s="110"/>
      <c r="I4" s="111"/>
      <c r="J4" s="92"/>
      <c r="K4" s="92"/>
      <c r="L4" s="92"/>
      <c r="M4" s="92"/>
      <c r="N4" s="92"/>
    </row>
    <row r="5" spans="1:14" ht="15.75" customHeight="1">
      <c r="A5" s="212" t="s">
        <v>63</v>
      </c>
      <c r="B5" s="213"/>
      <c r="C5" s="213"/>
      <c r="D5" s="213"/>
      <c r="E5" s="213"/>
      <c r="F5" s="213"/>
      <c r="G5" s="213"/>
      <c r="H5" s="213"/>
      <c r="I5" s="214"/>
      <c r="J5" s="92"/>
      <c r="K5" s="229" t="s">
        <v>64</v>
      </c>
      <c r="L5" s="229"/>
      <c r="M5" s="229"/>
      <c r="N5" s="229"/>
    </row>
    <row r="6" spans="1:14">
      <c r="A6" s="215"/>
      <c r="B6" s="216"/>
      <c r="C6" s="216"/>
      <c r="D6" s="216"/>
      <c r="E6" s="216"/>
      <c r="F6" s="216"/>
      <c r="G6" s="216"/>
      <c r="H6" s="216"/>
      <c r="I6" s="217"/>
      <c r="J6" s="92"/>
      <c r="K6" s="229"/>
      <c r="L6" s="229"/>
      <c r="M6" s="229"/>
      <c r="N6" s="229"/>
    </row>
    <row r="7" spans="1:14">
      <c r="A7" s="215"/>
      <c r="B7" s="216"/>
      <c r="C7" s="216"/>
      <c r="D7" s="216"/>
      <c r="E7" s="216"/>
      <c r="F7" s="216"/>
      <c r="G7" s="216"/>
      <c r="H7" s="216"/>
      <c r="I7" s="217"/>
      <c r="J7" s="92"/>
      <c r="K7" s="229"/>
      <c r="L7" s="229"/>
      <c r="M7" s="229"/>
      <c r="N7" s="229"/>
    </row>
    <row r="8" spans="1:14" ht="15.75" customHeight="1">
      <c r="A8" s="215"/>
      <c r="B8" s="216"/>
      <c r="C8" s="216"/>
      <c r="D8" s="216"/>
      <c r="E8" s="216"/>
      <c r="F8" s="216"/>
      <c r="G8" s="216"/>
      <c r="H8" s="216"/>
      <c r="I8" s="217"/>
      <c r="J8" s="92"/>
      <c r="K8" s="229"/>
      <c r="L8" s="229"/>
      <c r="M8" s="229"/>
      <c r="N8" s="229"/>
    </row>
    <row r="9" spans="1:14">
      <c r="A9" s="215"/>
      <c r="B9" s="216"/>
      <c r="C9" s="216"/>
      <c r="D9" s="216"/>
      <c r="E9" s="216"/>
      <c r="F9" s="216"/>
      <c r="G9" s="216"/>
      <c r="H9" s="216"/>
      <c r="I9" s="217"/>
      <c r="J9" s="92"/>
      <c r="K9" s="229"/>
      <c r="L9" s="229"/>
      <c r="M9" s="229"/>
      <c r="N9" s="229"/>
    </row>
    <row r="10" spans="1:14">
      <c r="A10" s="215"/>
      <c r="B10" s="216"/>
      <c r="C10" s="216"/>
      <c r="D10" s="216"/>
      <c r="E10" s="216"/>
      <c r="F10" s="216"/>
      <c r="G10" s="216"/>
      <c r="H10" s="216"/>
      <c r="I10" s="217"/>
      <c r="J10" s="92"/>
      <c r="K10" s="229"/>
      <c r="L10" s="229"/>
      <c r="M10" s="229"/>
      <c r="N10" s="229"/>
    </row>
    <row r="11" spans="1:14">
      <c r="A11" s="215"/>
      <c r="B11" s="216"/>
      <c r="C11" s="216"/>
      <c r="D11" s="216"/>
      <c r="E11" s="216"/>
      <c r="F11" s="216"/>
      <c r="G11" s="216"/>
      <c r="H11" s="216"/>
      <c r="I11" s="217"/>
      <c r="J11" s="92"/>
      <c r="K11" s="229"/>
      <c r="L11" s="229"/>
      <c r="M11" s="229"/>
      <c r="N11" s="229"/>
    </row>
    <row r="12" spans="1:14">
      <c r="A12" s="215"/>
      <c r="B12" s="216"/>
      <c r="C12" s="216"/>
      <c r="D12" s="216"/>
      <c r="E12" s="216"/>
      <c r="F12" s="216"/>
      <c r="G12" s="216"/>
      <c r="H12" s="216"/>
      <c r="I12" s="217"/>
      <c r="J12" s="92"/>
      <c r="K12" s="229"/>
      <c r="L12" s="229"/>
      <c r="M12" s="229"/>
      <c r="N12" s="229"/>
    </row>
    <row r="13" spans="1:14">
      <c r="A13" s="215"/>
      <c r="B13" s="216"/>
      <c r="C13" s="216"/>
      <c r="D13" s="216"/>
      <c r="E13" s="216"/>
      <c r="F13" s="216"/>
      <c r="G13" s="216"/>
      <c r="H13" s="216"/>
      <c r="I13" s="217"/>
      <c r="J13" s="92"/>
      <c r="K13" s="229"/>
      <c r="L13" s="229"/>
      <c r="M13" s="229"/>
      <c r="N13" s="229"/>
    </row>
    <row r="14" spans="1:14">
      <c r="A14" s="215"/>
      <c r="B14" s="216"/>
      <c r="C14" s="216"/>
      <c r="D14" s="216"/>
      <c r="E14" s="216"/>
      <c r="F14" s="216"/>
      <c r="G14" s="216"/>
      <c r="H14" s="216"/>
      <c r="I14" s="217"/>
      <c r="J14" s="92"/>
      <c r="K14" s="229"/>
      <c r="L14" s="229"/>
      <c r="M14" s="229"/>
      <c r="N14" s="229"/>
    </row>
    <row r="15" spans="1:14">
      <c r="A15" s="215"/>
      <c r="B15" s="216"/>
      <c r="C15" s="216"/>
      <c r="D15" s="216"/>
      <c r="E15" s="216"/>
      <c r="F15" s="216"/>
      <c r="G15" s="216"/>
      <c r="H15" s="216"/>
      <c r="I15" s="217"/>
      <c r="J15" s="92"/>
      <c r="K15" s="92"/>
      <c r="L15" s="92"/>
      <c r="M15" s="92"/>
      <c r="N15" s="92"/>
    </row>
    <row r="16" spans="1:14">
      <c r="A16" s="215"/>
      <c r="B16" s="216"/>
      <c r="C16" s="216"/>
      <c r="D16" s="216"/>
      <c r="E16" s="216"/>
      <c r="F16" s="216"/>
      <c r="G16" s="216"/>
      <c r="H16" s="216"/>
      <c r="I16" s="217"/>
      <c r="J16" s="92"/>
      <c r="K16" s="92"/>
      <c r="L16" s="92"/>
      <c r="M16" s="92"/>
      <c r="N16" s="92"/>
    </row>
    <row r="17" spans="1:14">
      <c r="A17" s="215"/>
      <c r="B17" s="216"/>
      <c r="C17" s="216"/>
      <c r="D17" s="216"/>
      <c r="E17" s="216"/>
      <c r="F17" s="216"/>
      <c r="G17" s="216"/>
      <c r="H17" s="216"/>
      <c r="I17" s="217"/>
      <c r="J17" s="92"/>
      <c r="K17" s="92"/>
      <c r="L17" s="92"/>
      <c r="M17" s="92"/>
      <c r="N17" s="92"/>
    </row>
    <row r="18" spans="1:14">
      <c r="A18" s="218"/>
      <c r="B18" s="219"/>
      <c r="C18" s="219"/>
      <c r="D18" s="219"/>
      <c r="E18" s="219"/>
      <c r="F18" s="219"/>
      <c r="G18" s="219"/>
      <c r="H18" s="219"/>
      <c r="I18" s="220"/>
      <c r="J18" s="92"/>
      <c r="K18" s="92"/>
      <c r="L18" s="92"/>
      <c r="M18" s="92"/>
      <c r="N18" s="92"/>
    </row>
    <row r="20" spans="1:14">
      <c r="A20" s="50" t="s">
        <v>65</v>
      </c>
      <c r="B20" s="107"/>
      <c r="C20" s="107"/>
      <c r="D20" s="107"/>
      <c r="E20" s="107"/>
      <c r="F20" s="107"/>
      <c r="G20" s="107"/>
      <c r="H20" s="107"/>
      <c r="I20" s="108"/>
      <c r="J20" s="92"/>
      <c r="K20" s="92"/>
      <c r="L20" s="92"/>
      <c r="M20" s="92"/>
      <c r="N20" s="92"/>
    </row>
    <row r="21" spans="1:14">
      <c r="A21" s="109"/>
      <c r="B21" s="110"/>
      <c r="C21" s="110"/>
      <c r="D21" s="110"/>
      <c r="E21" s="110"/>
      <c r="F21" s="110"/>
      <c r="G21" s="110"/>
      <c r="H21" s="110"/>
      <c r="I21" s="111"/>
      <c r="J21" s="92"/>
      <c r="K21" s="92"/>
      <c r="L21" s="92"/>
      <c r="M21" s="92"/>
      <c r="N21" s="92"/>
    </row>
    <row r="22" spans="1:14">
      <c r="A22" s="212" t="s">
        <v>66</v>
      </c>
      <c r="B22" s="221"/>
      <c r="C22" s="221"/>
      <c r="D22" s="221"/>
      <c r="E22" s="221"/>
      <c r="F22" s="221"/>
      <c r="G22" s="221"/>
      <c r="H22" s="221"/>
      <c r="I22" s="222"/>
      <c r="J22" s="92"/>
      <c r="K22" s="229" t="s">
        <v>67</v>
      </c>
      <c r="L22" s="229"/>
      <c r="M22" s="229"/>
      <c r="N22" s="229"/>
    </row>
    <row r="23" spans="1:14">
      <c r="A23" s="223"/>
      <c r="B23" s="224"/>
      <c r="C23" s="224"/>
      <c r="D23" s="224"/>
      <c r="E23" s="224"/>
      <c r="F23" s="224"/>
      <c r="G23" s="224"/>
      <c r="H23" s="224"/>
      <c r="I23" s="225"/>
      <c r="J23" s="92"/>
      <c r="K23" s="229"/>
      <c r="L23" s="229"/>
      <c r="M23" s="229"/>
      <c r="N23" s="229"/>
    </row>
    <row r="24" spans="1:14">
      <c r="A24" s="223"/>
      <c r="B24" s="224"/>
      <c r="C24" s="224"/>
      <c r="D24" s="224"/>
      <c r="E24" s="224"/>
      <c r="F24" s="224"/>
      <c r="G24" s="224"/>
      <c r="H24" s="224"/>
      <c r="I24" s="225"/>
      <c r="J24" s="92"/>
      <c r="K24" s="229"/>
      <c r="L24" s="229"/>
      <c r="M24" s="229"/>
      <c r="N24" s="229"/>
    </row>
    <row r="25" spans="1:14">
      <c r="A25" s="223"/>
      <c r="B25" s="224"/>
      <c r="C25" s="224"/>
      <c r="D25" s="224"/>
      <c r="E25" s="224"/>
      <c r="F25" s="224"/>
      <c r="G25" s="224"/>
      <c r="H25" s="224"/>
      <c r="I25" s="225"/>
      <c r="J25" s="92"/>
      <c r="K25" s="229"/>
      <c r="L25" s="229"/>
      <c r="M25" s="229"/>
      <c r="N25" s="229"/>
    </row>
    <row r="26" spans="1:14">
      <c r="A26" s="223"/>
      <c r="B26" s="224"/>
      <c r="C26" s="224"/>
      <c r="D26" s="224"/>
      <c r="E26" s="224"/>
      <c r="F26" s="224"/>
      <c r="G26" s="224"/>
      <c r="H26" s="224"/>
      <c r="I26" s="225"/>
      <c r="J26" s="92"/>
      <c r="K26" s="229"/>
      <c r="L26" s="229"/>
      <c r="M26" s="229"/>
      <c r="N26" s="229"/>
    </row>
    <row r="27" spans="1:14">
      <c r="A27" s="223"/>
      <c r="B27" s="224"/>
      <c r="C27" s="224"/>
      <c r="D27" s="224"/>
      <c r="E27" s="224"/>
      <c r="F27" s="224"/>
      <c r="G27" s="224"/>
      <c r="H27" s="224"/>
      <c r="I27" s="225"/>
      <c r="J27" s="92"/>
      <c r="K27" s="229"/>
      <c r="L27" s="229"/>
      <c r="M27" s="229"/>
      <c r="N27" s="229"/>
    </row>
    <row r="28" spans="1:14">
      <c r="A28" s="223"/>
      <c r="B28" s="224"/>
      <c r="C28" s="224"/>
      <c r="D28" s="224"/>
      <c r="E28" s="224"/>
      <c r="F28" s="224"/>
      <c r="G28" s="224"/>
      <c r="H28" s="224"/>
      <c r="I28" s="225"/>
      <c r="J28" s="92"/>
      <c r="K28" s="229"/>
      <c r="L28" s="229"/>
      <c r="M28" s="229"/>
      <c r="N28" s="229"/>
    </row>
    <row r="29" spans="1:14">
      <c r="A29" s="223"/>
      <c r="B29" s="224"/>
      <c r="C29" s="224"/>
      <c r="D29" s="224"/>
      <c r="E29" s="224"/>
      <c r="F29" s="224"/>
      <c r="G29" s="224"/>
      <c r="H29" s="224"/>
      <c r="I29" s="225"/>
      <c r="J29" s="92"/>
      <c r="K29" s="229"/>
      <c r="L29" s="229"/>
      <c r="M29" s="229"/>
      <c r="N29" s="229"/>
    </row>
    <row r="30" spans="1:14">
      <c r="A30" s="223"/>
      <c r="B30" s="224"/>
      <c r="C30" s="224"/>
      <c r="D30" s="224"/>
      <c r="E30" s="224"/>
      <c r="F30" s="224"/>
      <c r="G30" s="224"/>
      <c r="H30" s="224"/>
      <c r="I30" s="225"/>
      <c r="J30" s="92"/>
      <c r="K30" s="229"/>
      <c r="L30" s="229"/>
      <c r="M30" s="229"/>
      <c r="N30" s="229"/>
    </row>
    <row r="31" spans="1:14">
      <c r="A31" s="223"/>
      <c r="B31" s="224"/>
      <c r="C31" s="224"/>
      <c r="D31" s="224"/>
      <c r="E31" s="224"/>
      <c r="F31" s="224"/>
      <c r="G31" s="224"/>
      <c r="H31" s="224"/>
      <c r="I31" s="225"/>
      <c r="J31" s="92"/>
      <c r="K31" s="229"/>
      <c r="L31" s="229"/>
      <c r="M31" s="229"/>
      <c r="N31" s="229"/>
    </row>
    <row r="32" spans="1:14">
      <c r="A32" s="223"/>
      <c r="B32" s="224"/>
      <c r="C32" s="224"/>
      <c r="D32" s="224"/>
      <c r="E32" s="224"/>
      <c r="F32" s="224"/>
      <c r="G32" s="224"/>
      <c r="H32" s="224"/>
      <c r="I32" s="225"/>
      <c r="J32" s="92"/>
      <c r="K32" s="92"/>
      <c r="L32" s="92"/>
      <c r="M32" s="92"/>
      <c r="N32" s="92"/>
    </row>
    <row r="33" spans="1:9">
      <c r="A33" s="223"/>
      <c r="B33" s="224"/>
      <c r="C33" s="224"/>
      <c r="D33" s="224"/>
      <c r="E33" s="224"/>
      <c r="F33" s="224"/>
      <c r="G33" s="224"/>
      <c r="H33" s="224"/>
      <c r="I33" s="225"/>
    </row>
    <row r="34" spans="1:9">
      <c r="A34" s="223"/>
      <c r="B34" s="224"/>
      <c r="C34" s="224"/>
      <c r="D34" s="224"/>
      <c r="E34" s="224"/>
      <c r="F34" s="224"/>
      <c r="G34" s="224"/>
      <c r="H34" s="224"/>
      <c r="I34" s="225"/>
    </row>
    <row r="35" spans="1:9">
      <c r="A35" s="223"/>
      <c r="B35" s="224"/>
      <c r="C35" s="224"/>
      <c r="D35" s="224"/>
      <c r="E35" s="224"/>
      <c r="F35" s="224"/>
      <c r="G35" s="224"/>
      <c r="H35" s="224"/>
      <c r="I35" s="225"/>
    </row>
    <row r="36" spans="1:9">
      <c r="A36" s="223"/>
      <c r="B36" s="224"/>
      <c r="C36" s="224"/>
      <c r="D36" s="224"/>
      <c r="E36" s="224"/>
      <c r="F36" s="224"/>
      <c r="G36" s="224"/>
      <c r="H36" s="224"/>
      <c r="I36" s="225"/>
    </row>
    <row r="37" spans="1:9">
      <c r="A37" s="223"/>
      <c r="B37" s="224"/>
      <c r="C37" s="224"/>
      <c r="D37" s="224"/>
      <c r="E37" s="224"/>
      <c r="F37" s="224"/>
      <c r="G37" s="224"/>
      <c r="H37" s="224"/>
      <c r="I37" s="225"/>
    </row>
    <row r="38" spans="1:9">
      <c r="A38" s="223"/>
      <c r="B38" s="224"/>
      <c r="C38" s="224"/>
      <c r="D38" s="224"/>
      <c r="E38" s="224"/>
      <c r="F38" s="224"/>
      <c r="G38" s="224"/>
      <c r="H38" s="224"/>
      <c r="I38" s="225"/>
    </row>
    <row r="39" spans="1:9">
      <c r="A39" s="223"/>
      <c r="B39" s="224"/>
      <c r="C39" s="224"/>
      <c r="D39" s="224"/>
      <c r="E39" s="224"/>
      <c r="F39" s="224"/>
      <c r="G39" s="224"/>
      <c r="H39" s="224"/>
      <c r="I39" s="225"/>
    </row>
    <row r="40" spans="1:9" ht="14.25" customHeight="1">
      <c r="A40" s="223"/>
      <c r="B40" s="224"/>
      <c r="C40" s="224"/>
      <c r="D40" s="224"/>
      <c r="E40" s="224"/>
      <c r="F40" s="224"/>
      <c r="G40" s="224"/>
      <c r="H40" s="224"/>
      <c r="I40" s="225"/>
    </row>
    <row r="41" spans="1:9">
      <c r="A41" s="223"/>
      <c r="B41" s="224"/>
      <c r="C41" s="224"/>
      <c r="D41" s="224"/>
      <c r="E41" s="224"/>
      <c r="F41" s="224"/>
      <c r="G41" s="224"/>
      <c r="H41" s="224"/>
      <c r="I41" s="225"/>
    </row>
    <row r="42" spans="1:9">
      <c r="A42" s="223"/>
      <c r="B42" s="224"/>
      <c r="C42" s="224"/>
      <c r="D42" s="224"/>
      <c r="E42" s="224"/>
      <c r="F42" s="224"/>
      <c r="G42" s="224"/>
      <c r="H42" s="224"/>
      <c r="I42" s="225"/>
    </row>
    <row r="43" spans="1:9">
      <c r="A43" s="223"/>
      <c r="B43" s="224"/>
      <c r="C43" s="224"/>
      <c r="D43" s="224"/>
      <c r="E43" s="224"/>
      <c r="F43" s="224"/>
      <c r="G43" s="224"/>
      <c r="H43" s="224"/>
      <c r="I43" s="225"/>
    </row>
    <row r="44" spans="1:9">
      <c r="A44" s="223"/>
      <c r="B44" s="224"/>
      <c r="C44" s="224"/>
      <c r="D44" s="224"/>
      <c r="E44" s="224"/>
      <c r="F44" s="224"/>
      <c r="G44" s="224"/>
      <c r="H44" s="224"/>
      <c r="I44" s="225"/>
    </row>
    <row r="45" spans="1:9">
      <c r="A45" s="223"/>
      <c r="B45" s="224"/>
      <c r="C45" s="224"/>
      <c r="D45" s="224"/>
      <c r="E45" s="224"/>
      <c r="F45" s="224"/>
      <c r="G45" s="224"/>
      <c r="H45" s="224"/>
      <c r="I45" s="225"/>
    </row>
    <row r="46" spans="1:9">
      <c r="A46" s="223"/>
      <c r="B46" s="224"/>
      <c r="C46" s="224"/>
      <c r="D46" s="224"/>
      <c r="E46" s="224"/>
      <c r="F46" s="224"/>
      <c r="G46" s="224"/>
      <c r="H46" s="224"/>
      <c r="I46" s="225"/>
    </row>
    <row r="47" spans="1:9">
      <c r="A47" s="223"/>
      <c r="B47" s="224"/>
      <c r="C47" s="224"/>
      <c r="D47" s="224"/>
      <c r="E47" s="224"/>
      <c r="F47" s="224"/>
      <c r="G47" s="224"/>
      <c r="H47" s="224"/>
      <c r="I47" s="225"/>
    </row>
    <row r="48" spans="1:9">
      <c r="A48" s="223"/>
      <c r="B48" s="224"/>
      <c r="C48" s="224"/>
      <c r="D48" s="224"/>
      <c r="E48" s="224"/>
      <c r="F48" s="224"/>
      <c r="G48" s="224"/>
      <c r="H48" s="224"/>
      <c r="I48" s="225"/>
    </row>
    <row r="49" spans="1:9">
      <c r="A49" s="223"/>
      <c r="B49" s="224"/>
      <c r="C49" s="224"/>
      <c r="D49" s="224"/>
      <c r="E49" s="224"/>
      <c r="F49" s="224"/>
      <c r="G49" s="224"/>
      <c r="H49" s="224"/>
      <c r="I49" s="225"/>
    </row>
    <row r="50" spans="1:9">
      <c r="A50" s="223"/>
      <c r="B50" s="224"/>
      <c r="C50" s="224"/>
      <c r="D50" s="224"/>
      <c r="E50" s="224"/>
      <c r="F50" s="224"/>
      <c r="G50" s="224"/>
      <c r="H50" s="224"/>
      <c r="I50" s="225"/>
    </row>
    <row r="51" spans="1:9">
      <c r="A51" s="223"/>
      <c r="B51" s="224"/>
      <c r="C51" s="224"/>
      <c r="D51" s="224"/>
      <c r="E51" s="224"/>
      <c r="F51" s="224"/>
      <c r="G51" s="224"/>
      <c r="H51" s="224"/>
      <c r="I51" s="225"/>
    </row>
    <row r="52" spans="1:9">
      <c r="A52" s="223"/>
      <c r="B52" s="224"/>
      <c r="C52" s="224"/>
      <c r="D52" s="224"/>
      <c r="E52" s="224"/>
      <c r="F52" s="224"/>
      <c r="G52" s="224"/>
      <c r="H52" s="224"/>
      <c r="I52" s="225"/>
    </row>
    <row r="53" spans="1:9">
      <c r="A53" s="223"/>
      <c r="B53" s="224"/>
      <c r="C53" s="224"/>
      <c r="D53" s="224"/>
      <c r="E53" s="224"/>
      <c r="F53" s="224"/>
      <c r="G53" s="224"/>
      <c r="H53" s="224"/>
      <c r="I53" s="225"/>
    </row>
    <row r="54" spans="1:9">
      <c r="A54" s="226"/>
      <c r="B54" s="227"/>
      <c r="C54" s="227"/>
      <c r="D54" s="227"/>
      <c r="E54" s="227"/>
      <c r="F54" s="227"/>
      <c r="G54" s="227"/>
      <c r="H54" s="227"/>
      <c r="I54" s="228"/>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view="pageBreakPreview" zoomScaleNormal="100" zoomScaleSheetLayoutView="100" workbookViewId="0">
      <selection activeCell="G42" sqref="G42"/>
    </sheetView>
  </sheetViews>
  <sheetFormatPr defaultColWidth="9.28515625" defaultRowHeight="15"/>
  <cols>
    <col min="1" max="1" width="28.42578125" style="2" customWidth="1"/>
    <col min="2" max="2" width="8.28515625" style="12" customWidth="1"/>
    <col min="3" max="3" width="10.28515625" style="12" bestFit="1" customWidth="1"/>
    <col min="4" max="4" width="10.7109375" style="12" customWidth="1"/>
    <col min="5" max="5" width="11.85546875" style="12" customWidth="1"/>
    <col min="6" max="6" width="10.5703125" style="12" customWidth="1"/>
    <col min="7" max="7" width="11.28515625" style="15" customWidth="1"/>
    <col min="8" max="8" width="11.5703125" style="16" customWidth="1"/>
    <col min="9" max="10" width="9.28515625" style="2"/>
    <col min="11" max="11" width="38.42578125" style="2" customWidth="1"/>
    <col min="12" max="16384" width="9.28515625" style="2"/>
  </cols>
  <sheetData>
    <row r="1" spans="1:11">
      <c r="A1" s="92" t="str">
        <f>+'Cover Page'!$B$29</f>
        <v>Annual Performance Report 2022</v>
      </c>
      <c r="B1" s="92"/>
      <c r="C1" s="92"/>
      <c r="D1" s="92"/>
      <c r="E1" s="92" t="str">
        <f>+'Cover Page'!$B$33</f>
        <v>Charlton Lane Eco Park</v>
      </c>
      <c r="F1" s="92"/>
      <c r="G1" s="92"/>
      <c r="H1" s="92"/>
      <c r="I1" s="92"/>
      <c r="J1" s="92"/>
      <c r="K1" s="92"/>
    </row>
    <row r="3" spans="1:11" ht="15.6">
      <c r="A3" s="1" t="s">
        <v>35</v>
      </c>
      <c r="B3" s="112"/>
      <c r="C3" s="112"/>
      <c r="D3" s="112"/>
      <c r="E3" s="112"/>
      <c r="F3" s="112"/>
      <c r="H3" s="113"/>
      <c r="I3" s="92"/>
      <c r="J3" s="92"/>
      <c r="K3" s="80" t="s">
        <v>3</v>
      </c>
    </row>
    <row r="4" spans="1:11">
      <c r="A4" s="18" t="s">
        <v>68</v>
      </c>
      <c r="B4" s="237">
        <v>55000</v>
      </c>
      <c r="C4" s="237"/>
      <c r="D4" s="19" t="s">
        <v>69</v>
      </c>
      <c r="E4" s="178"/>
      <c r="F4" s="19" t="s">
        <v>70</v>
      </c>
      <c r="G4" s="178">
        <v>3.9</v>
      </c>
      <c r="H4" s="69" t="s">
        <v>71</v>
      </c>
      <c r="I4" s="92"/>
      <c r="J4" s="92"/>
      <c r="K4" s="17" t="s">
        <v>72</v>
      </c>
    </row>
    <row r="5" spans="1:11">
      <c r="A5" s="20" t="s">
        <v>73</v>
      </c>
      <c r="B5" s="21">
        <v>1</v>
      </c>
      <c r="C5" s="22"/>
      <c r="D5" s="22" t="s">
        <v>74</v>
      </c>
      <c r="E5" s="22"/>
      <c r="F5" s="23">
        <v>1</v>
      </c>
      <c r="G5" s="24"/>
      <c r="H5" s="25"/>
      <c r="I5" s="92"/>
      <c r="J5" s="92"/>
      <c r="K5" s="17" t="s">
        <v>75</v>
      </c>
    </row>
    <row r="6" spans="1:11">
      <c r="A6" s="3"/>
      <c r="B6" s="112"/>
      <c r="C6" s="112"/>
      <c r="D6" s="112"/>
      <c r="E6" s="112"/>
      <c r="F6" s="112"/>
      <c r="H6" s="113"/>
      <c r="I6" s="92"/>
      <c r="J6" s="92"/>
      <c r="K6" s="232" t="s">
        <v>76</v>
      </c>
    </row>
    <row r="7" spans="1:11">
      <c r="A7" s="9" t="s">
        <v>77</v>
      </c>
      <c r="B7" s="114" t="s">
        <v>78</v>
      </c>
      <c r="C7" s="115" t="s">
        <v>79</v>
      </c>
      <c r="D7" s="115" t="s">
        <v>80</v>
      </c>
      <c r="E7" s="115" t="s">
        <v>81</v>
      </c>
      <c r="F7" s="115" t="s">
        <v>82</v>
      </c>
      <c r="G7" s="26" t="s">
        <v>83</v>
      </c>
      <c r="H7" s="116" t="s">
        <v>84</v>
      </c>
      <c r="I7" s="92"/>
      <c r="J7" s="92"/>
      <c r="K7" s="232"/>
    </row>
    <row r="8" spans="1:11" ht="15.75" customHeight="1">
      <c r="A8" s="117" t="s">
        <v>85</v>
      </c>
      <c r="B8" s="234" t="s">
        <v>86</v>
      </c>
      <c r="C8" s="118">
        <v>8838</v>
      </c>
      <c r="D8" s="118">
        <v>16401</v>
      </c>
      <c r="E8" s="118">
        <v>12752</v>
      </c>
      <c r="F8" s="118">
        <v>11183</v>
      </c>
      <c r="G8" s="27">
        <f>SUM(C8:F8)</f>
        <v>49174</v>
      </c>
      <c r="H8" s="119">
        <f t="shared" ref="H8:H15" si="0">IF(G8&gt;0,G8/$G$18,"-")</f>
        <v>0.97189501146335677</v>
      </c>
      <c r="I8" s="92"/>
      <c r="J8" s="92"/>
      <c r="K8" s="233" t="s">
        <v>87</v>
      </c>
    </row>
    <row r="9" spans="1:11">
      <c r="A9" s="120" t="s">
        <v>88</v>
      </c>
      <c r="B9" s="235"/>
      <c r="C9" s="121"/>
      <c r="D9" s="121"/>
      <c r="E9" s="121"/>
      <c r="F9" s="121"/>
      <c r="G9" s="88">
        <f t="shared" ref="G9:G15" si="1">SUM(C9:F9)</f>
        <v>0</v>
      </c>
      <c r="H9" s="99" t="str">
        <f t="shared" si="0"/>
        <v>-</v>
      </c>
      <c r="I9" s="92"/>
      <c r="J9" s="92"/>
      <c r="K9" s="233"/>
    </row>
    <row r="10" spans="1:11">
      <c r="A10" s="120" t="s">
        <v>89</v>
      </c>
      <c r="B10" s="235"/>
      <c r="C10" s="121"/>
      <c r="D10" s="121"/>
      <c r="E10" s="121"/>
      <c r="F10" s="121"/>
      <c r="G10" s="88">
        <f t="shared" si="1"/>
        <v>0</v>
      </c>
      <c r="H10" s="99" t="str">
        <f t="shared" si="0"/>
        <v>-</v>
      </c>
      <c r="I10" s="92"/>
      <c r="J10" s="92"/>
      <c r="K10" s="233"/>
    </row>
    <row r="11" spans="1:11">
      <c r="A11" s="120" t="s">
        <v>90</v>
      </c>
      <c r="B11" s="235"/>
      <c r="C11" s="121"/>
      <c r="D11" s="121"/>
      <c r="E11" s="121"/>
      <c r="F11" s="121"/>
      <c r="G11" s="88">
        <f t="shared" si="1"/>
        <v>0</v>
      </c>
      <c r="H11" s="99" t="str">
        <f t="shared" si="0"/>
        <v>-</v>
      </c>
      <c r="I11" s="92"/>
      <c r="J11" s="92"/>
      <c r="K11" s="233"/>
    </row>
    <row r="12" spans="1:11">
      <c r="A12" s="120" t="s">
        <v>91</v>
      </c>
      <c r="B12" s="235"/>
      <c r="C12" s="121"/>
      <c r="D12" s="121"/>
      <c r="E12" s="121"/>
      <c r="F12" s="121"/>
      <c r="G12" s="88">
        <f t="shared" si="1"/>
        <v>0</v>
      </c>
      <c r="H12" s="99" t="str">
        <f t="shared" si="0"/>
        <v>-</v>
      </c>
      <c r="I12" s="92"/>
      <c r="J12" s="92"/>
      <c r="K12" s="233"/>
    </row>
    <row r="13" spans="1:11">
      <c r="A13" s="120" t="s">
        <v>92</v>
      </c>
      <c r="B13" s="235"/>
      <c r="C13" s="121"/>
      <c r="D13" s="121"/>
      <c r="E13" s="121"/>
      <c r="F13" s="121"/>
      <c r="G13" s="88">
        <f t="shared" ref="G13" si="2">SUM(C13:F13)</f>
        <v>0</v>
      </c>
      <c r="H13" s="99" t="str">
        <f t="shared" si="0"/>
        <v>-</v>
      </c>
      <c r="I13" s="92"/>
      <c r="J13" s="92"/>
      <c r="K13" s="233"/>
    </row>
    <row r="14" spans="1:11">
      <c r="A14" s="120" t="s">
        <v>93</v>
      </c>
      <c r="B14" s="235"/>
      <c r="C14" s="121"/>
      <c r="D14" s="121"/>
      <c r="E14" s="121"/>
      <c r="F14" s="121"/>
      <c r="G14" s="88">
        <f t="shared" si="1"/>
        <v>0</v>
      </c>
      <c r="H14" s="99" t="str">
        <f t="shared" si="0"/>
        <v>-</v>
      </c>
      <c r="I14" s="92"/>
      <c r="J14" s="92"/>
      <c r="K14" s="233"/>
    </row>
    <row r="15" spans="1:11">
      <c r="A15" s="122" t="s">
        <v>94</v>
      </c>
      <c r="B15" s="235"/>
      <c r="C15" s="121">
        <v>445</v>
      </c>
      <c r="D15" s="121">
        <v>408</v>
      </c>
      <c r="E15" s="121">
        <v>359</v>
      </c>
      <c r="F15" s="121">
        <v>210</v>
      </c>
      <c r="G15" s="88">
        <f t="shared" si="1"/>
        <v>1422</v>
      </c>
      <c r="H15" s="99">
        <f t="shared" si="0"/>
        <v>2.8104988536643213E-2</v>
      </c>
      <c r="I15" s="92"/>
      <c r="J15" s="92"/>
      <c r="K15" s="233"/>
    </row>
    <row r="16" spans="1:11">
      <c r="A16" s="122" t="s">
        <v>95</v>
      </c>
      <c r="B16" s="235"/>
      <c r="C16" s="121"/>
      <c r="D16" s="121"/>
      <c r="E16" s="121"/>
      <c r="F16" s="121"/>
      <c r="G16" s="88"/>
      <c r="H16" s="99"/>
      <c r="I16" s="92"/>
      <c r="J16" s="92"/>
      <c r="K16" s="233"/>
    </row>
    <row r="17" spans="1:12">
      <c r="A17" s="122" t="s">
        <v>95</v>
      </c>
      <c r="B17" s="235"/>
      <c r="C17" s="121"/>
      <c r="D17" s="121"/>
      <c r="E17" s="121"/>
      <c r="F17" s="121"/>
      <c r="G17" s="88"/>
      <c r="H17" s="99"/>
      <c r="I17" s="92"/>
      <c r="J17" s="92"/>
      <c r="K17" s="233"/>
      <c r="L17" s="92"/>
    </row>
    <row r="18" spans="1:12">
      <c r="A18" s="90" t="s">
        <v>96</v>
      </c>
      <c r="B18" s="235"/>
      <c r="C18" s="88">
        <f>SUM(C8:C17)</f>
        <v>9283</v>
      </c>
      <c r="D18" s="88">
        <f>SUM(D8:D17)</f>
        <v>16809</v>
      </c>
      <c r="E18" s="88">
        <f>SUM(E8:E17)</f>
        <v>13111</v>
      </c>
      <c r="F18" s="88">
        <f>SUM(F8:F17)</f>
        <v>11393</v>
      </c>
      <c r="G18" s="88">
        <f>SUM(G8:G17)</f>
        <v>50596</v>
      </c>
      <c r="H18" s="123">
        <v>1</v>
      </c>
      <c r="I18" s="92"/>
      <c r="J18" s="92"/>
      <c r="K18" s="233"/>
      <c r="L18" s="92"/>
    </row>
    <row r="19" spans="1:12">
      <c r="A19" s="120" t="s">
        <v>97</v>
      </c>
      <c r="B19" s="235"/>
      <c r="C19" s="121">
        <f>1824-C36</f>
        <v>1587</v>
      </c>
      <c r="D19" s="121">
        <f>5528-D36</f>
        <v>5042</v>
      </c>
      <c r="E19" s="121">
        <f>3017-E36</f>
        <v>2689</v>
      </c>
      <c r="F19" s="121">
        <f>3461-F36</f>
        <v>3131</v>
      </c>
      <c r="G19" s="88">
        <f t="shared" ref="G19" si="3">SUM(C19:F19)</f>
        <v>12449</v>
      </c>
      <c r="H19" s="99">
        <f t="shared" ref="H19" si="4">IF(G19&gt;0,G19/$G$18,"-")</f>
        <v>0.24604711834927662</v>
      </c>
      <c r="I19" s="92"/>
      <c r="J19" s="92"/>
      <c r="K19" s="233"/>
      <c r="L19" s="92"/>
    </row>
    <row r="20" spans="1:12">
      <c r="A20" s="120" t="s">
        <v>98</v>
      </c>
      <c r="B20" s="235"/>
      <c r="C20" s="121">
        <v>4210</v>
      </c>
      <c r="D20" s="121">
        <v>1740</v>
      </c>
      <c r="E20" s="121">
        <v>4154</v>
      </c>
      <c r="F20" s="121">
        <v>1007</v>
      </c>
      <c r="G20" s="88">
        <f t="shared" ref="G20" si="5">SUM(C20:F20)</f>
        <v>11111</v>
      </c>
      <c r="H20" s="99">
        <f>IF(G20&gt;0,G20/$G$18,"-")</f>
        <v>0.21960234010593724</v>
      </c>
      <c r="I20" s="92"/>
      <c r="J20" s="92"/>
      <c r="K20" s="92"/>
      <c r="L20" s="92"/>
    </row>
    <row r="21" spans="1:12">
      <c r="A21" s="91" t="s">
        <v>99</v>
      </c>
      <c r="B21" s="124"/>
      <c r="C21" s="89">
        <f>C18-SUM(C19:C20)</f>
        <v>3486</v>
      </c>
      <c r="D21" s="89">
        <f t="shared" ref="D21:F21" si="6">D18-SUM(D19:D20)</f>
        <v>10027</v>
      </c>
      <c r="E21" s="89">
        <f t="shared" si="6"/>
        <v>6268</v>
      </c>
      <c r="F21" s="89">
        <f t="shared" si="6"/>
        <v>7255</v>
      </c>
      <c r="G21" s="29">
        <f>SUM(C21:F21)</f>
        <v>27036</v>
      </c>
      <c r="H21" s="125">
        <f>IF(G21&gt;0,G21/$G$18,"-")</f>
        <v>0.53435054154478612</v>
      </c>
      <c r="I21" s="92"/>
      <c r="J21" s="92"/>
      <c r="K21" s="92"/>
      <c r="L21" s="92"/>
    </row>
    <row r="22" spans="1:12">
      <c r="A22" s="3"/>
      <c r="B22" s="112"/>
      <c r="C22" s="113"/>
      <c r="D22" s="113"/>
      <c r="E22" s="113"/>
      <c r="F22" s="113"/>
      <c r="G22" s="30"/>
      <c r="H22" s="113"/>
      <c r="I22" s="92"/>
      <c r="J22" s="92"/>
      <c r="K22" s="92"/>
      <c r="L22" s="92"/>
    </row>
    <row r="23" spans="1:12">
      <c r="A23" s="9" t="s">
        <v>100</v>
      </c>
      <c r="B23" s="114" t="s">
        <v>78</v>
      </c>
      <c r="C23" s="126" t="s">
        <v>79</v>
      </c>
      <c r="D23" s="126" t="s">
        <v>80</v>
      </c>
      <c r="E23" s="126" t="s">
        <v>81</v>
      </c>
      <c r="F23" s="126" t="s">
        <v>82</v>
      </c>
      <c r="G23" s="31" t="s">
        <v>83</v>
      </c>
      <c r="H23" s="127" t="s">
        <v>101</v>
      </c>
      <c r="I23" s="92"/>
      <c r="J23" s="92"/>
      <c r="K23" s="92"/>
      <c r="L23" s="92"/>
    </row>
    <row r="24" spans="1:12" ht="15" customHeight="1">
      <c r="A24" s="128" t="s">
        <v>102</v>
      </c>
      <c r="B24" s="234" t="s">
        <v>103</v>
      </c>
      <c r="C24" s="118">
        <v>2098</v>
      </c>
      <c r="D24" s="118">
        <v>6066</v>
      </c>
      <c r="E24" s="118">
        <v>3278</v>
      </c>
      <c r="F24" s="118">
        <v>4569</v>
      </c>
      <c r="G24" s="27">
        <f t="shared" ref="G24:G27" si="7">SUM(C24:F24)</f>
        <v>16011</v>
      </c>
      <c r="H24" s="129">
        <f>IF(G24&gt;0,G24*1000/$G$21,"-")</f>
        <v>592.21038615179759</v>
      </c>
      <c r="I24" s="92"/>
      <c r="J24" s="92"/>
      <c r="K24" s="92"/>
      <c r="L24" s="92"/>
    </row>
    <row r="25" spans="1:12">
      <c r="A25" s="130" t="s">
        <v>104</v>
      </c>
      <c r="B25" s="235"/>
      <c r="C25" s="131">
        <v>1434</v>
      </c>
      <c r="D25" s="131">
        <v>3679</v>
      </c>
      <c r="E25" s="131">
        <v>1702</v>
      </c>
      <c r="F25" s="131">
        <v>2774</v>
      </c>
      <c r="G25" s="28">
        <f>SUM(C25:F25)</f>
        <v>9589</v>
      </c>
      <c r="H25" s="132">
        <f>IF(G25&gt;0,G25*1000/$G$21,"-")</f>
        <v>354.67524781772454</v>
      </c>
      <c r="I25" s="92"/>
      <c r="J25" s="92"/>
      <c r="K25" s="92"/>
      <c r="L25" s="92"/>
    </row>
    <row r="26" spans="1:12">
      <c r="A26" s="130" t="s">
        <v>105</v>
      </c>
      <c r="B26" s="235"/>
      <c r="C26" s="131">
        <v>1478.93</v>
      </c>
      <c r="D26" s="131">
        <v>2688.71</v>
      </c>
      <c r="E26" s="131">
        <v>2047.48</v>
      </c>
      <c r="F26" s="131">
        <v>2292</v>
      </c>
      <c r="G26" s="28">
        <f>SUM(C26:F26)</f>
        <v>8507.1200000000008</v>
      </c>
      <c r="H26" s="132">
        <f>IF(G26&gt;0,G26*1000/$G$21,"-")</f>
        <v>314.65897322089069</v>
      </c>
      <c r="I26" s="92"/>
      <c r="J26" s="92"/>
      <c r="K26" s="92"/>
      <c r="L26" s="92"/>
    </row>
    <row r="27" spans="1:12">
      <c r="A27" s="130" t="s">
        <v>106</v>
      </c>
      <c r="B27" s="235"/>
      <c r="C27" s="131">
        <v>814.94</v>
      </c>
      <c r="D27" s="131">
        <v>301.19</v>
      </c>
      <c r="E27" s="131">
        <v>677.2</v>
      </c>
      <c r="F27" s="131">
        <v>497</v>
      </c>
      <c r="G27" s="28">
        <f t="shared" si="7"/>
        <v>2290.33</v>
      </c>
      <c r="H27" s="132">
        <f>IF(G27&gt;0,G27*1000/$G$21,"-")</f>
        <v>84.714084923805302</v>
      </c>
      <c r="I27" s="92"/>
      <c r="J27" s="92"/>
      <c r="K27" s="92"/>
      <c r="L27" s="92"/>
    </row>
    <row r="28" spans="1:12">
      <c r="A28" s="130" t="s">
        <v>107</v>
      </c>
      <c r="B28" s="133" t="s">
        <v>84</v>
      </c>
      <c r="C28" s="134">
        <f>IF(C24&gt;0,1-C25/(C24+C27),"-")</f>
        <v>0.50771385610414221</v>
      </c>
      <c r="D28" s="134">
        <f>IF(D24&gt;0,1-D25/(D24+D27),"-")</f>
        <v>0.42219409189925228</v>
      </c>
      <c r="E28" s="134">
        <f>IF(E24&gt;0,1-E25/(E24+E27),"-")</f>
        <v>0.56968042071197411</v>
      </c>
      <c r="F28" s="134">
        <f>IF(F24&gt;0,1-F25/(F24+F27),"-")</f>
        <v>0.45242795104619027</v>
      </c>
      <c r="G28" s="134">
        <f>IF(G24&gt;0,1-G25/(G24+G27),"-")</f>
        <v>0.47604900846004095</v>
      </c>
      <c r="H28" s="132"/>
      <c r="I28" s="92"/>
      <c r="J28" s="92"/>
      <c r="K28" s="92"/>
      <c r="L28" s="92"/>
    </row>
    <row r="29" spans="1:12">
      <c r="A29" s="130" t="s">
        <v>108</v>
      </c>
      <c r="B29" s="238" t="s">
        <v>103</v>
      </c>
      <c r="C29" s="131"/>
      <c r="D29" s="131"/>
      <c r="E29" s="131"/>
      <c r="F29" s="131"/>
      <c r="G29" s="28">
        <f t="shared" ref="G29:G30" si="8">SUM(C29:F29)</f>
        <v>0</v>
      </c>
      <c r="H29" s="132" t="str">
        <f>IF(G29&gt;0,G29*1000/$G$21,"-")</f>
        <v>-</v>
      </c>
      <c r="I29" s="92"/>
      <c r="J29" s="92"/>
      <c r="K29" s="92"/>
      <c r="L29" s="92"/>
    </row>
    <row r="30" spans="1:12">
      <c r="A30" s="130" t="s">
        <v>109</v>
      </c>
      <c r="B30" s="238"/>
      <c r="C30" s="131"/>
      <c r="D30" s="131"/>
      <c r="E30" s="131"/>
      <c r="F30" s="131"/>
      <c r="G30" s="28">
        <f t="shared" si="8"/>
        <v>0</v>
      </c>
      <c r="H30" s="132" t="str">
        <f>IF(G30&gt;0,G30*1000/$G$21,"-")</f>
        <v>-</v>
      </c>
      <c r="I30" s="92"/>
      <c r="J30" s="92"/>
      <c r="K30" s="17"/>
      <c r="L30" s="17"/>
    </row>
    <row r="31" spans="1:12">
      <c r="A31" s="98" t="s">
        <v>110</v>
      </c>
      <c r="B31" s="135"/>
      <c r="C31" s="136"/>
      <c r="D31" s="136"/>
      <c r="E31" s="136"/>
      <c r="F31" s="136"/>
      <c r="G31" s="137"/>
      <c r="H31" s="183" t="s">
        <v>111</v>
      </c>
      <c r="I31" s="92"/>
      <c r="J31" s="92"/>
      <c r="K31" s="92"/>
      <c r="L31" s="17"/>
    </row>
    <row r="32" spans="1:12">
      <c r="A32" s="3"/>
      <c r="B32" s="112"/>
      <c r="C32" s="113"/>
      <c r="D32" s="113"/>
      <c r="E32" s="113"/>
      <c r="F32" s="113"/>
      <c r="G32" s="30"/>
      <c r="H32" s="113"/>
      <c r="I32" s="92"/>
      <c r="J32" s="92"/>
      <c r="K32" s="92"/>
      <c r="L32" s="17"/>
    </row>
    <row r="33" spans="1:12">
      <c r="A33" s="9" t="s">
        <v>112</v>
      </c>
      <c r="B33" s="138" t="s">
        <v>78</v>
      </c>
      <c r="C33" s="126" t="s">
        <v>79</v>
      </c>
      <c r="D33" s="126" t="s">
        <v>80</v>
      </c>
      <c r="E33" s="126" t="s">
        <v>81</v>
      </c>
      <c r="F33" s="126" t="s">
        <v>82</v>
      </c>
      <c r="G33" s="31" t="s">
        <v>83</v>
      </c>
      <c r="H33" s="139" t="s">
        <v>113</v>
      </c>
      <c r="I33" s="92"/>
      <c r="J33" s="92"/>
      <c r="K33" s="92"/>
      <c r="L33" s="17"/>
    </row>
    <row r="34" spans="1:12" ht="15" customHeight="1">
      <c r="A34" s="128" t="s">
        <v>114</v>
      </c>
      <c r="B34" s="234" t="s">
        <v>86</v>
      </c>
      <c r="C34" s="118">
        <v>156</v>
      </c>
      <c r="D34" s="118">
        <v>495</v>
      </c>
      <c r="E34" s="118">
        <v>214</v>
      </c>
      <c r="F34" s="118">
        <v>334</v>
      </c>
      <c r="G34" s="27">
        <f t="shared" ref="G34:G35" si="9">SUM(C34:F34)</f>
        <v>1199</v>
      </c>
      <c r="H34" s="119">
        <f>IF(G34&gt;0,G34/$G$21,"-")</f>
        <v>4.4348276372244415E-2</v>
      </c>
      <c r="I34" s="92"/>
      <c r="J34" s="92"/>
      <c r="K34" s="17"/>
      <c r="L34" s="17"/>
    </row>
    <row r="35" spans="1:12" ht="15" customHeight="1">
      <c r="A35" s="130" t="s">
        <v>115</v>
      </c>
      <c r="B35" s="235"/>
      <c r="C35" s="131">
        <v>252</v>
      </c>
      <c r="D35" s="131">
        <v>466</v>
      </c>
      <c r="E35" s="131">
        <v>271</v>
      </c>
      <c r="F35" s="131">
        <v>165</v>
      </c>
      <c r="G35" s="28">
        <f t="shared" si="9"/>
        <v>1154</v>
      </c>
      <c r="H35" s="99">
        <f t="shared" ref="H35:H39" si="10">IF(G35&gt;0,G35/$G$21,"-")</f>
        <v>4.2683828968782367E-2</v>
      </c>
      <c r="I35" s="92"/>
      <c r="J35" s="92"/>
      <c r="K35" s="17"/>
      <c r="L35" s="17"/>
    </row>
    <row r="36" spans="1:12" ht="15" customHeight="1">
      <c r="A36" s="130" t="s">
        <v>116</v>
      </c>
      <c r="B36" s="235"/>
      <c r="C36" s="131">
        <v>237</v>
      </c>
      <c r="D36" s="131">
        <v>486</v>
      </c>
      <c r="E36" s="131">
        <v>328</v>
      </c>
      <c r="F36" s="131">
        <v>330</v>
      </c>
      <c r="G36" s="28">
        <f t="shared" ref="G36:G39" si="11">SUM(C36:F36)</f>
        <v>1381</v>
      </c>
      <c r="H36" s="99">
        <f t="shared" si="10"/>
        <v>5.1080041426246489E-2</v>
      </c>
      <c r="I36" s="92"/>
      <c r="J36" s="92"/>
      <c r="K36" s="92"/>
      <c r="L36" s="92"/>
    </row>
    <row r="37" spans="1:12">
      <c r="A37" s="140" t="s">
        <v>117</v>
      </c>
      <c r="B37" s="235"/>
      <c r="C37" s="131">
        <v>110</v>
      </c>
      <c r="D37" s="131">
        <v>296</v>
      </c>
      <c r="E37" s="131">
        <v>142</v>
      </c>
      <c r="F37" s="131">
        <v>255</v>
      </c>
      <c r="G37" s="28">
        <f t="shared" ref="G37" si="12">SUM(C37:F37)</f>
        <v>803</v>
      </c>
      <c r="H37" s="99">
        <f t="shared" si="10"/>
        <v>2.9701139221778368E-2</v>
      </c>
      <c r="I37" s="92"/>
      <c r="J37" s="92"/>
      <c r="K37" s="92"/>
      <c r="L37" s="92"/>
    </row>
    <row r="38" spans="1:12">
      <c r="A38" s="140" t="s">
        <v>118</v>
      </c>
      <c r="B38" s="235"/>
      <c r="C38" s="131">
        <v>0</v>
      </c>
      <c r="D38" s="131">
        <v>0</v>
      </c>
      <c r="E38" s="131">
        <v>0</v>
      </c>
      <c r="F38" s="131">
        <v>0</v>
      </c>
      <c r="G38" s="28">
        <f t="shared" si="11"/>
        <v>0</v>
      </c>
      <c r="H38" s="99" t="str">
        <f t="shared" si="10"/>
        <v>-</v>
      </c>
      <c r="I38" s="92"/>
      <c r="J38" s="92"/>
      <c r="K38" s="92"/>
      <c r="L38" s="92"/>
    </row>
    <row r="39" spans="1:12">
      <c r="A39" s="141" t="s">
        <v>118</v>
      </c>
      <c r="B39" s="236"/>
      <c r="C39" s="142">
        <v>0</v>
      </c>
      <c r="D39" s="142">
        <v>0</v>
      </c>
      <c r="E39" s="142">
        <v>0</v>
      </c>
      <c r="F39" s="142">
        <v>0</v>
      </c>
      <c r="G39" s="29">
        <f t="shared" si="11"/>
        <v>0</v>
      </c>
      <c r="H39" s="125" t="str">
        <f t="shared" si="10"/>
        <v>-</v>
      </c>
      <c r="I39" s="92"/>
      <c r="J39" s="92"/>
      <c r="K39" s="92"/>
      <c r="L39" s="92"/>
    </row>
    <row r="40" spans="1:12">
      <c r="A40" s="112"/>
      <c r="B40" s="112"/>
      <c r="C40" s="113"/>
      <c r="D40" s="113"/>
      <c r="E40" s="113"/>
      <c r="F40" s="113"/>
      <c r="G40" s="30"/>
      <c r="H40" s="113"/>
      <c r="I40" s="92"/>
      <c r="J40" s="92"/>
      <c r="K40" s="92"/>
      <c r="L40" s="92"/>
    </row>
    <row r="41" spans="1:12">
      <c r="A41" s="9" t="s">
        <v>119</v>
      </c>
      <c r="B41" s="143" t="s">
        <v>78</v>
      </c>
      <c r="C41" s="115" t="s">
        <v>79</v>
      </c>
      <c r="D41" s="115" t="s">
        <v>80</v>
      </c>
      <c r="E41" s="115" t="s">
        <v>81</v>
      </c>
      <c r="F41" s="115" t="s">
        <v>82</v>
      </c>
      <c r="G41" s="26" t="s">
        <v>83</v>
      </c>
      <c r="H41" s="116" t="s">
        <v>120</v>
      </c>
      <c r="I41" s="92"/>
      <c r="J41" s="92"/>
      <c r="K41" s="92"/>
      <c r="L41" s="92"/>
    </row>
    <row r="42" spans="1:12" ht="15.6" customHeight="1">
      <c r="A42" s="128" t="s">
        <v>121</v>
      </c>
      <c r="B42" s="133" t="s">
        <v>122</v>
      </c>
      <c r="C42" s="118">
        <v>3643224</v>
      </c>
      <c r="D42" s="118">
        <v>7755072</v>
      </c>
      <c r="E42" s="118">
        <v>5996379</v>
      </c>
      <c r="F42" s="118">
        <v>7182160</v>
      </c>
      <c r="G42" s="27">
        <f t="shared" ref="G42:G50" si="13">SUM(C42:F42)</f>
        <v>24576835</v>
      </c>
      <c r="H42" s="144">
        <f>IF(G42&gt;0,G42/$G$21,"-")</f>
        <v>909.04109335700548</v>
      </c>
      <c r="I42" s="92"/>
      <c r="J42" s="92"/>
      <c r="K42" s="92"/>
      <c r="L42" s="92"/>
    </row>
    <row r="43" spans="1:12">
      <c r="A43" s="130" t="s">
        <v>123</v>
      </c>
      <c r="B43" s="133" t="s">
        <v>122</v>
      </c>
      <c r="C43" s="131"/>
      <c r="D43" s="131"/>
      <c r="E43" s="131"/>
      <c r="F43" s="131"/>
      <c r="G43" s="28">
        <f t="shared" si="13"/>
        <v>0</v>
      </c>
      <c r="H43" s="144" t="str">
        <f t="shared" ref="H43:H48" si="14">IF(G43&gt;0,G43/$G$21,"-")</f>
        <v>-</v>
      </c>
      <c r="I43" s="92"/>
      <c r="J43" s="92"/>
      <c r="K43" s="92"/>
      <c r="L43" s="92"/>
    </row>
    <row r="44" spans="1:12" ht="15.6" customHeight="1">
      <c r="A44" s="130" t="s">
        <v>124</v>
      </c>
      <c r="B44" s="133" t="s">
        <v>125</v>
      </c>
      <c r="C44" s="131"/>
      <c r="D44" s="131"/>
      <c r="E44" s="131"/>
      <c r="F44" s="131"/>
      <c r="G44" s="28">
        <f t="shared" si="13"/>
        <v>0</v>
      </c>
      <c r="H44" s="144" t="str">
        <f t="shared" si="14"/>
        <v>-</v>
      </c>
      <c r="I44" s="92"/>
      <c r="J44" s="92"/>
      <c r="K44" s="92"/>
      <c r="L44" s="92"/>
    </row>
    <row r="45" spans="1:12" ht="15.6" customHeight="1">
      <c r="A45" s="130" t="s">
        <v>126</v>
      </c>
      <c r="B45" s="133" t="s">
        <v>125</v>
      </c>
      <c r="C45" s="131">
        <v>99496</v>
      </c>
      <c r="D45" s="131">
        <v>279093</v>
      </c>
      <c r="E45" s="131">
        <v>85075</v>
      </c>
      <c r="F45" s="131">
        <v>35418</v>
      </c>
      <c r="G45" s="28">
        <f t="shared" ref="G45" si="15">SUM(C45:F45)</f>
        <v>499082</v>
      </c>
      <c r="H45" s="144">
        <f t="shared" si="14"/>
        <v>18.459905311436604</v>
      </c>
      <c r="I45" s="92"/>
      <c r="J45" s="92"/>
      <c r="K45" s="92"/>
      <c r="L45" s="92"/>
    </row>
    <row r="46" spans="1:12">
      <c r="A46" s="130" t="s">
        <v>127</v>
      </c>
      <c r="B46" s="133" t="s">
        <v>125</v>
      </c>
      <c r="C46" s="131">
        <v>900</v>
      </c>
      <c r="D46" s="131">
        <v>2300</v>
      </c>
      <c r="E46" s="131">
        <v>1200</v>
      </c>
      <c r="F46" s="131">
        <v>1700</v>
      </c>
      <c r="G46" s="28">
        <f t="shared" si="13"/>
        <v>6100</v>
      </c>
      <c r="H46" s="144">
        <f t="shared" si="14"/>
        <v>0.22562509246930018</v>
      </c>
      <c r="I46" s="92"/>
      <c r="J46" s="92"/>
      <c r="K46" s="92"/>
      <c r="L46" s="92"/>
    </row>
    <row r="47" spans="1:12">
      <c r="A47" s="130" t="s">
        <v>128</v>
      </c>
      <c r="B47" s="133" t="s">
        <v>125</v>
      </c>
      <c r="C47" s="131">
        <v>28909</v>
      </c>
      <c r="D47" s="131">
        <v>59970</v>
      </c>
      <c r="E47" s="131">
        <v>40880</v>
      </c>
      <c r="F47" s="131">
        <v>26816</v>
      </c>
      <c r="G47" s="28">
        <f t="shared" si="13"/>
        <v>156575</v>
      </c>
      <c r="H47" s="144">
        <f t="shared" si="14"/>
        <v>5.791352271046013</v>
      </c>
      <c r="I47" s="92"/>
      <c r="J47" s="92"/>
      <c r="K47" s="92"/>
      <c r="L47" s="92"/>
    </row>
    <row r="48" spans="1:12">
      <c r="A48" s="130" t="s">
        <v>129</v>
      </c>
      <c r="B48" s="133" t="s">
        <v>122</v>
      </c>
      <c r="C48" s="131">
        <v>23607</v>
      </c>
      <c r="D48" s="131">
        <v>403265</v>
      </c>
      <c r="E48" s="131">
        <v>643407</v>
      </c>
      <c r="F48" s="131">
        <v>231967</v>
      </c>
      <c r="G48" s="28">
        <f t="shared" si="13"/>
        <v>1302246</v>
      </c>
      <c r="H48" s="144">
        <f t="shared" si="14"/>
        <v>48.167110519307592</v>
      </c>
      <c r="I48" s="92"/>
      <c r="J48" s="92"/>
      <c r="K48" s="92"/>
      <c r="L48" s="92"/>
    </row>
    <row r="49" spans="1:10">
      <c r="A49" s="130" t="s">
        <v>130</v>
      </c>
      <c r="B49" s="133" t="s">
        <v>131</v>
      </c>
      <c r="C49" s="131">
        <v>0</v>
      </c>
      <c r="D49" s="131">
        <v>0</v>
      </c>
      <c r="E49" s="131">
        <v>0</v>
      </c>
      <c r="F49" s="131">
        <v>0</v>
      </c>
      <c r="G49" s="28">
        <f t="shared" si="13"/>
        <v>0</v>
      </c>
      <c r="H49" s="145"/>
      <c r="I49" s="92"/>
      <c r="J49" s="92"/>
    </row>
    <row r="50" spans="1:10">
      <c r="A50" s="98" t="s">
        <v>118</v>
      </c>
      <c r="B50" s="146"/>
      <c r="C50" s="142">
        <v>0</v>
      </c>
      <c r="D50" s="142">
        <v>0</v>
      </c>
      <c r="E50" s="142">
        <v>0</v>
      </c>
      <c r="F50" s="142">
        <v>0</v>
      </c>
      <c r="G50" s="29">
        <f t="shared" si="13"/>
        <v>0</v>
      </c>
      <c r="H50" s="147"/>
      <c r="I50" s="92"/>
      <c r="J50" s="92"/>
    </row>
    <row r="51" spans="1:10">
      <c r="A51" s="112"/>
      <c r="B51" s="112"/>
      <c r="C51" s="113"/>
      <c r="D51" s="113"/>
      <c r="E51" s="113"/>
      <c r="F51" s="113"/>
      <c r="G51" s="30"/>
      <c r="H51" s="113"/>
      <c r="I51" s="92"/>
      <c r="J51" s="92"/>
    </row>
    <row r="52" spans="1:10">
      <c r="A52" s="9" t="s">
        <v>132</v>
      </c>
      <c r="B52" s="148" t="s">
        <v>133</v>
      </c>
      <c r="C52" s="126" t="s">
        <v>79</v>
      </c>
      <c r="D52" s="126" t="s">
        <v>80</v>
      </c>
      <c r="E52" s="126" t="s">
        <v>81</v>
      </c>
      <c r="F52" s="126" t="s">
        <v>82</v>
      </c>
      <c r="G52" s="31" t="s">
        <v>83</v>
      </c>
      <c r="H52" s="127"/>
      <c r="I52" s="92"/>
      <c r="J52" s="85" t="s">
        <v>134</v>
      </c>
    </row>
    <row r="53" spans="1:10" ht="14.25" customHeight="1">
      <c r="A53" s="230" t="s">
        <v>135</v>
      </c>
      <c r="B53" s="126">
        <f>+B5</f>
        <v>1</v>
      </c>
      <c r="C53" s="118">
        <v>704</v>
      </c>
      <c r="D53" s="118">
        <v>1767</v>
      </c>
      <c r="E53" s="118">
        <v>921</v>
      </c>
      <c r="F53" s="118">
        <v>1339</v>
      </c>
      <c r="G53" s="27">
        <f>SUM(C53:F53)</f>
        <v>4731</v>
      </c>
      <c r="H53" s="119">
        <f>G53/J53</f>
        <v>0.54006849315068495</v>
      </c>
      <c r="I53" s="92"/>
      <c r="J53" s="87">
        <v>8760</v>
      </c>
    </row>
    <row r="54" spans="1:10" ht="14.25" customHeight="1">
      <c r="A54" s="231"/>
      <c r="B54" s="113">
        <v>2</v>
      </c>
      <c r="C54" s="121"/>
      <c r="D54" s="121"/>
      <c r="E54" s="121"/>
      <c r="F54" s="121"/>
      <c r="G54" s="28">
        <f>SUM(C54:F54)</f>
        <v>0</v>
      </c>
      <c r="H54" s="99" t="s">
        <v>136</v>
      </c>
      <c r="I54" s="92"/>
      <c r="J54" s="92"/>
    </row>
    <row r="55" spans="1:10" ht="14.25" customHeight="1">
      <c r="A55" s="231"/>
      <c r="B55" s="113">
        <v>3</v>
      </c>
      <c r="C55" s="121"/>
      <c r="D55" s="121"/>
      <c r="E55" s="121"/>
      <c r="F55" s="121"/>
      <c r="G55" s="28">
        <f t="shared" ref="G55:G65" si="16">SUM(C55:F55)</f>
        <v>0</v>
      </c>
      <c r="H55" s="99" t="s">
        <v>136</v>
      </c>
      <c r="I55" s="92"/>
      <c r="J55" s="92"/>
    </row>
    <row r="56" spans="1:10" ht="14.25" customHeight="1">
      <c r="A56" s="231"/>
      <c r="B56" s="113">
        <v>4</v>
      </c>
      <c r="C56" s="121"/>
      <c r="D56" s="121"/>
      <c r="E56" s="121"/>
      <c r="F56" s="121"/>
      <c r="G56" s="28">
        <f t="shared" si="16"/>
        <v>0</v>
      </c>
      <c r="H56" s="99" t="s">
        <v>136</v>
      </c>
      <c r="I56" s="92"/>
      <c r="J56" s="92"/>
    </row>
    <row r="57" spans="1:10" ht="14.25" customHeight="1">
      <c r="A57" s="231"/>
      <c r="B57" s="113">
        <v>5</v>
      </c>
      <c r="C57" s="121"/>
      <c r="D57" s="121"/>
      <c r="E57" s="121"/>
      <c r="F57" s="121"/>
      <c r="G57" s="28">
        <f>SUM(C57:F57)</f>
        <v>0</v>
      </c>
      <c r="H57" s="99" t="s">
        <v>136</v>
      </c>
      <c r="I57" s="92"/>
      <c r="J57" s="92"/>
    </row>
    <row r="58" spans="1:10" ht="14.25" customHeight="1">
      <c r="A58" s="130" t="s">
        <v>137</v>
      </c>
      <c r="B58" s="113"/>
      <c r="C58" s="121"/>
      <c r="D58" s="121"/>
      <c r="E58" s="121"/>
      <c r="F58" s="121"/>
      <c r="G58" s="28">
        <f>G53</f>
        <v>4731</v>
      </c>
      <c r="H58" s="86">
        <f>G58/J53</f>
        <v>0.54006849315068495</v>
      </c>
      <c r="I58" s="92"/>
      <c r="J58" s="92"/>
    </row>
    <row r="59" spans="1:10" ht="14.25" customHeight="1">
      <c r="A59" s="130" t="s">
        <v>138</v>
      </c>
      <c r="B59" s="113">
        <v>1</v>
      </c>
      <c r="C59" s="121">
        <v>662</v>
      </c>
      <c r="D59" s="121">
        <v>1888</v>
      </c>
      <c r="E59" s="121">
        <v>1032</v>
      </c>
      <c r="F59" s="121">
        <v>1381</v>
      </c>
      <c r="G59" s="28">
        <f t="shared" si="16"/>
        <v>4963</v>
      </c>
      <c r="H59" s="99">
        <f>G59/J53</f>
        <v>0.5665525114155251</v>
      </c>
      <c r="I59" s="92"/>
      <c r="J59" s="92"/>
    </row>
    <row r="60" spans="1:10">
      <c r="A60" s="130" t="s">
        <v>138</v>
      </c>
      <c r="B60" s="113">
        <v>2</v>
      </c>
      <c r="C60" s="131"/>
      <c r="D60" s="131"/>
      <c r="E60" s="131"/>
      <c r="F60" s="131"/>
      <c r="G60" s="28">
        <f t="shared" si="16"/>
        <v>0</v>
      </c>
      <c r="H60" s="99" t="s">
        <v>139</v>
      </c>
      <c r="I60" s="92"/>
      <c r="J60" s="92"/>
    </row>
    <row r="61" spans="1:10">
      <c r="A61" s="130" t="s">
        <v>140</v>
      </c>
      <c r="B61" s="113"/>
      <c r="C61" s="131"/>
      <c r="D61" s="131"/>
      <c r="E61" s="131"/>
      <c r="F61" s="131"/>
      <c r="G61" s="28">
        <f t="shared" si="16"/>
        <v>0</v>
      </c>
      <c r="H61" s="99" t="str">
        <f>IF(B61&gt;0,G60/J53,"n/a")</f>
        <v>n/a</v>
      </c>
      <c r="I61" s="92"/>
      <c r="J61" s="92"/>
    </row>
    <row r="62" spans="1:10">
      <c r="A62" s="130" t="s">
        <v>141</v>
      </c>
      <c r="B62" s="113" t="s">
        <v>142</v>
      </c>
      <c r="C62" s="177">
        <v>13</v>
      </c>
      <c r="D62" s="177">
        <v>13</v>
      </c>
      <c r="E62" s="177">
        <v>13</v>
      </c>
      <c r="F62" s="177">
        <v>9.41</v>
      </c>
      <c r="G62" s="28"/>
      <c r="H62" s="149" t="s">
        <v>143</v>
      </c>
      <c r="I62" s="92" t="s">
        <v>144</v>
      </c>
      <c r="J62" s="92"/>
    </row>
    <row r="63" spans="1:10">
      <c r="A63" s="130" t="s">
        <v>145</v>
      </c>
      <c r="B63" s="113" t="s">
        <v>146</v>
      </c>
      <c r="C63" s="131">
        <v>1</v>
      </c>
      <c r="D63" s="131">
        <v>0</v>
      </c>
      <c r="E63" s="131">
        <v>0</v>
      </c>
      <c r="F63" s="131">
        <v>1</v>
      </c>
      <c r="G63" s="28">
        <f t="shared" si="16"/>
        <v>2</v>
      </c>
      <c r="H63" s="132" t="str">
        <f>IF(G63&gt;0,"yes","no")</f>
        <v>yes</v>
      </c>
      <c r="I63" s="92"/>
      <c r="J63" s="92"/>
    </row>
    <row r="64" spans="1:10">
      <c r="A64" s="130" t="s">
        <v>147</v>
      </c>
      <c r="B64" s="113" t="s">
        <v>148</v>
      </c>
      <c r="C64" s="131">
        <v>4</v>
      </c>
      <c r="D64" s="131">
        <v>0</v>
      </c>
      <c r="E64" s="131">
        <v>0</v>
      </c>
      <c r="F64" s="180">
        <v>1.5</v>
      </c>
      <c r="G64" s="181">
        <f t="shared" si="16"/>
        <v>5.5</v>
      </c>
      <c r="H64" s="150">
        <f>+(G64)/J53</f>
        <v>6.278538812785388E-4</v>
      </c>
      <c r="I64" s="92"/>
      <c r="J64" s="92"/>
    </row>
    <row r="65" spans="1:8">
      <c r="A65" s="98" t="s">
        <v>149</v>
      </c>
      <c r="B65" s="151" t="s">
        <v>146</v>
      </c>
      <c r="C65" s="142">
        <v>0</v>
      </c>
      <c r="D65" s="142">
        <v>1</v>
      </c>
      <c r="E65" s="142">
        <v>0</v>
      </c>
      <c r="F65" s="142">
        <v>0</v>
      </c>
      <c r="G65" s="29">
        <f t="shared" si="16"/>
        <v>1</v>
      </c>
      <c r="H65" s="152" t="str">
        <f>IF(G65&gt;0,"yes","no")</f>
        <v>yes</v>
      </c>
    </row>
    <row r="78" spans="1:8">
      <c r="A78" s="92"/>
      <c r="B78" s="112"/>
      <c r="C78" s="112"/>
      <c r="D78" s="112"/>
      <c r="E78" s="112"/>
      <c r="F78" s="3"/>
      <c r="H78" s="113"/>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4" orientation="portrait" r:id="rId1"/>
  <headerFooter scaleWithDoc="0">
    <oddFooter>&amp;C&amp;"Arial,Regular"Page &amp;P</oddFooter>
  </headerFooter>
  <rowBreaks count="1" manualBreakCount="1">
    <brk id="50" max="16383" man="1"/>
  </rowBreaks>
  <ignoredErrors>
    <ignoredError sqref="G59:G60 G55: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view="pageBreakPreview" zoomScaleNormal="100" zoomScaleSheetLayoutView="100" workbookViewId="0">
      <selection activeCell="A5" sqref="A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Charlton Lane Eco Park</v>
      </c>
      <c r="F1" s="92"/>
      <c r="G1" s="92"/>
      <c r="H1" s="92"/>
      <c r="I1" s="92"/>
      <c r="J1" s="92"/>
      <c r="K1" s="92"/>
      <c r="L1" s="92"/>
      <c r="M1" s="92"/>
      <c r="N1" s="92"/>
    </row>
    <row r="3" spans="1:14" ht="15.6">
      <c r="A3" s="50" t="s">
        <v>150</v>
      </c>
      <c r="B3" s="107"/>
      <c r="C3" s="107"/>
      <c r="D3" s="107"/>
      <c r="E3" s="107"/>
      <c r="F3" s="107"/>
      <c r="G3" s="107"/>
      <c r="H3" s="107"/>
      <c r="I3" s="108"/>
      <c r="J3" s="92"/>
      <c r="K3" s="80" t="s">
        <v>3</v>
      </c>
      <c r="L3" s="92"/>
      <c r="M3" s="92"/>
      <c r="N3" s="92"/>
    </row>
    <row r="4" spans="1:14">
      <c r="A4" s="109"/>
      <c r="B4" s="110"/>
      <c r="C4" s="110"/>
      <c r="D4" s="110"/>
      <c r="E4" s="110"/>
      <c r="F4" s="110"/>
      <c r="G4" s="110"/>
      <c r="H4" s="110"/>
      <c r="I4" s="111"/>
      <c r="J4" s="92"/>
      <c r="K4" s="92"/>
      <c r="L4" s="92"/>
      <c r="M4" s="92"/>
      <c r="N4" s="92"/>
    </row>
    <row r="5" spans="1:14" ht="15.75" customHeight="1">
      <c r="A5" s="212" t="s">
        <v>151</v>
      </c>
      <c r="B5" s="213"/>
      <c r="C5" s="213"/>
      <c r="D5" s="213"/>
      <c r="E5" s="213"/>
      <c r="F5" s="213"/>
      <c r="G5" s="213"/>
      <c r="H5" s="213"/>
      <c r="I5" s="214"/>
      <c r="J5" s="92"/>
      <c r="K5" s="229" t="s">
        <v>152</v>
      </c>
      <c r="L5" s="229"/>
      <c r="M5" s="229"/>
      <c r="N5" s="229"/>
    </row>
    <row r="6" spans="1:14">
      <c r="A6" s="215"/>
      <c r="B6" s="216"/>
      <c r="C6" s="216"/>
      <c r="D6" s="216"/>
      <c r="E6" s="216"/>
      <c r="F6" s="216"/>
      <c r="G6" s="216"/>
      <c r="H6" s="216"/>
      <c r="I6" s="217"/>
      <c r="J6" s="92"/>
      <c r="K6" s="229"/>
      <c r="L6" s="229"/>
      <c r="M6" s="229"/>
      <c r="N6" s="229"/>
    </row>
    <row r="7" spans="1:14">
      <c r="A7" s="215"/>
      <c r="B7" s="216"/>
      <c r="C7" s="216"/>
      <c r="D7" s="216"/>
      <c r="E7" s="216"/>
      <c r="F7" s="216"/>
      <c r="G7" s="216"/>
      <c r="H7" s="216"/>
      <c r="I7" s="217"/>
      <c r="J7" s="92"/>
      <c r="K7" s="229"/>
      <c r="L7" s="229"/>
      <c r="M7" s="229"/>
      <c r="N7" s="229"/>
    </row>
    <row r="8" spans="1:14" ht="15.75" customHeight="1">
      <c r="A8" s="215"/>
      <c r="B8" s="216"/>
      <c r="C8" s="216"/>
      <c r="D8" s="216"/>
      <c r="E8" s="216"/>
      <c r="F8" s="216"/>
      <c r="G8" s="216"/>
      <c r="H8" s="216"/>
      <c r="I8" s="217"/>
      <c r="J8" s="92"/>
      <c r="K8" s="229"/>
      <c r="L8" s="229"/>
      <c r="M8" s="229"/>
      <c r="N8" s="229"/>
    </row>
    <row r="9" spans="1:14" ht="15.75" customHeight="1">
      <c r="A9" s="215"/>
      <c r="B9" s="216"/>
      <c r="C9" s="216"/>
      <c r="D9" s="216"/>
      <c r="E9" s="216"/>
      <c r="F9" s="216"/>
      <c r="G9" s="216"/>
      <c r="H9" s="216"/>
      <c r="I9" s="217"/>
      <c r="J9" s="92"/>
      <c r="K9" s="229"/>
      <c r="L9" s="229"/>
      <c r="M9" s="229"/>
      <c r="N9" s="229"/>
    </row>
    <row r="10" spans="1:14" ht="15.75" customHeight="1">
      <c r="A10" s="215"/>
      <c r="B10" s="216"/>
      <c r="C10" s="216"/>
      <c r="D10" s="216"/>
      <c r="E10" s="216"/>
      <c r="F10" s="216"/>
      <c r="G10" s="216"/>
      <c r="H10" s="216"/>
      <c r="I10" s="217"/>
      <c r="J10" s="92"/>
      <c r="K10" s="229"/>
      <c r="L10" s="229"/>
      <c r="M10" s="229"/>
      <c r="N10" s="229"/>
    </row>
    <row r="11" spans="1:14" ht="15.75" customHeight="1">
      <c r="A11" s="215"/>
      <c r="B11" s="216"/>
      <c r="C11" s="216"/>
      <c r="D11" s="216"/>
      <c r="E11" s="216"/>
      <c r="F11" s="216"/>
      <c r="G11" s="216"/>
      <c r="H11" s="216"/>
      <c r="I11" s="217"/>
      <c r="J11" s="92"/>
      <c r="K11" s="229"/>
      <c r="L11" s="229"/>
      <c r="M11" s="229"/>
      <c r="N11" s="229"/>
    </row>
    <row r="12" spans="1:14" ht="15.75" customHeight="1">
      <c r="A12" s="215"/>
      <c r="B12" s="216"/>
      <c r="C12" s="216"/>
      <c r="D12" s="216"/>
      <c r="E12" s="216"/>
      <c r="F12" s="216"/>
      <c r="G12" s="216"/>
      <c r="H12" s="216"/>
      <c r="I12" s="217"/>
      <c r="J12" s="92"/>
      <c r="K12" s="229"/>
      <c r="L12" s="229"/>
      <c r="M12" s="229"/>
      <c r="N12" s="229"/>
    </row>
    <row r="13" spans="1:14" ht="15.75" customHeight="1">
      <c r="A13" s="215"/>
      <c r="B13" s="216"/>
      <c r="C13" s="216"/>
      <c r="D13" s="216"/>
      <c r="E13" s="216"/>
      <c r="F13" s="216"/>
      <c r="G13" s="216"/>
      <c r="H13" s="216"/>
      <c r="I13" s="217"/>
      <c r="J13" s="92"/>
      <c r="K13" s="229"/>
      <c r="L13" s="229"/>
      <c r="M13" s="229"/>
      <c r="N13" s="229"/>
    </row>
    <row r="14" spans="1:14" ht="15.75" customHeight="1">
      <c r="A14" s="215"/>
      <c r="B14" s="216"/>
      <c r="C14" s="216"/>
      <c r="D14" s="216"/>
      <c r="E14" s="216"/>
      <c r="F14" s="216"/>
      <c r="G14" s="216"/>
      <c r="H14" s="216"/>
      <c r="I14" s="217"/>
      <c r="J14" s="92"/>
      <c r="K14" s="229"/>
      <c r="L14" s="229"/>
      <c r="M14" s="229"/>
      <c r="N14" s="229"/>
    </row>
    <row r="15" spans="1:14" ht="15.75" customHeight="1">
      <c r="A15" s="215"/>
      <c r="B15" s="216"/>
      <c r="C15" s="216"/>
      <c r="D15" s="216"/>
      <c r="E15" s="216"/>
      <c r="F15" s="216"/>
      <c r="G15" s="216"/>
      <c r="H15" s="216"/>
      <c r="I15" s="217"/>
      <c r="J15" s="92"/>
      <c r="K15" s="92"/>
      <c r="L15" s="92"/>
      <c r="M15" s="92"/>
      <c r="N15" s="92"/>
    </row>
    <row r="16" spans="1:14" ht="15.75" customHeight="1">
      <c r="A16" s="215"/>
      <c r="B16" s="216"/>
      <c r="C16" s="216"/>
      <c r="D16" s="216"/>
      <c r="E16" s="216"/>
      <c r="F16" s="216"/>
      <c r="G16" s="216"/>
      <c r="H16" s="216"/>
      <c r="I16" s="217"/>
      <c r="J16" s="92"/>
      <c r="K16" s="92"/>
      <c r="L16" s="92"/>
      <c r="M16" s="92"/>
      <c r="N16" s="92"/>
    </row>
    <row r="17" spans="1:14" ht="15.75" customHeight="1">
      <c r="A17" s="215"/>
      <c r="B17" s="216"/>
      <c r="C17" s="216"/>
      <c r="D17" s="216"/>
      <c r="E17" s="216"/>
      <c r="F17" s="216"/>
      <c r="G17" s="216"/>
      <c r="H17" s="216"/>
      <c r="I17" s="217"/>
      <c r="J17" s="92"/>
      <c r="K17" s="92"/>
      <c r="L17" s="92"/>
      <c r="M17" s="92"/>
      <c r="N17" s="92"/>
    </row>
    <row r="18" spans="1:14">
      <c r="A18" s="215"/>
      <c r="B18" s="216"/>
      <c r="C18" s="216"/>
      <c r="D18" s="216"/>
      <c r="E18" s="216"/>
      <c r="F18" s="216"/>
      <c r="G18" s="216"/>
      <c r="H18" s="216"/>
      <c r="I18" s="217"/>
      <c r="J18" s="92"/>
      <c r="K18" s="92"/>
      <c r="L18" s="92"/>
      <c r="M18" s="92"/>
      <c r="N18" s="92"/>
    </row>
    <row r="19" spans="1:14">
      <c r="A19" s="215"/>
      <c r="B19" s="216"/>
      <c r="C19" s="216"/>
      <c r="D19" s="216"/>
      <c r="E19" s="216"/>
      <c r="F19" s="216"/>
      <c r="G19" s="216"/>
      <c r="H19" s="216"/>
      <c r="I19" s="217"/>
      <c r="J19" s="92"/>
      <c r="K19" s="92"/>
      <c r="L19" s="92"/>
      <c r="M19" s="92"/>
      <c r="N19" s="92"/>
    </row>
    <row r="20" spans="1:14">
      <c r="A20" s="215"/>
      <c r="B20" s="216"/>
      <c r="C20" s="216"/>
      <c r="D20" s="216"/>
      <c r="E20" s="216"/>
      <c r="F20" s="216"/>
      <c r="G20" s="216"/>
      <c r="H20" s="216"/>
      <c r="I20" s="217"/>
      <c r="J20" s="92"/>
      <c r="K20" s="92"/>
      <c r="L20" s="92"/>
      <c r="M20" s="92"/>
      <c r="N20" s="92"/>
    </row>
    <row r="21" spans="1:14">
      <c r="A21" s="215"/>
      <c r="B21" s="216"/>
      <c r="C21" s="216"/>
      <c r="D21" s="216"/>
      <c r="E21" s="216"/>
      <c r="F21" s="216"/>
      <c r="G21" s="216"/>
      <c r="H21" s="216"/>
      <c r="I21" s="217"/>
      <c r="J21" s="92"/>
      <c r="K21" s="92"/>
      <c r="L21" s="92"/>
      <c r="M21" s="92"/>
      <c r="N21" s="92"/>
    </row>
    <row r="22" spans="1:14" ht="15.4" customHeight="1">
      <c r="A22" s="215"/>
      <c r="B22" s="216"/>
      <c r="C22" s="216"/>
      <c r="D22" s="216"/>
      <c r="E22" s="216"/>
      <c r="F22" s="216"/>
      <c r="G22" s="216"/>
      <c r="H22" s="216"/>
      <c r="I22" s="217"/>
      <c r="J22" s="92"/>
      <c r="K22" s="94"/>
      <c r="L22" s="94"/>
      <c r="M22" s="94"/>
      <c r="N22" s="94"/>
    </row>
    <row r="23" spans="1:14">
      <c r="A23" s="215"/>
      <c r="B23" s="216"/>
      <c r="C23" s="216"/>
      <c r="D23" s="216"/>
      <c r="E23" s="216"/>
      <c r="F23" s="216"/>
      <c r="G23" s="216"/>
      <c r="H23" s="216"/>
      <c r="I23" s="217"/>
      <c r="J23" s="92"/>
      <c r="K23" s="94"/>
      <c r="L23" s="94"/>
      <c r="M23" s="94"/>
      <c r="N23" s="94"/>
    </row>
    <row r="24" spans="1:14">
      <c r="A24" s="215"/>
      <c r="B24" s="216"/>
      <c r="C24" s="216"/>
      <c r="D24" s="216"/>
      <c r="E24" s="216"/>
      <c r="F24" s="216"/>
      <c r="G24" s="216"/>
      <c r="H24" s="216"/>
      <c r="I24" s="217"/>
      <c r="J24" s="92"/>
      <c r="K24" s="94"/>
      <c r="L24" s="94"/>
      <c r="M24" s="94"/>
      <c r="N24" s="94"/>
    </row>
    <row r="25" spans="1:14">
      <c r="A25" s="215"/>
      <c r="B25" s="216"/>
      <c r="C25" s="216"/>
      <c r="D25" s="216"/>
      <c r="E25" s="216"/>
      <c r="F25" s="216"/>
      <c r="G25" s="216"/>
      <c r="H25" s="216"/>
      <c r="I25" s="217"/>
      <c r="J25" s="92"/>
      <c r="K25" s="94"/>
      <c r="L25" s="94"/>
      <c r="M25" s="94"/>
      <c r="N25" s="94"/>
    </row>
    <row r="26" spans="1:14">
      <c r="A26" s="215"/>
      <c r="B26" s="216"/>
      <c r="C26" s="216"/>
      <c r="D26" s="216"/>
      <c r="E26" s="216"/>
      <c r="F26" s="216"/>
      <c r="G26" s="216"/>
      <c r="H26" s="216"/>
      <c r="I26" s="217"/>
      <c r="J26" s="92"/>
      <c r="K26" s="94"/>
      <c r="L26" s="94"/>
      <c r="M26" s="94"/>
      <c r="N26" s="94"/>
    </row>
    <row r="27" spans="1:14">
      <c r="A27" s="218"/>
      <c r="B27" s="219"/>
      <c r="C27" s="219"/>
      <c r="D27" s="219"/>
      <c r="E27" s="219"/>
      <c r="F27" s="219"/>
      <c r="G27" s="219"/>
      <c r="H27" s="219"/>
      <c r="I27" s="220"/>
      <c r="J27" s="92"/>
      <c r="K27" s="94"/>
      <c r="L27" s="94"/>
      <c r="M27" s="94"/>
      <c r="N27" s="94"/>
    </row>
    <row r="28" spans="1:14">
      <c r="A28" s="92"/>
      <c r="B28" s="92"/>
      <c r="C28" s="92"/>
      <c r="D28" s="92"/>
      <c r="E28" s="92"/>
      <c r="F28" s="92"/>
      <c r="G28" s="92"/>
      <c r="H28" s="92"/>
      <c r="I28" s="92"/>
      <c r="J28" s="92"/>
      <c r="K28" s="94"/>
      <c r="L28" s="94"/>
      <c r="M28" s="94"/>
      <c r="N28" s="94"/>
    </row>
    <row r="29" spans="1:14">
      <c r="A29" s="50" t="s">
        <v>153</v>
      </c>
      <c r="B29" s="107"/>
      <c r="C29" s="107"/>
      <c r="D29" s="107"/>
      <c r="E29" s="107"/>
      <c r="F29" s="107"/>
      <c r="G29" s="107"/>
      <c r="H29" s="107"/>
      <c r="I29" s="108"/>
      <c r="J29" s="92"/>
      <c r="K29" s="94"/>
      <c r="L29" s="94"/>
      <c r="M29" s="94"/>
      <c r="N29" s="94"/>
    </row>
    <row r="30" spans="1:14">
      <c r="A30" s="109"/>
      <c r="B30" s="110"/>
      <c r="C30" s="110"/>
      <c r="D30" s="110"/>
      <c r="E30" s="110"/>
      <c r="F30" s="110"/>
      <c r="G30" s="110"/>
      <c r="H30" s="110"/>
      <c r="I30" s="111"/>
      <c r="J30" s="92"/>
      <c r="K30" s="94"/>
      <c r="L30" s="94"/>
      <c r="M30" s="94"/>
      <c r="N30" s="94"/>
    </row>
    <row r="31" spans="1:14">
      <c r="A31" s="212" t="s">
        <v>154</v>
      </c>
      <c r="B31" s="221"/>
      <c r="C31" s="221"/>
      <c r="D31" s="221"/>
      <c r="E31" s="221"/>
      <c r="F31" s="221"/>
      <c r="G31" s="221"/>
      <c r="H31" s="221"/>
      <c r="I31" s="222"/>
      <c r="J31" s="92"/>
      <c r="K31" s="229" t="s">
        <v>155</v>
      </c>
      <c r="L31" s="229"/>
      <c r="M31" s="229"/>
      <c r="N31" s="229"/>
    </row>
    <row r="32" spans="1:14">
      <c r="A32" s="223"/>
      <c r="B32" s="224"/>
      <c r="C32" s="224"/>
      <c r="D32" s="224"/>
      <c r="E32" s="224"/>
      <c r="F32" s="224"/>
      <c r="G32" s="224"/>
      <c r="H32" s="224"/>
      <c r="I32" s="225"/>
      <c r="J32" s="92"/>
      <c r="K32" s="229"/>
      <c r="L32" s="229"/>
      <c r="M32" s="229"/>
      <c r="N32" s="229"/>
    </row>
    <row r="33" spans="1:14">
      <c r="A33" s="223"/>
      <c r="B33" s="224"/>
      <c r="C33" s="224"/>
      <c r="D33" s="224"/>
      <c r="E33" s="224"/>
      <c r="F33" s="224"/>
      <c r="G33" s="224"/>
      <c r="H33" s="224"/>
      <c r="I33" s="225"/>
      <c r="J33" s="92"/>
      <c r="K33" s="229"/>
      <c r="L33" s="229"/>
      <c r="M33" s="229"/>
      <c r="N33" s="229"/>
    </row>
    <row r="34" spans="1:14">
      <c r="A34" s="223"/>
      <c r="B34" s="224"/>
      <c r="C34" s="224"/>
      <c r="D34" s="224"/>
      <c r="E34" s="224"/>
      <c r="F34" s="224"/>
      <c r="G34" s="224"/>
      <c r="H34" s="224"/>
      <c r="I34" s="225"/>
      <c r="J34" s="92"/>
      <c r="K34" s="229"/>
      <c r="L34" s="229"/>
      <c r="M34" s="229"/>
      <c r="N34" s="229"/>
    </row>
    <row r="35" spans="1:14">
      <c r="A35" s="223"/>
      <c r="B35" s="224"/>
      <c r="C35" s="224"/>
      <c r="D35" s="224"/>
      <c r="E35" s="224"/>
      <c r="F35" s="224"/>
      <c r="G35" s="224"/>
      <c r="H35" s="224"/>
      <c r="I35" s="225"/>
      <c r="J35" s="92"/>
      <c r="K35" s="229"/>
      <c r="L35" s="229"/>
      <c r="M35" s="229"/>
      <c r="N35" s="229"/>
    </row>
    <row r="36" spans="1:14">
      <c r="A36" s="223"/>
      <c r="B36" s="224"/>
      <c r="C36" s="224"/>
      <c r="D36" s="224"/>
      <c r="E36" s="224"/>
      <c r="F36" s="224"/>
      <c r="G36" s="224"/>
      <c r="H36" s="224"/>
      <c r="I36" s="225"/>
      <c r="J36" s="92"/>
      <c r="K36" s="229"/>
      <c r="L36" s="229"/>
      <c r="M36" s="229"/>
      <c r="N36" s="229"/>
    </row>
    <row r="37" spans="1:14">
      <c r="A37" s="223"/>
      <c r="B37" s="224"/>
      <c r="C37" s="224"/>
      <c r="D37" s="224"/>
      <c r="E37" s="224"/>
      <c r="F37" s="224"/>
      <c r="G37" s="224"/>
      <c r="H37" s="224"/>
      <c r="I37" s="225"/>
      <c r="J37" s="92"/>
      <c r="K37" s="229"/>
      <c r="L37" s="229"/>
      <c r="M37" s="229"/>
      <c r="N37" s="229"/>
    </row>
    <row r="38" spans="1:14" ht="14.25" customHeight="1">
      <c r="A38" s="223"/>
      <c r="B38" s="224"/>
      <c r="C38" s="224"/>
      <c r="D38" s="224"/>
      <c r="E38" s="224"/>
      <c r="F38" s="224"/>
      <c r="G38" s="224"/>
      <c r="H38" s="224"/>
      <c r="I38" s="225"/>
      <c r="J38" s="92"/>
      <c r="K38" s="229"/>
      <c r="L38" s="229"/>
      <c r="M38" s="229"/>
      <c r="N38" s="229"/>
    </row>
    <row r="39" spans="1:14">
      <c r="A39" s="223"/>
      <c r="B39" s="224"/>
      <c r="C39" s="224"/>
      <c r="D39" s="224"/>
      <c r="E39" s="224"/>
      <c r="F39" s="224"/>
      <c r="G39" s="224"/>
      <c r="H39" s="224"/>
      <c r="I39" s="225"/>
      <c r="J39" s="92"/>
      <c r="K39" s="229"/>
      <c r="L39" s="229"/>
      <c r="M39" s="229"/>
      <c r="N39" s="229"/>
    </row>
    <row r="40" spans="1:14">
      <c r="A40" s="223"/>
      <c r="B40" s="224"/>
      <c r="C40" s="224"/>
      <c r="D40" s="224"/>
      <c r="E40" s="224"/>
      <c r="F40" s="224"/>
      <c r="G40" s="224"/>
      <c r="H40" s="224"/>
      <c r="I40" s="225"/>
      <c r="J40" s="92"/>
      <c r="K40" s="229"/>
      <c r="L40" s="229"/>
      <c r="M40" s="229"/>
      <c r="N40" s="229"/>
    </row>
    <row r="41" spans="1:14">
      <c r="A41" s="223"/>
      <c r="B41" s="224"/>
      <c r="C41" s="224"/>
      <c r="D41" s="224"/>
      <c r="E41" s="224"/>
      <c r="F41" s="224"/>
      <c r="G41" s="224"/>
      <c r="H41" s="224"/>
      <c r="I41" s="225"/>
      <c r="J41" s="92"/>
      <c r="K41" s="92"/>
      <c r="L41" s="92"/>
      <c r="M41" s="92"/>
      <c r="N41" s="92"/>
    </row>
    <row r="42" spans="1:14">
      <c r="A42" s="223"/>
      <c r="B42" s="224"/>
      <c r="C42" s="224"/>
      <c r="D42" s="224"/>
      <c r="E42" s="224"/>
      <c r="F42" s="224"/>
      <c r="G42" s="224"/>
      <c r="H42" s="224"/>
      <c r="I42" s="225"/>
      <c r="J42" s="92"/>
      <c r="K42" s="92"/>
      <c r="L42" s="92"/>
      <c r="M42" s="92"/>
      <c r="N42" s="92"/>
    </row>
    <row r="43" spans="1:14">
      <c r="A43" s="223"/>
      <c r="B43" s="224"/>
      <c r="C43" s="224"/>
      <c r="D43" s="224"/>
      <c r="E43" s="224"/>
      <c r="F43" s="224"/>
      <c r="G43" s="224"/>
      <c r="H43" s="224"/>
      <c r="I43" s="225"/>
      <c r="J43" s="92"/>
      <c r="K43" s="92"/>
      <c r="L43" s="92"/>
      <c r="M43" s="92"/>
      <c r="N43" s="92"/>
    </row>
    <row r="44" spans="1:14">
      <c r="A44" s="223"/>
      <c r="B44" s="224"/>
      <c r="C44" s="224"/>
      <c r="D44" s="224"/>
      <c r="E44" s="224"/>
      <c r="F44" s="224"/>
      <c r="G44" s="224"/>
      <c r="H44" s="224"/>
      <c r="I44" s="225"/>
      <c r="J44" s="92"/>
      <c r="K44" s="92"/>
      <c r="L44" s="92"/>
      <c r="M44" s="92"/>
      <c r="N44" s="92"/>
    </row>
    <row r="45" spans="1:14">
      <c r="A45" s="223"/>
      <c r="B45" s="224"/>
      <c r="C45" s="224"/>
      <c r="D45" s="224"/>
      <c r="E45" s="224"/>
      <c r="F45" s="224"/>
      <c r="G45" s="224"/>
      <c r="H45" s="224"/>
      <c r="I45" s="225"/>
      <c r="J45" s="92"/>
      <c r="K45" s="92"/>
      <c r="L45" s="92"/>
      <c r="M45" s="92"/>
      <c r="N45" s="92"/>
    </row>
    <row r="46" spans="1:14">
      <c r="A46" s="223"/>
      <c r="B46" s="224"/>
      <c r="C46" s="224"/>
      <c r="D46" s="224"/>
      <c r="E46" s="224"/>
      <c r="F46" s="224"/>
      <c r="G46" s="224"/>
      <c r="H46" s="224"/>
      <c r="I46" s="225"/>
      <c r="J46" s="92"/>
      <c r="K46" s="92"/>
      <c r="L46" s="92"/>
      <c r="M46" s="92"/>
      <c r="N46" s="92"/>
    </row>
    <row r="47" spans="1:14">
      <c r="A47" s="223"/>
      <c r="B47" s="224"/>
      <c r="C47" s="224"/>
      <c r="D47" s="224"/>
      <c r="E47" s="224"/>
      <c r="F47" s="224"/>
      <c r="G47" s="224"/>
      <c r="H47" s="224"/>
      <c r="I47" s="225"/>
      <c r="J47" s="92"/>
      <c r="K47" s="92"/>
      <c r="L47" s="92"/>
      <c r="M47" s="92"/>
      <c r="N47" s="92"/>
    </row>
    <row r="48" spans="1:14">
      <c r="A48" s="223"/>
      <c r="B48" s="224"/>
      <c r="C48" s="224"/>
      <c r="D48" s="224"/>
      <c r="E48" s="224"/>
      <c r="F48" s="224"/>
      <c r="G48" s="224"/>
      <c r="H48" s="224"/>
      <c r="I48" s="225"/>
      <c r="J48" s="92"/>
      <c r="K48" s="92"/>
      <c r="L48" s="92"/>
      <c r="M48" s="92"/>
      <c r="N48" s="92"/>
    </row>
    <row r="49" spans="1:9">
      <c r="A49" s="223"/>
      <c r="B49" s="224"/>
      <c r="C49" s="224"/>
      <c r="D49" s="224"/>
      <c r="E49" s="224"/>
      <c r="F49" s="224"/>
      <c r="G49" s="224"/>
      <c r="H49" s="224"/>
      <c r="I49" s="225"/>
    </row>
    <row r="50" spans="1:9">
      <c r="A50" s="223"/>
      <c r="B50" s="224"/>
      <c r="C50" s="224"/>
      <c r="D50" s="224"/>
      <c r="E50" s="224"/>
      <c r="F50" s="224"/>
      <c r="G50" s="224"/>
      <c r="H50" s="224"/>
      <c r="I50" s="225"/>
    </row>
    <row r="51" spans="1:9">
      <c r="A51" s="223"/>
      <c r="B51" s="224"/>
      <c r="C51" s="224"/>
      <c r="D51" s="224"/>
      <c r="E51" s="224"/>
      <c r="F51" s="224"/>
      <c r="G51" s="224"/>
      <c r="H51" s="224"/>
      <c r="I51" s="225"/>
    </row>
    <row r="52" spans="1:9">
      <c r="A52" s="226"/>
      <c r="B52" s="227"/>
      <c r="C52" s="227"/>
      <c r="D52" s="227"/>
      <c r="E52" s="227"/>
      <c r="F52" s="227"/>
      <c r="G52" s="227"/>
      <c r="H52" s="227"/>
      <c r="I52" s="228"/>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view="pageBreakPreview" topLeftCell="A46" zoomScale="130" zoomScaleNormal="100" zoomScaleSheetLayoutView="130" workbookViewId="0">
      <selection activeCell="H54" sqref="H54"/>
    </sheetView>
  </sheetViews>
  <sheetFormatPr defaultColWidth="9.28515625" defaultRowHeight="15"/>
  <cols>
    <col min="1" max="7" width="9.28515625" style="2"/>
    <col min="8" max="8" width="12" style="2" customWidth="1"/>
    <col min="9" max="16384" width="9.28515625" style="2"/>
  </cols>
  <sheetData>
    <row r="1" spans="1:10" ht="15.6">
      <c r="A1" s="32">
        <f>+'Cover Page'!C39</f>
        <v>2022</v>
      </c>
      <c r="B1" s="33" t="s">
        <v>156</v>
      </c>
      <c r="C1" s="33"/>
      <c r="D1" s="33"/>
      <c r="E1" s="33"/>
      <c r="F1" s="33"/>
      <c r="G1" s="33"/>
      <c r="H1" s="33"/>
      <c r="I1" s="33"/>
      <c r="J1" s="33"/>
    </row>
    <row r="2" spans="1:10" ht="8.25" customHeight="1">
      <c r="A2" s="92"/>
      <c r="B2" s="92"/>
      <c r="C2" s="92"/>
      <c r="D2" s="92"/>
      <c r="E2" s="92"/>
      <c r="F2" s="92"/>
      <c r="G2" s="92"/>
      <c r="H2" s="92"/>
      <c r="I2" s="92"/>
      <c r="J2" s="92"/>
    </row>
    <row r="3" spans="1:10" s="3" customFormat="1" ht="13.9">
      <c r="A3" s="276" t="str">
        <f>+'Cover Page'!B31</f>
        <v>Permit EPR/VP3997NK</v>
      </c>
      <c r="B3" s="276"/>
      <c r="C3" s="276"/>
      <c r="D3" s="276"/>
      <c r="E3" s="276"/>
      <c r="F3" s="3" t="s">
        <v>157</v>
      </c>
      <c r="G3" s="186" t="str">
        <f>+'Cover Page'!B37:B37</f>
        <v>SUEZ Recycling and Recovery Surrey Ltd</v>
      </c>
      <c r="H3" s="186"/>
      <c r="I3" s="186"/>
    </row>
    <row r="4" spans="1:10" s="3" customFormat="1" ht="13.9">
      <c r="A4" s="3" t="s">
        <v>158</v>
      </c>
      <c r="B4" s="276" t="str">
        <f>+'Cover Page'!B33:I33</f>
        <v>Charlton Lane Eco Park</v>
      </c>
      <c r="C4" s="276"/>
      <c r="D4" s="276"/>
      <c r="E4" s="276"/>
      <c r="F4" s="3" t="s">
        <v>159</v>
      </c>
      <c r="G4" s="3" t="s">
        <v>160</v>
      </c>
    </row>
    <row r="5" spans="1:10" s="3" customFormat="1" ht="6.75" customHeight="1"/>
    <row r="6" spans="1:10" s="3" customFormat="1" ht="15.75" customHeight="1">
      <c r="A6" s="3" t="s">
        <v>161</v>
      </c>
      <c r="D6" s="277">
        <v>44562</v>
      </c>
      <c r="E6" s="277"/>
      <c r="F6" s="34" t="s">
        <v>162</v>
      </c>
      <c r="G6" s="277">
        <v>44926</v>
      </c>
      <c r="H6" s="277"/>
    </row>
    <row r="7" spans="1:10" s="3" customFormat="1" ht="7.5" customHeight="1"/>
    <row r="8" spans="1:10" s="3" customFormat="1" ht="15.6">
      <c r="A8" s="9">
        <f>+A1</f>
        <v>2022</v>
      </c>
      <c r="B8" s="33" t="s">
        <v>163</v>
      </c>
      <c r="C8"/>
      <c r="D8"/>
      <c r="E8"/>
      <c r="F8"/>
      <c r="G8"/>
    </row>
    <row r="9" spans="1:10" s="3" customFormat="1" ht="28.5" customHeight="1">
      <c r="A9" s="278" t="s">
        <v>164</v>
      </c>
      <c r="B9" s="278"/>
      <c r="C9" s="278" t="s">
        <v>165</v>
      </c>
      <c r="D9" s="278"/>
      <c r="E9" s="278" t="s">
        <v>166</v>
      </c>
      <c r="F9" s="278"/>
      <c r="G9" s="278" t="s">
        <v>167</v>
      </c>
      <c r="H9" s="278"/>
      <c r="I9" s="278" t="s">
        <v>168</v>
      </c>
      <c r="J9" s="278"/>
    </row>
    <row r="10" spans="1:10" s="3" customFormat="1" ht="14.25" customHeight="1">
      <c r="A10" s="239" t="s">
        <v>169</v>
      </c>
      <c r="B10" s="239"/>
      <c r="C10" s="239"/>
      <c r="D10" s="239"/>
      <c r="E10" s="239"/>
      <c r="F10" s="239"/>
      <c r="G10" s="239"/>
      <c r="H10" s="239"/>
      <c r="I10" s="239"/>
      <c r="J10" s="239"/>
    </row>
    <row r="11" spans="1:10" s="3" customFormat="1" ht="14.25" customHeight="1">
      <c r="A11" s="239" t="s">
        <v>170</v>
      </c>
      <c r="B11" s="239"/>
      <c r="C11" s="266" t="s">
        <v>171</v>
      </c>
      <c r="D11" s="266"/>
      <c r="E11" s="267">
        <v>1199</v>
      </c>
      <c r="F11" s="267"/>
      <c r="G11" s="267"/>
      <c r="H11" s="267"/>
      <c r="I11" s="268">
        <f>IF((E11+G11)&gt;0,(E11+G11)/'Operational Data'!$G$21, "-")</f>
        <v>4.4348276372244415E-2</v>
      </c>
      <c r="J11" s="268"/>
    </row>
    <row r="12" spans="1:10" s="3" customFormat="1" ht="14.25" customHeight="1">
      <c r="A12" s="239" t="s">
        <v>172</v>
      </c>
      <c r="B12" s="239"/>
      <c r="C12" s="266" t="s">
        <v>171</v>
      </c>
      <c r="D12" s="266"/>
      <c r="E12" s="267">
        <v>1154</v>
      </c>
      <c r="F12" s="267"/>
      <c r="G12" s="267"/>
      <c r="H12" s="267"/>
      <c r="I12" s="268">
        <f>IF((E12+G12)&gt;0,(E12+G12)/'Operational Data'!$G$21, "-")</f>
        <v>4.2683828968782367E-2</v>
      </c>
      <c r="J12" s="268"/>
    </row>
    <row r="13" spans="1:10" s="3" customFormat="1" ht="14.25" customHeight="1">
      <c r="A13" s="274" t="s">
        <v>117</v>
      </c>
      <c r="B13" s="274"/>
      <c r="C13" s="266"/>
      <c r="D13" s="266"/>
      <c r="E13" s="267">
        <v>803</v>
      </c>
      <c r="F13" s="267"/>
      <c r="G13" s="267"/>
      <c r="H13" s="267"/>
      <c r="I13" s="268">
        <f>IF((E13+G13)&gt;0,(E13+G13)/'Operational Data'!$G$21, "-")</f>
        <v>2.9701139221778368E-2</v>
      </c>
      <c r="J13" s="268"/>
    </row>
    <row r="14" spans="1:10" s="3" customFormat="1" ht="14.25" customHeight="1">
      <c r="A14" s="274"/>
      <c r="B14" s="274"/>
      <c r="C14" s="266"/>
      <c r="D14" s="266"/>
      <c r="E14" s="267"/>
      <c r="F14" s="267"/>
      <c r="G14" s="267"/>
      <c r="H14" s="267"/>
      <c r="I14" s="268" t="str">
        <f>IF((E14+G14)&gt;0,(E14+G14)/'Operational Data'!$G$21, "-")</f>
        <v>-</v>
      </c>
      <c r="J14" s="268"/>
    </row>
    <row r="15" spans="1:10" s="3" customFormat="1" ht="14.25" customHeight="1">
      <c r="A15" s="275" t="s">
        <v>173</v>
      </c>
      <c r="B15" s="275"/>
      <c r="C15" s="275"/>
      <c r="D15" s="275"/>
      <c r="E15" s="270">
        <f>SUM(E11:F14)</f>
        <v>3156</v>
      </c>
      <c r="F15" s="270"/>
      <c r="G15" s="270">
        <f>SUM(G11:H14)</f>
        <v>0</v>
      </c>
      <c r="H15" s="270"/>
      <c r="I15" s="268">
        <f>IF((E15+G15)&gt;0,(E15+G15)/'Operational Data'!$G$21, "-")</f>
        <v>0.11673324456280515</v>
      </c>
      <c r="J15" s="268"/>
    </row>
    <row r="16" spans="1:10" s="3" customFormat="1" ht="14.25" customHeight="1">
      <c r="A16" s="243"/>
      <c r="B16" s="244"/>
      <c r="C16" s="244"/>
      <c r="D16" s="244"/>
      <c r="E16" s="271"/>
      <c r="F16" s="271"/>
      <c r="G16" s="271"/>
      <c r="H16" s="271"/>
      <c r="I16" s="272"/>
      <c r="J16" s="247"/>
    </row>
    <row r="17" spans="1:10" s="3" customFormat="1" ht="14.25" customHeight="1">
      <c r="A17" s="273" t="s">
        <v>174</v>
      </c>
      <c r="B17" s="273"/>
      <c r="C17" s="273"/>
      <c r="D17" s="273"/>
      <c r="E17" s="273"/>
      <c r="F17" s="273"/>
      <c r="G17" s="273"/>
      <c r="H17" s="273"/>
      <c r="I17" s="273"/>
      <c r="J17" s="273"/>
    </row>
    <row r="18" spans="1:10" ht="14.25" customHeight="1">
      <c r="A18" s="239" t="s">
        <v>172</v>
      </c>
      <c r="B18" s="239"/>
      <c r="C18" s="266"/>
      <c r="D18" s="266"/>
      <c r="E18" s="267"/>
      <c r="F18" s="267"/>
      <c r="G18" s="267"/>
      <c r="H18" s="267"/>
      <c r="I18" s="268" t="str">
        <f>IF((E18+G18)&gt;0,(E18+G18)/'Operational Data'!$G$21, "-")</f>
        <v>-</v>
      </c>
      <c r="J18" s="268"/>
    </row>
    <row r="19" spans="1:10" s="3" customFormat="1" ht="14.25" customHeight="1">
      <c r="A19" s="239" t="s">
        <v>175</v>
      </c>
      <c r="B19" s="239"/>
      <c r="C19" s="266" t="s">
        <v>176</v>
      </c>
      <c r="D19" s="266"/>
      <c r="E19" s="267"/>
      <c r="F19" s="267"/>
      <c r="G19" s="267">
        <v>1381</v>
      </c>
      <c r="H19" s="267"/>
      <c r="I19" s="268">
        <f>IF((E19+G19)&gt;0,(E19+G19)/'Operational Data'!$G$21, "-")</f>
        <v>5.1080041426246489E-2</v>
      </c>
      <c r="J19" s="268"/>
    </row>
    <row r="20" spans="1:10" s="3" customFormat="1" ht="14.25" customHeight="1">
      <c r="A20" s="239" t="s">
        <v>177</v>
      </c>
      <c r="B20" s="239"/>
      <c r="C20" s="266"/>
      <c r="D20" s="266"/>
      <c r="E20" s="267"/>
      <c r="F20" s="267"/>
      <c r="G20" s="267"/>
      <c r="H20" s="267"/>
      <c r="I20" s="268" t="str">
        <f>IF((E20+G20)&gt;0,(E20+G20)/'Operational Data'!$G$21, "-")</f>
        <v>-</v>
      </c>
      <c r="J20" s="268"/>
    </row>
    <row r="21" spans="1:10" s="3" customFormat="1" ht="14.25" customHeight="1">
      <c r="A21" s="265"/>
      <c r="B21" s="265"/>
      <c r="C21" s="266"/>
      <c r="D21" s="266"/>
      <c r="E21" s="267"/>
      <c r="F21" s="267"/>
      <c r="G21" s="267"/>
      <c r="H21" s="267"/>
      <c r="I21" s="268" t="str">
        <f>IF((E21+G21)&gt;0,(E21+G21)/'Operational Data'!$G$21, "-")</f>
        <v>-</v>
      </c>
      <c r="J21" s="268"/>
    </row>
    <row r="22" spans="1:10" s="3" customFormat="1" ht="14.25" customHeight="1">
      <c r="A22" s="265"/>
      <c r="B22" s="265"/>
      <c r="C22" s="266"/>
      <c r="D22" s="266"/>
      <c r="E22" s="267"/>
      <c r="F22" s="267"/>
      <c r="G22" s="267"/>
      <c r="H22" s="267"/>
      <c r="I22" s="268" t="str">
        <f>IF((E22+G22)&gt;0,(E22+G22)/'Operational Data'!$G$21, "-")</f>
        <v>-</v>
      </c>
      <c r="J22" s="268"/>
    </row>
    <row r="23" spans="1:10" s="3" customFormat="1" ht="14.25" customHeight="1">
      <c r="A23" s="269" t="s">
        <v>178</v>
      </c>
      <c r="B23" s="269"/>
      <c r="C23" s="269"/>
      <c r="D23" s="269"/>
      <c r="E23" s="270">
        <f>SUM(E18:F22)</f>
        <v>0</v>
      </c>
      <c r="F23" s="270"/>
      <c r="G23" s="270">
        <f>SUM(G18:H22)</f>
        <v>1381</v>
      </c>
      <c r="H23" s="270"/>
      <c r="I23" s="268">
        <f>IF((E23+G23)&gt;0,(E23+G23)/'Operational Data'!$G$21, "-")</f>
        <v>5.1080041426246489E-2</v>
      </c>
      <c r="J23" s="268"/>
    </row>
    <row r="24" spans="1:10" s="3" customFormat="1" ht="14.25" customHeight="1">
      <c r="A24" s="262" t="s">
        <v>179</v>
      </c>
      <c r="B24" s="262"/>
      <c r="C24" s="262"/>
      <c r="D24" s="262"/>
      <c r="E24" s="263">
        <f>+E23+E15</f>
        <v>3156</v>
      </c>
      <c r="F24" s="263"/>
      <c r="G24" s="263">
        <f>+G23+G15</f>
        <v>1381</v>
      </c>
      <c r="H24" s="263"/>
      <c r="I24" s="264">
        <f>IF((E24+G24)&gt;0,(E24+G24)/'Operational Data'!$G$21, "-")</f>
        <v>0.16781328598905162</v>
      </c>
      <c r="J24" s="264"/>
    </row>
    <row r="25" spans="1:10" s="3" customFormat="1" ht="8.25" customHeight="1">
      <c r="A25" s="157"/>
      <c r="B25"/>
      <c r="C25"/>
      <c r="D25"/>
      <c r="E25"/>
      <c r="F25"/>
      <c r="G25"/>
    </row>
    <row r="26" spans="1:10" s="3" customFormat="1" ht="14.25" customHeight="1">
      <c r="A26" s="240" t="s">
        <v>180</v>
      </c>
      <c r="B26" s="240"/>
      <c r="C26" s="240"/>
      <c r="D26" s="240"/>
      <c r="E26" s="240"/>
      <c r="F26" s="240"/>
      <c r="G26" s="240"/>
      <c r="H26" s="240"/>
      <c r="I26" s="240"/>
      <c r="J26" s="240"/>
    </row>
    <row r="27" spans="1:10" s="3" customFormat="1" ht="14.25" customHeight="1">
      <c r="A27" s="241"/>
      <c r="B27" s="241"/>
      <c r="C27" s="241"/>
      <c r="D27" s="241"/>
      <c r="E27" s="241"/>
      <c r="F27" s="241"/>
      <c r="G27" s="241"/>
      <c r="H27" s="241"/>
      <c r="I27" s="241"/>
      <c r="J27" s="241"/>
    </row>
    <row r="28" spans="1:10" s="3" customFormat="1" ht="14.25" customHeight="1">
      <c r="A28" s="241"/>
      <c r="B28" s="241"/>
      <c r="C28" s="241"/>
      <c r="D28" s="241"/>
      <c r="E28" s="241"/>
      <c r="F28" s="241"/>
      <c r="G28" s="241"/>
      <c r="H28" s="241"/>
      <c r="I28" s="241"/>
      <c r="J28" s="241"/>
    </row>
    <row r="29" spans="1:10" s="3" customFormat="1" ht="14.25" customHeight="1">
      <c r="A29" s="241"/>
      <c r="B29" s="241"/>
      <c r="C29" s="241"/>
      <c r="D29" s="241"/>
      <c r="E29" s="241"/>
      <c r="F29" s="241"/>
      <c r="G29" s="241"/>
      <c r="H29" s="241"/>
      <c r="I29" s="241"/>
      <c r="J29" s="241"/>
    </row>
    <row r="30" spans="1:10" s="3" customFormat="1" ht="14.25" customHeight="1">
      <c r="A30" s="157"/>
      <c r="B30"/>
      <c r="C30"/>
      <c r="D30"/>
      <c r="E30"/>
      <c r="F30"/>
      <c r="G30"/>
    </row>
    <row r="31" spans="1:10" s="3" customFormat="1" ht="14.25" customHeight="1">
      <c r="A31" s="1">
        <f>+A1</f>
        <v>2022</v>
      </c>
      <c r="B31" s="33" t="s">
        <v>181</v>
      </c>
      <c r="C31" s="33"/>
      <c r="D31" s="33"/>
      <c r="E31" s="33"/>
      <c r="F31" s="33"/>
    </row>
    <row r="32" spans="1:10" s="3" customFormat="1" ht="24.75" customHeight="1">
      <c r="A32" s="257" t="s">
        <v>182</v>
      </c>
      <c r="B32" s="258"/>
      <c r="C32" s="258"/>
      <c r="D32" s="259"/>
      <c r="E32" s="37" t="s">
        <v>183</v>
      </c>
      <c r="F32" s="38"/>
      <c r="G32" s="39" t="s">
        <v>78</v>
      </c>
      <c r="H32" s="260" t="s">
        <v>184</v>
      </c>
      <c r="I32" s="261"/>
      <c r="J32" s="40" t="s">
        <v>78</v>
      </c>
    </row>
    <row r="33" spans="1:10" s="3" customFormat="1" ht="14.25" customHeight="1">
      <c r="A33" s="243" t="s">
        <v>121</v>
      </c>
      <c r="B33" s="244"/>
      <c r="C33" s="244"/>
      <c r="D33" s="245"/>
      <c r="E33" s="246">
        <f>(+'Operational Data'!G42)/1000</f>
        <v>24576.834999999999</v>
      </c>
      <c r="F33" s="247"/>
      <c r="G33" s="158" t="s">
        <v>185</v>
      </c>
      <c r="H33" s="248">
        <f>IF(E33&gt;0,E33/'Operational Data'!$G$21,"-")</f>
        <v>0.90904109335700545</v>
      </c>
      <c r="I33" s="249"/>
      <c r="J33" s="158" t="s">
        <v>186</v>
      </c>
    </row>
    <row r="34" spans="1:10" s="3" customFormat="1" ht="14.25" customHeight="1">
      <c r="A34" s="243" t="s">
        <v>187</v>
      </c>
      <c r="B34" s="244"/>
      <c r="C34" s="244"/>
      <c r="D34" s="245"/>
      <c r="E34" s="246">
        <f>(+'Operational Data'!G43+'Operational Data'!G42)/1000</f>
        <v>24576.834999999999</v>
      </c>
      <c r="F34" s="247"/>
      <c r="G34" s="158" t="s">
        <v>185</v>
      </c>
      <c r="H34" s="248">
        <f>IF(E34&gt;0,E34/'Operational Data'!$G$21,"-")</f>
        <v>0.90904109335700545</v>
      </c>
      <c r="I34" s="249"/>
      <c r="J34" s="158" t="s">
        <v>186</v>
      </c>
    </row>
    <row r="35" spans="1:10" s="3" customFormat="1" ht="14.25" customHeight="1">
      <c r="A35" s="243" t="s">
        <v>188</v>
      </c>
      <c r="B35" s="244"/>
      <c r="C35" s="244"/>
      <c r="D35" s="245"/>
      <c r="E35" s="246">
        <f>+'Operational Data'!G45</f>
        <v>499082</v>
      </c>
      <c r="F35" s="247"/>
      <c r="G35" s="158" t="s">
        <v>189</v>
      </c>
      <c r="H35" s="248">
        <f>IF(E35&gt;0,E35/'Operational Data'!$G$21,"-")</f>
        <v>18.459905311436604</v>
      </c>
      <c r="I35" s="249"/>
      <c r="J35" s="158" t="s">
        <v>190</v>
      </c>
    </row>
    <row r="36" spans="1:10" s="3" customFormat="1" ht="14.25" customHeight="1">
      <c r="A36" s="243" t="s">
        <v>127</v>
      </c>
      <c r="B36" s="244"/>
      <c r="C36" s="244"/>
      <c r="D36" s="245"/>
      <c r="E36" s="246">
        <f>+'Operational Data'!G46</f>
        <v>6100</v>
      </c>
      <c r="F36" s="247"/>
      <c r="G36" s="158" t="s">
        <v>189</v>
      </c>
      <c r="H36" s="248">
        <f>IF(E36&gt;0,E36/'Operational Data'!$G$21,"-")</f>
        <v>0.22562509246930018</v>
      </c>
      <c r="I36" s="249"/>
      <c r="J36" s="158" t="s">
        <v>190</v>
      </c>
    </row>
    <row r="37" spans="1:10" s="3" customFormat="1" ht="14.25" customHeight="1">
      <c r="A37" s="243" t="s">
        <v>191</v>
      </c>
      <c r="B37" s="244"/>
      <c r="C37" s="244"/>
      <c r="D37" s="245"/>
      <c r="E37" s="246">
        <f>+'Operational Data'!G47</f>
        <v>156575</v>
      </c>
      <c r="F37" s="247"/>
      <c r="G37" s="158" t="s">
        <v>189</v>
      </c>
      <c r="H37" s="248">
        <f>IF(E37&gt;0,E37/'Operational Data'!$G$21,"-")</f>
        <v>5.791352271046013</v>
      </c>
      <c r="I37" s="249"/>
      <c r="J37" s="158" t="s">
        <v>190</v>
      </c>
    </row>
    <row r="38" spans="1:10" s="3" customFormat="1" ht="14.25" customHeight="1">
      <c r="A38" s="250"/>
      <c r="B38" s="251"/>
      <c r="C38" s="251"/>
      <c r="D38" s="252"/>
      <c r="E38" s="253"/>
      <c r="F38" s="254"/>
      <c r="G38" s="159"/>
      <c r="H38" s="255"/>
      <c r="I38" s="256"/>
      <c r="J38" s="159"/>
    </row>
    <row r="39" spans="1:10" s="3" customFormat="1" ht="14.25" customHeight="1">
      <c r="A39" s="240" t="s">
        <v>180</v>
      </c>
      <c r="B39" s="240"/>
      <c r="C39" s="240"/>
      <c r="D39" s="240"/>
      <c r="E39" s="240"/>
      <c r="F39" s="240"/>
      <c r="G39" s="240"/>
      <c r="H39" s="240"/>
      <c r="I39" s="240"/>
      <c r="J39" s="240"/>
    </row>
    <row r="40" spans="1:10" s="3" customFormat="1" ht="14.25" customHeight="1">
      <c r="A40" s="241"/>
      <c r="B40" s="241"/>
      <c r="C40" s="241"/>
      <c r="D40" s="241"/>
      <c r="E40" s="241"/>
      <c r="F40" s="241"/>
      <c r="G40" s="241"/>
      <c r="H40" s="241"/>
      <c r="I40" s="241"/>
      <c r="J40" s="241"/>
    </row>
    <row r="41" spans="1:10" s="3" customFormat="1" ht="14.25" customHeight="1">
      <c r="A41" s="241"/>
      <c r="B41" s="241"/>
      <c r="C41" s="241"/>
      <c r="D41" s="241"/>
      <c r="E41" s="241"/>
      <c r="F41" s="241"/>
      <c r="G41" s="241"/>
      <c r="H41" s="241"/>
      <c r="I41" s="241"/>
      <c r="J41" s="241"/>
    </row>
    <row r="42" spans="1:10" s="3" customFormat="1" ht="14.25" customHeight="1">
      <c r="A42" s="41"/>
      <c r="B42" s="41"/>
      <c r="C42" s="41"/>
      <c r="D42" s="41"/>
      <c r="E42" s="41"/>
      <c r="F42" s="41"/>
      <c r="G42" s="41"/>
      <c r="H42" s="41"/>
      <c r="I42" s="41"/>
      <c r="J42" s="41"/>
    </row>
    <row r="43" spans="1:10" s="3" customFormat="1" ht="14.25" customHeight="1">
      <c r="A43" s="33">
        <f>+A31</f>
        <v>2022</v>
      </c>
      <c r="B43" s="33" t="s">
        <v>192</v>
      </c>
      <c r="C43" s="33"/>
      <c r="D43" s="33"/>
      <c r="E43" s="33"/>
      <c r="F43" s="33"/>
      <c r="G43" s="92"/>
    </row>
    <row r="44" spans="1:10" ht="14.25" customHeight="1">
      <c r="A44" s="242" t="s">
        <v>193</v>
      </c>
      <c r="B44" s="242"/>
      <c r="C44" s="242" t="s">
        <v>194</v>
      </c>
      <c r="D44" s="242"/>
      <c r="E44" s="242"/>
      <c r="F44" s="242"/>
      <c r="G44" s="242"/>
      <c r="H44" s="242"/>
      <c r="I44" s="242"/>
      <c r="J44" s="242"/>
    </row>
    <row r="45" spans="1:10" ht="14.25" customHeight="1">
      <c r="A45" s="42"/>
      <c r="B45" s="42"/>
      <c r="C45" s="35" t="s">
        <v>195</v>
      </c>
      <c r="D45" s="35" t="s">
        <v>196</v>
      </c>
      <c r="E45" s="35" t="s">
        <v>197</v>
      </c>
      <c r="F45" s="35" t="s">
        <v>198</v>
      </c>
      <c r="G45" s="35" t="s">
        <v>199</v>
      </c>
      <c r="H45" s="35"/>
      <c r="I45" s="35" t="s">
        <v>200</v>
      </c>
      <c r="J45" s="35" t="s">
        <v>201</v>
      </c>
    </row>
    <row r="46" spans="1:10" ht="31.5" customHeight="1">
      <c r="A46" s="239" t="s">
        <v>202</v>
      </c>
      <c r="B46" s="239"/>
      <c r="C46" s="155">
        <v>4731</v>
      </c>
      <c r="D46" s="155"/>
      <c r="E46" s="155"/>
      <c r="F46" s="160"/>
      <c r="G46" s="160"/>
      <c r="H46" s="160"/>
      <c r="I46" s="155">
        <v>4963</v>
      </c>
      <c r="J46" s="160"/>
    </row>
    <row r="47" spans="1:10" ht="43.5" customHeight="1">
      <c r="A47" s="239" t="s">
        <v>203</v>
      </c>
      <c r="B47" s="239"/>
      <c r="C47" s="155">
        <v>2</v>
      </c>
      <c r="D47" s="155"/>
      <c r="E47" s="155"/>
      <c r="F47" s="160"/>
      <c r="G47" s="160"/>
      <c r="H47" s="160"/>
      <c r="I47" s="160"/>
      <c r="J47" s="160"/>
    </row>
    <row r="48" spans="1:10" ht="42.75" customHeight="1">
      <c r="A48" s="239" t="s">
        <v>204</v>
      </c>
      <c r="B48" s="239"/>
      <c r="C48" s="155">
        <v>5.5</v>
      </c>
      <c r="D48" s="155"/>
      <c r="E48" s="155"/>
      <c r="F48" s="160"/>
      <c r="G48" s="160"/>
      <c r="H48" s="160"/>
      <c r="I48" s="160"/>
      <c r="J48" s="160"/>
    </row>
    <row r="49" spans="1:10" ht="8.25" customHeight="1">
      <c r="A49" s="92"/>
      <c r="B49" s="92"/>
      <c r="C49" s="92"/>
      <c r="D49" s="92"/>
      <c r="E49" s="92"/>
      <c r="F49" s="92"/>
      <c r="G49" s="92"/>
      <c r="H49" s="92"/>
      <c r="I49" s="92"/>
      <c r="J49" s="92"/>
    </row>
    <row r="50" spans="1:10">
      <c r="A50" s="240" t="s">
        <v>180</v>
      </c>
      <c r="B50" s="240"/>
      <c r="C50" s="240"/>
      <c r="D50" s="240"/>
      <c r="E50" s="240"/>
      <c r="F50" s="240"/>
      <c r="G50" s="240"/>
      <c r="H50" s="240"/>
      <c r="I50" s="240"/>
      <c r="J50" s="240"/>
    </row>
    <row r="51" spans="1:10">
      <c r="A51" s="241"/>
      <c r="B51" s="241"/>
      <c r="C51" s="241"/>
      <c r="D51" s="241"/>
      <c r="E51" s="241"/>
      <c r="F51" s="241"/>
      <c r="G51" s="241"/>
      <c r="H51" s="241"/>
      <c r="I51" s="241"/>
      <c r="J51" s="241"/>
    </row>
    <row r="52" spans="1:10">
      <c r="A52" s="241"/>
      <c r="B52" s="241"/>
      <c r="C52" s="241"/>
      <c r="D52" s="241"/>
      <c r="E52" s="241"/>
      <c r="F52" s="241"/>
      <c r="G52" s="241"/>
      <c r="H52" s="241"/>
      <c r="I52" s="241"/>
      <c r="J52" s="241"/>
    </row>
    <row r="54" spans="1:10">
      <c r="A54" s="3" t="s">
        <v>205</v>
      </c>
      <c r="B54" s="43" t="s">
        <v>17</v>
      </c>
      <c r="C54" s="43"/>
      <c r="D54" s="43"/>
      <c r="E54" s="43"/>
      <c r="F54" s="3"/>
      <c r="G54" s="3" t="s">
        <v>206</v>
      </c>
      <c r="H54" s="182">
        <v>44951</v>
      </c>
      <c r="I54" s="43"/>
      <c r="J54" s="92"/>
    </row>
    <row r="62" spans="1:10">
      <c r="A62" s="92"/>
      <c r="B62" s="92"/>
      <c r="C62" s="92"/>
      <c r="D62" s="92"/>
      <c r="E62" s="92"/>
      <c r="F62" s="3"/>
      <c r="G62" s="92"/>
      <c r="H62" s="92"/>
      <c r="I62" s="92"/>
      <c r="J62" s="92"/>
    </row>
  </sheetData>
  <mergeCells count="104">
    <mergeCell ref="A10:J10"/>
    <mergeCell ref="A11:B11"/>
    <mergeCell ref="C11:D11"/>
    <mergeCell ref="E11:F11"/>
    <mergeCell ref="G11:H11"/>
    <mergeCell ref="I11:J11"/>
    <mergeCell ref="A3:E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view="pageBreakPreview" zoomScale="130" zoomScaleNormal="100" zoomScaleSheetLayoutView="130" workbookViewId="0">
      <selection activeCell="H29" sqref="H29"/>
    </sheetView>
  </sheetViews>
  <sheetFormatPr defaultColWidth="9.28515625" defaultRowHeight="15"/>
  <cols>
    <col min="1" max="1" width="9.42578125" style="2" bestFit="1" customWidth="1"/>
    <col min="2" max="7" width="9.28515625" style="2"/>
    <col min="8" max="8" width="12.140625" style="2" customWidth="1"/>
    <col min="9" max="16384" width="9.28515625" style="2"/>
  </cols>
  <sheetData>
    <row r="1" spans="1:10" ht="15.6">
      <c r="A1" s="32">
        <f>+'Cover Page'!C39</f>
        <v>2022</v>
      </c>
      <c r="B1" s="33" t="s">
        <v>207</v>
      </c>
      <c r="C1" s="33"/>
      <c r="D1" s="33"/>
      <c r="E1" s="33"/>
      <c r="F1" s="33"/>
      <c r="G1" s="33"/>
      <c r="H1" s="33"/>
      <c r="I1" s="33"/>
      <c r="J1" s="33"/>
    </row>
    <row r="3" spans="1:10" s="3" customFormat="1" ht="15" customHeight="1">
      <c r="A3" s="3" t="str">
        <f>+'Cover Page'!B31</f>
        <v>Permit EPR/VP3997NK</v>
      </c>
      <c r="E3" s="3" t="s">
        <v>157</v>
      </c>
      <c r="F3" s="284" t="str">
        <f>+'Cover Page'!B37:B37</f>
        <v>SUEZ Recycling and Recovery Surrey Ltd</v>
      </c>
      <c r="G3" s="284"/>
      <c r="H3" s="284"/>
      <c r="I3" s="284"/>
    </row>
    <row r="4" spans="1:10" s="3" customFormat="1" ht="13.9"/>
    <row r="5" spans="1:10" s="3" customFormat="1" ht="13.9">
      <c r="A5" s="3" t="s">
        <v>158</v>
      </c>
      <c r="B5" s="276" t="str">
        <f>+'Cover Page'!B33:I33</f>
        <v>Charlton Lane Eco Park</v>
      </c>
      <c r="C5" s="276"/>
      <c r="D5" s="276"/>
      <c r="E5" s="276"/>
      <c r="F5" s="3" t="s">
        <v>159</v>
      </c>
      <c r="G5" s="3" t="s">
        <v>208</v>
      </c>
    </row>
    <row r="6" spans="1:10" s="3" customFormat="1" ht="13.9"/>
    <row r="7" spans="1:10" s="3" customFormat="1" ht="15.75" customHeight="1">
      <c r="A7" s="3" t="s">
        <v>161</v>
      </c>
      <c r="D7" s="286">
        <f>+'Perf. Form 1'!D6:E6</f>
        <v>44562</v>
      </c>
      <c r="E7" s="286"/>
      <c r="F7" s="34" t="s">
        <v>162</v>
      </c>
      <c r="G7" s="286">
        <f>+'Perf. Form 1'!G6:H6</f>
        <v>44926</v>
      </c>
      <c r="H7" s="286"/>
    </row>
    <row r="8" spans="1:10" s="3" customFormat="1" ht="14.45">
      <c r="B8"/>
      <c r="C8"/>
      <c r="D8"/>
    </row>
    <row r="9" spans="1:10" s="3" customFormat="1" ht="37.5" customHeight="1">
      <c r="A9" s="242" t="s">
        <v>209</v>
      </c>
      <c r="B9" s="242"/>
      <c r="C9" s="242"/>
      <c r="D9" s="278" t="s">
        <v>210</v>
      </c>
      <c r="E9" s="278"/>
      <c r="F9" s="35" t="s">
        <v>78</v>
      </c>
      <c r="G9" s="242" t="s">
        <v>211</v>
      </c>
      <c r="H9" s="242"/>
      <c r="I9" s="242"/>
    </row>
    <row r="10" spans="1:10" s="3" customFormat="1" ht="24.75" customHeight="1">
      <c r="A10" s="239" t="s">
        <v>212</v>
      </c>
      <c r="B10" s="239"/>
      <c r="C10" s="239"/>
      <c r="D10" s="280">
        <f>+'Operational Data'!G24</f>
        <v>16011</v>
      </c>
      <c r="E10" s="280"/>
      <c r="F10" s="161" t="s">
        <v>103</v>
      </c>
      <c r="G10" s="281">
        <f>+'Operational Data'!H24</f>
        <v>592.21038615179759</v>
      </c>
      <c r="H10" s="281"/>
      <c r="I10" s="281"/>
    </row>
    <row r="11" spans="1:10" s="3" customFormat="1" ht="24.75" customHeight="1">
      <c r="A11" s="239" t="s">
        <v>213</v>
      </c>
      <c r="B11" s="239"/>
      <c r="C11" s="239"/>
      <c r="D11" s="285">
        <f>+'Operational Data'!G27</f>
        <v>2290.33</v>
      </c>
      <c r="E11" s="285"/>
      <c r="F11" s="161" t="s">
        <v>103</v>
      </c>
      <c r="G11" s="281">
        <f>+'Operational Data'!H27</f>
        <v>84.714084923805302</v>
      </c>
      <c r="H11" s="281"/>
      <c r="I11" s="281"/>
    </row>
    <row r="12" spans="1:10" s="3" customFormat="1" ht="24.75" customHeight="1">
      <c r="A12" s="239" t="s">
        <v>214</v>
      </c>
      <c r="B12" s="239"/>
      <c r="C12" s="239"/>
      <c r="D12" s="280">
        <f>+'Operational Data'!G25</f>
        <v>9589</v>
      </c>
      <c r="E12" s="280"/>
      <c r="F12" s="161" t="s">
        <v>103</v>
      </c>
      <c r="G12" s="281">
        <f>+'Operational Data'!H25</f>
        <v>354.67524781772454</v>
      </c>
      <c r="H12" s="281"/>
      <c r="I12" s="281"/>
    </row>
    <row r="13" spans="1:10" s="3" customFormat="1" ht="24.75" customHeight="1">
      <c r="A13" s="239" t="s">
        <v>215</v>
      </c>
      <c r="B13" s="239"/>
      <c r="C13" s="239"/>
      <c r="D13" s="282">
        <f>('Operational Data'!G48/1000)*0.845</f>
        <v>1100.39787</v>
      </c>
      <c r="E13" s="282"/>
      <c r="F13" s="161" t="s">
        <v>86</v>
      </c>
      <c r="G13" s="283">
        <f>+(D13*42800*1000*(1/3600))/'Operational Data'!G21</f>
        <v>483.89214417813287</v>
      </c>
      <c r="H13" s="283"/>
      <c r="I13" s="283"/>
    </row>
    <row r="14" spans="1:10" s="3" customFormat="1" ht="24.75" customHeight="1">
      <c r="A14" s="239" t="s">
        <v>216</v>
      </c>
      <c r="B14" s="239"/>
      <c r="C14" s="239"/>
      <c r="D14" s="280">
        <f>+'Operational Data'!G30</f>
        <v>0</v>
      </c>
      <c r="E14" s="280"/>
      <c r="F14" s="161" t="s">
        <v>217</v>
      </c>
      <c r="G14" s="281" t="str">
        <f>+'Operational Data'!H30</f>
        <v>-</v>
      </c>
      <c r="H14" s="281"/>
      <c r="I14" s="281"/>
    </row>
    <row r="15" spans="1:10" s="3" customFormat="1" ht="24.75" customHeight="1">
      <c r="A15" s="274"/>
      <c r="B15" s="274"/>
      <c r="C15" s="274"/>
      <c r="D15" s="274"/>
      <c r="E15" s="274"/>
      <c r="F15" s="154"/>
      <c r="G15" s="208"/>
      <c r="H15" s="208"/>
      <c r="I15" s="208"/>
    </row>
    <row r="16" spans="1:10" s="3" customFormat="1" ht="24.75" customHeight="1">
      <c r="A16" s="274"/>
      <c r="B16" s="274"/>
      <c r="C16" s="274"/>
      <c r="D16" s="274"/>
      <c r="E16" s="274"/>
      <c r="F16" s="154"/>
      <c r="G16" s="208"/>
      <c r="H16" s="208"/>
      <c r="I16" s="208"/>
    </row>
    <row r="17" spans="1:9" s="3" customFormat="1" ht="14.45">
      <c r="A17" s="44"/>
      <c r="B17"/>
      <c r="C17"/>
      <c r="D17"/>
    </row>
    <row r="18" spans="1:9" s="3" customFormat="1" ht="24" customHeight="1">
      <c r="A18" s="240" t="s">
        <v>180</v>
      </c>
      <c r="B18" s="240"/>
      <c r="C18" s="240"/>
      <c r="D18" s="240"/>
      <c r="E18" s="240"/>
      <c r="F18" s="240"/>
      <c r="G18" s="240"/>
      <c r="H18" s="240"/>
      <c r="I18" s="240"/>
    </row>
    <row r="19" spans="1:9" s="3" customFormat="1" ht="13.9">
      <c r="A19" s="279" t="s">
        <v>218</v>
      </c>
      <c r="B19" s="279"/>
      <c r="C19" s="279"/>
      <c r="D19" s="279"/>
      <c r="E19" s="279"/>
      <c r="F19" s="279"/>
      <c r="G19" s="279"/>
      <c r="H19" s="279"/>
      <c r="I19" s="279"/>
    </row>
    <row r="20" spans="1:9" s="3" customFormat="1" ht="13.9">
      <c r="A20" s="279"/>
      <c r="B20" s="279"/>
      <c r="C20" s="279"/>
      <c r="D20" s="279"/>
      <c r="E20" s="279"/>
      <c r="F20" s="279"/>
      <c r="G20" s="279"/>
      <c r="H20" s="279"/>
      <c r="I20" s="279"/>
    </row>
    <row r="21" spans="1:9" s="3" customFormat="1" ht="13.9">
      <c r="A21" s="279"/>
      <c r="B21" s="279"/>
      <c r="C21" s="279"/>
      <c r="D21" s="279"/>
      <c r="E21" s="279"/>
      <c r="F21" s="279"/>
      <c r="G21" s="279"/>
      <c r="H21" s="279"/>
      <c r="I21" s="279"/>
    </row>
    <row r="22" spans="1:9" s="3" customFormat="1" ht="13.9">
      <c r="A22" s="279"/>
      <c r="B22" s="279"/>
      <c r="C22" s="279"/>
      <c r="D22" s="279"/>
      <c r="E22" s="279"/>
      <c r="F22" s="279"/>
      <c r="G22" s="279"/>
      <c r="H22" s="279"/>
      <c r="I22" s="279"/>
    </row>
    <row r="23" spans="1:9" s="3" customFormat="1" ht="13.9">
      <c r="A23" s="279"/>
      <c r="B23" s="279"/>
      <c r="C23" s="279"/>
      <c r="D23" s="279"/>
      <c r="E23" s="279"/>
      <c r="F23" s="279"/>
      <c r="G23" s="279"/>
      <c r="H23" s="279"/>
      <c r="I23" s="279"/>
    </row>
    <row r="24" spans="1:9" s="3" customFormat="1" ht="13.9">
      <c r="A24" s="279"/>
      <c r="B24" s="279"/>
      <c r="C24" s="279"/>
      <c r="D24" s="279"/>
      <c r="E24" s="279"/>
      <c r="F24" s="279"/>
      <c r="G24" s="279"/>
      <c r="H24" s="279"/>
      <c r="I24" s="279"/>
    </row>
    <row r="25" spans="1:9" s="3" customFormat="1" ht="13.9">
      <c r="A25" s="279"/>
      <c r="B25" s="279"/>
      <c r="C25" s="279"/>
      <c r="D25" s="279"/>
      <c r="E25" s="279"/>
      <c r="F25" s="279"/>
      <c r="G25" s="279"/>
      <c r="H25" s="279"/>
      <c r="I25" s="279"/>
    </row>
    <row r="26" spans="1:9" s="3" customFormat="1" ht="13.9">
      <c r="A26" s="41"/>
      <c r="B26" s="41"/>
      <c r="C26" s="41"/>
      <c r="D26" s="41"/>
      <c r="E26" s="41"/>
      <c r="F26" s="41"/>
      <c r="G26" s="41"/>
      <c r="H26" s="41"/>
      <c r="I26" s="41"/>
    </row>
    <row r="27" spans="1:9" s="3" customFormat="1" ht="13.9"/>
    <row r="28" spans="1:9" s="3" customFormat="1" ht="13.9"/>
    <row r="29" spans="1:9" s="3" customFormat="1" ht="13.9">
      <c r="A29" s="3" t="s">
        <v>205</v>
      </c>
      <c r="B29" s="43" t="s">
        <v>17</v>
      </c>
      <c r="C29" s="43"/>
      <c r="D29" s="43"/>
      <c r="E29" s="43"/>
      <c r="G29" s="3" t="s">
        <v>206</v>
      </c>
      <c r="H29" s="182">
        <v>44951</v>
      </c>
      <c r="I29" s="43"/>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92"/>
      <c r="B34" s="92"/>
      <c r="C34" s="92"/>
      <c r="D34" s="92"/>
      <c r="E34" s="92"/>
      <c r="F34" s="92"/>
      <c r="G34" s="92"/>
      <c r="H34" s="92"/>
      <c r="I34" s="92"/>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F3:I3"/>
    <mergeCell ref="A10:C10"/>
    <mergeCell ref="D10:E10"/>
    <mergeCell ref="G10:I10"/>
    <mergeCell ref="A11:C11"/>
    <mergeCell ref="D11:E11"/>
    <mergeCell ref="G11:I11"/>
    <mergeCell ref="B5:E5"/>
    <mergeCell ref="D7:E7"/>
    <mergeCell ref="G7:H7"/>
    <mergeCell ref="A9:C9"/>
    <mergeCell ref="D9:E9"/>
    <mergeCell ref="G9:I9"/>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8"/>
  <sheetViews>
    <sheetView view="pageBreakPreview" zoomScale="145" zoomScaleNormal="100" zoomScaleSheetLayoutView="145" workbookViewId="0">
      <selection activeCell="E30" sqref="E30:G30"/>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6" width="9.28515625" style="2"/>
    <col min="7" max="7" width="11.140625" style="2" customWidth="1"/>
    <col min="8"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2" t="str">
        <f>+'Cover Page'!$B$29</f>
        <v>Annual Performance Report 2022</v>
      </c>
      <c r="B1" s="92"/>
      <c r="C1" s="92"/>
      <c r="D1" s="92"/>
      <c r="E1" s="92" t="str">
        <f>+'Cover Page'!$B$33</f>
        <v>Charlton Lane Eco Park</v>
      </c>
      <c r="F1" s="92"/>
      <c r="G1" s="92"/>
      <c r="H1" s="92"/>
      <c r="I1" s="92"/>
      <c r="J1" s="92"/>
      <c r="K1" s="92"/>
      <c r="L1" s="92"/>
      <c r="M1" s="92"/>
      <c r="N1" s="92"/>
      <c r="O1" s="92"/>
    </row>
    <row r="3" spans="1:15" ht="15.6">
      <c r="A3" s="1" t="s">
        <v>219</v>
      </c>
      <c r="B3" s="92"/>
      <c r="C3" s="92"/>
      <c r="D3" s="92"/>
      <c r="E3" s="92"/>
      <c r="F3" s="92"/>
      <c r="G3" s="92"/>
      <c r="H3" s="92"/>
      <c r="I3" s="92"/>
      <c r="J3" s="92"/>
      <c r="K3" s="92"/>
      <c r="L3" s="92"/>
      <c r="M3" s="92"/>
      <c r="N3" s="92"/>
      <c r="O3" s="92"/>
    </row>
    <row r="4" spans="1:15" ht="15.6">
      <c r="A4" s="1"/>
      <c r="B4" s="92"/>
      <c r="C4" s="92"/>
      <c r="D4" s="92"/>
      <c r="E4" s="92"/>
      <c r="F4" s="92"/>
      <c r="G4" s="92"/>
      <c r="H4" s="92"/>
      <c r="I4" s="92"/>
      <c r="J4" s="92"/>
      <c r="K4" s="92"/>
      <c r="L4" s="92"/>
      <c r="M4" s="92"/>
      <c r="N4" s="92"/>
      <c r="O4" s="92"/>
    </row>
    <row r="5" spans="1:15">
      <c r="A5" s="9" t="s">
        <v>220</v>
      </c>
      <c r="B5" s="92"/>
      <c r="C5" s="92"/>
      <c r="D5" s="92"/>
      <c r="E5" s="92"/>
      <c r="F5" s="92"/>
      <c r="G5" s="92"/>
      <c r="H5" s="92"/>
      <c r="I5" s="92"/>
      <c r="J5" s="92"/>
      <c r="K5" s="92"/>
      <c r="L5" s="92"/>
      <c r="M5" s="92"/>
      <c r="N5" s="92"/>
      <c r="O5" s="92"/>
    </row>
    <row r="6" spans="1:15">
      <c r="A6" s="9"/>
      <c r="B6" s="92"/>
      <c r="C6" s="92"/>
      <c r="D6" s="92"/>
      <c r="E6" s="92"/>
      <c r="F6" s="92"/>
      <c r="G6" s="92"/>
      <c r="H6" s="92"/>
      <c r="I6" s="92"/>
      <c r="J6" s="92"/>
      <c r="K6" s="92"/>
      <c r="L6" s="92"/>
      <c r="M6" s="92"/>
      <c r="N6" s="92"/>
      <c r="O6" s="92"/>
    </row>
    <row r="7" spans="1:15">
      <c r="A7" s="112" t="s">
        <v>221</v>
      </c>
      <c r="B7" s="92"/>
      <c r="C7" s="92"/>
      <c r="D7" s="92"/>
      <c r="E7" s="92"/>
      <c r="F7" s="92"/>
      <c r="G7" s="92"/>
      <c r="H7" s="92"/>
      <c r="I7" s="92"/>
      <c r="J7" s="92"/>
      <c r="K7" s="92"/>
      <c r="L7" s="92"/>
      <c r="M7" s="92"/>
      <c r="N7" s="92"/>
      <c r="O7" s="92"/>
    </row>
    <row r="8" spans="1:15" s="3" customFormat="1" ht="25.5" customHeight="1">
      <c r="A8" s="301" t="s">
        <v>222</v>
      </c>
      <c r="B8" s="302"/>
      <c r="C8" s="301" t="s">
        <v>223</v>
      </c>
      <c r="D8" s="303"/>
      <c r="E8" s="303"/>
      <c r="F8" s="303"/>
      <c r="G8" s="303"/>
      <c r="H8" s="303"/>
      <c r="I8" s="302"/>
      <c r="L8" s="80" t="s">
        <v>3</v>
      </c>
    </row>
    <row r="9" spans="1:15" s="3" customFormat="1" ht="22.5" customHeight="1">
      <c r="A9" s="304"/>
      <c r="B9" s="305"/>
      <c r="C9" s="306" t="s">
        <v>224</v>
      </c>
      <c r="D9" s="306"/>
      <c r="E9" s="306"/>
      <c r="F9" s="306" t="s">
        <v>225</v>
      </c>
      <c r="G9" s="306"/>
      <c r="H9" s="306"/>
      <c r="I9" s="306"/>
      <c r="L9" s="229" t="s">
        <v>226</v>
      </c>
      <c r="M9" s="229"/>
      <c r="N9" s="229"/>
      <c r="O9" s="229"/>
    </row>
    <row r="10" spans="1:15" s="3" customFormat="1" ht="22.5" customHeight="1">
      <c r="A10" s="300" t="s">
        <v>227</v>
      </c>
      <c r="B10" s="300"/>
      <c r="C10" s="297">
        <v>1</v>
      </c>
      <c r="D10" s="296"/>
      <c r="E10" s="296"/>
      <c r="F10" s="297">
        <v>1</v>
      </c>
      <c r="G10" s="296"/>
      <c r="H10" s="296"/>
      <c r="I10" s="296"/>
      <c r="L10" s="229"/>
      <c r="M10" s="229"/>
      <c r="N10" s="229"/>
      <c r="O10" s="229"/>
    </row>
    <row r="11" spans="1:15" s="3" customFormat="1" ht="22.5" customHeight="1">
      <c r="A11" s="300" t="s">
        <v>228</v>
      </c>
      <c r="B11" s="300"/>
      <c r="C11" s="297">
        <v>1</v>
      </c>
      <c r="D11" s="296"/>
      <c r="E11" s="296"/>
      <c r="F11" s="297">
        <v>0.99429999999999996</v>
      </c>
      <c r="G11" s="296"/>
      <c r="H11" s="296"/>
      <c r="I11" s="296"/>
      <c r="L11" s="229"/>
      <c r="M11" s="229"/>
      <c r="N11" s="229"/>
      <c r="O11" s="229"/>
    </row>
    <row r="12" spans="1:15" s="3" customFormat="1" ht="22.5" customHeight="1">
      <c r="A12" s="300" t="s">
        <v>229</v>
      </c>
      <c r="B12" s="300"/>
      <c r="C12" s="297">
        <v>1</v>
      </c>
      <c r="D12" s="296"/>
      <c r="E12" s="296"/>
      <c r="F12" s="297">
        <v>1</v>
      </c>
      <c r="G12" s="296"/>
      <c r="H12" s="296"/>
      <c r="I12" s="296"/>
      <c r="L12" s="229"/>
      <c r="M12" s="229"/>
      <c r="N12" s="229"/>
      <c r="O12" s="229"/>
    </row>
    <row r="13" spans="1:15" s="3" customFormat="1" ht="22.5" customHeight="1">
      <c r="A13" s="300" t="s">
        <v>230</v>
      </c>
      <c r="B13" s="300"/>
      <c r="C13" s="266" t="s">
        <v>231</v>
      </c>
      <c r="D13" s="296"/>
      <c r="E13" s="296"/>
      <c r="F13" s="297">
        <v>1</v>
      </c>
      <c r="G13" s="296"/>
      <c r="H13" s="296"/>
      <c r="I13" s="296"/>
      <c r="L13" s="229"/>
      <c r="M13" s="229"/>
      <c r="N13" s="229"/>
      <c r="O13" s="229"/>
    </row>
    <row r="14" spans="1:15" s="3" customFormat="1" ht="22.5" customHeight="1">
      <c r="A14" s="300" t="s">
        <v>232</v>
      </c>
      <c r="B14" s="300"/>
      <c r="C14" s="297">
        <v>1</v>
      </c>
      <c r="D14" s="296"/>
      <c r="E14" s="296"/>
      <c r="F14" s="297">
        <v>1</v>
      </c>
      <c r="G14" s="296"/>
      <c r="H14" s="296"/>
      <c r="I14" s="296"/>
      <c r="L14" s="229"/>
      <c r="M14" s="229"/>
      <c r="N14" s="229"/>
      <c r="O14" s="229"/>
    </row>
    <row r="15" spans="1:15" s="3" customFormat="1" ht="22.5" customHeight="1">
      <c r="A15" s="300" t="s">
        <v>233</v>
      </c>
      <c r="B15" s="300"/>
      <c r="C15" s="297">
        <v>1</v>
      </c>
      <c r="D15" s="296"/>
      <c r="E15" s="296"/>
      <c r="F15" s="297">
        <v>1</v>
      </c>
      <c r="G15" s="296"/>
      <c r="H15" s="296"/>
      <c r="I15" s="296"/>
      <c r="L15" s="229"/>
      <c r="M15" s="229"/>
      <c r="N15" s="229"/>
      <c r="O15" s="229"/>
    </row>
    <row r="16" spans="1:15" s="3" customFormat="1" ht="22.5" customHeight="1">
      <c r="A16" s="300"/>
      <c r="B16" s="300"/>
      <c r="C16" s="297"/>
      <c r="D16" s="296"/>
      <c r="E16" s="296"/>
      <c r="F16" s="296"/>
      <c r="G16" s="296"/>
      <c r="H16" s="296"/>
      <c r="I16" s="296"/>
      <c r="L16" s="229"/>
      <c r="M16" s="229"/>
      <c r="N16" s="229"/>
      <c r="O16" s="229"/>
    </row>
    <row r="17" spans="1:15" s="3" customFormat="1" ht="22.5" customHeight="1">
      <c r="A17" s="298"/>
      <c r="B17" s="299"/>
      <c r="C17" s="296"/>
      <c r="D17" s="296"/>
      <c r="E17" s="296"/>
      <c r="F17" s="296"/>
      <c r="G17" s="296"/>
      <c r="H17" s="296"/>
      <c r="I17" s="296"/>
      <c r="L17" s="229"/>
      <c r="M17" s="229"/>
      <c r="N17" s="229"/>
      <c r="O17" s="229"/>
    </row>
    <row r="18" spans="1:15" s="3" customFormat="1" ht="13.9">
      <c r="L18" s="229"/>
      <c r="M18" s="229"/>
      <c r="N18" s="229"/>
      <c r="O18" s="229"/>
    </row>
    <row r="19" spans="1:15" s="44" customFormat="1" ht="21.75" customHeight="1">
      <c r="A19" s="287" t="s">
        <v>234</v>
      </c>
      <c r="B19" s="288"/>
      <c r="C19" s="288"/>
      <c r="D19" s="288"/>
      <c r="E19" s="288"/>
      <c r="F19" s="288"/>
      <c r="G19" s="288"/>
      <c r="H19" s="288"/>
      <c r="I19" s="288"/>
      <c r="J19" s="288"/>
      <c r="K19" s="289"/>
    </row>
    <row r="20" spans="1:15" s="3" customFormat="1" ht="38.25" customHeight="1">
      <c r="A20" s="45" t="s">
        <v>55</v>
      </c>
      <c r="B20" s="291" t="s">
        <v>235</v>
      </c>
      <c r="C20" s="291"/>
      <c r="D20" s="291"/>
      <c r="E20" s="291" t="s">
        <v>236</v>
      </c>
      <c r="F20" s="291"/>
      <c r="G20" s="291"/>
      <c r="H20" s="291" t="s">
        <v>237</v>
      </c>
      <c r="I20" s="291"/>
      <c r="J20" s="292"/>
      <c r="K20" s="71"/>
    </row>
    <row r="21" spans="1:15" s="3" customFormat="1" ht="27.75" customHeight="1">
      <c r="A21" s="163">
        <v>44577</v>
      </c>
      <c r="B21" s="208" t="s">
        <v>238</v>
      </c>
      <c r="C21" s="208"/>
      <c r="D21" s="208"/>
      <c r="E21" s="293" t="s">
        <v>239</v>
      </c>
      <c r="F21" s="293"/>
      <c r="G21" s="294"/>
      <c r="H21" s="293" t="s">
        <v>240</v>
      </c>
      <c r="I21" s="293"/>
      <c r="J21" s="294"/>
      <c r="K21" s="71"/>
    </row>
    <row r="22" spans="1:15" s="3" customFormat="1" ht="31.5" customHeight="1">
      <c r="A22" s="163">
        <v>44621</v>
      </c>
      <c r="B22" s="208" t="s">
        <v>241</v>
      </c>
      <c r="C22" s="208"/>
      <c r="D22" s="208"/>
      <c r="E22" s="293" t="s">
        <v>242</v>
      </c>
      <c r="F22" s="293"/>
      <c r="G22" s="294"/>
      <c r="H22" s="208" t="s">
        <v>243</v>
      </c>
      <c r="I22" s="208"/>
      <c r="J22" s="290"/>
      <c r="K22" s="71"/>
    </row>
    <row r="23" spans="1:15" s="3" customFormat="1" ht="56.25" customHeight="1">
      <c r="A23" s="163">
        <v>44659</v>
      </c>
      <c r="B23" s="208" t="s">
        <v>244</v>
      </c>
      <c r="C23" s="208"/>
      <c r="D23" s="208"/>
      <c r="E23" s="208" t="s">
        <v>245</v>
      </c>
      <c r="F23" s="208"/>
      <c r="G23" s="208"/>
      <c r="H23" s="293" t="s">
        <v>246</v>
      </c>
      <c r="I23" s="293"/>
      <c r="J23" s="294"/>
      <c r="K23" s="71"/>
    </row>
    <row r="24" spans="1:15" s="3" customFormat="1" ht="41.25" customHeight="1">
      <c r="A24" s="163">
        <v>44789</v>
      </c>
      <c r="B24" s="293" t="s">
        <v>247</v>
      </c>
      <c r="C24" s="293"/>
      <c r="D24" s="294"/>
      <c r="E24" s="208" t="s">
        <v>248</v>
      </c>
      <c r="F24" s="208"/>
      <c r="G24" s="208"/>
      <c r="H24" s="293" t="s">
        <v>249</v>
      </c>
      <c r="I24" s="293"/>
      <c r="J24" s="294"/>
      <c r="K24" s="71"/>
    </row>
    <row r="25" spans="1:15" s="3" customFormat="1" ht="27" customHeight="1">
      <c r="A25" s="163">
        <v>44902</v>
      </c>
      <c r="B25" s="208" t="s">
        <v>250</v>
      </c>
      <c r="C25" s="208"/>
      <c r="D25" s="208"/>
      <c r="E25" s="208" t="s">
        <v>251</v>
      </c>
      <c r="F25" s="208"/>
      <c r="G25" s="208"/>
      <c r="H25" s="293" t="s">
        <v>252</v>
      </c>
      <c r="I25" s="293"/>
      <c r="J25" s="294"/>
      <c r="K25" s="71"/>
    </row>
    <row r="26" spans="1:15" s="3" customFormat="1" ht="27.75" customHeight="1">
      <c r="A26" s="163">
        <v>44919</v>
      </c>
      <c r="B26" s="293" t="s">
        <v>253</v>
      </c>
      <c r="C26" s="293"/>
      <c r="D26" s="294"/>
      <c r="E26" s="293" t="s">
        <v>254</v>
      </c>
      <c r="F26" s="293"/>
      <c r="G26" s="294"/>
      <c r="H26" s="293" t="s">
        <v>255</v>
      </c>
      <c r="I26" s="293"/>
      <c r="J26" s="294"/>
      <c r="K26" s="71"/>
    </row>
    <row r="27" spans="1:15" s="3" customFormat="1" ht="13.9"/>
    <row r="28" spans="1:15" s="44" customFormat="1" ht="22.5" customHeight="1">
      <c r="A28" s="287" t="s">
        <v>256</v>
      </c>
      <c r="B28" s="288"/>
      <c r="C28" s="288"/>
      <c r="D28" s="288"/>
      <c r="E28" s="288"/>
      <c r="F28" s="288"/>
      <c r="G28" s="288"/>
      <c r="H28" s="288"/>
      <c r="I28" s="288"/>
      <c r="J28" s="288"/>
      <c r="K28" s="289"/>
    </row>
    <row r="29" spans="1:15" s="3" customFormat="1" ht="39" customHeight="1">
      <c r="A29" s="45" t="s">
        <v>55</v>
      </c>
      <c r="B29" s="291" t="s">
        <v>257</v>
      </c>
      <c r="C29" s="291"/>
      <c r="D29" s="291"/>
      <c r="E29" s="291" t="s">
        <v>258</v>
      </c>
      <c r="F29" s="291"/>
      <c r="G29" s="291"/>
      <c r="H29" s="291" t="s">
        <v>237</v>
      </c>
      <c r="I29" s="291"/>
      <c r="J29" s="292"/>
      <c r="K29" s="71"/>
    </row>
    <row r="30" spans="1:15" s="3" customFormat="1" ht="147.75" customHeight="1">
      <c r="A30" s="184">
        <v>2022</v>
      </c>
      <c r="B30" s="279" t="s">
        <v>259</v>
      </c>
      <c r="C30" s="279"/>
      <c r="D30" s="279"/>
      <c r="E30" s="202" t="s">
        <v>260</v>
      </c>
      <c r="F30" s="202"/>
      <c r="G30" s="202"/>
      <c r="H30" s="279" t="s">
        <v>261</v>
      </c>
      <c r="I30" s="279"/>
      <c r="J30" s="279"/>
      <c r="K30" s="71"/>
    </row>
    <row r="31" spans="1:15" s="3" customFormat="1" ht="156.75" customHeight="1">
      <c r="A31" s="184">
        <v>2022</v>
      </c>
      <c r="B31" s="279" t="s">
        <v>262</v>
      </c>
      <c r="C31" s="279"/>
      <c r="D31" s="279"/>
      <c r="E31" s="202" t="s">
        <v>260</v>
      </c>
      <c r="F31" s="202"/>
      <c r="G31" s="202"/>
      <c r="H31" s="202" t="s">
        <v>263</v>
      </c>
      <c r="I31" s="202"/>
      <c r="J31" s="295"/>
      <c r="K31" s="71"/>
    </row>
    <row r="32" spans="1:15" ht="270.75" customHeight="1">
      <c r="A32" s="184">
        <v>2022</v>
      </c>
      <c r="B32" s="279" t="s">
        <v>264</v>
      </c>
      <c r="C32" s="279"/>
      <c r="D32" s="279"/>
      <c r="E32" s="202" t="s">
        <v>260</v>
      </c>
      <c r="F32" s="202"/>
      <c r="G32" s="202"/>
      <c r="H32" s="279" t="s">
        <v>265</v>
      </c>
      <c r="I32" s="279"/>
      <c r="J32" s="279"/>
      <c r="K32" s="71"/>
      <c r="L32" s="92"/>
      <c r="M32" s="92"/>
      <c r="N32" s="92"/>
      <c r="O32" s="92"/>
    </row>
    <row r="33" spans="1:11" s="3" customFormat="1" ht="13.9">
      <c r="A33" s="105"/>
      <c r="B33" s="208"/>
      <c r="C33" s="208"/>
      <c r="D33" s="208"/>
      <c r="E33" s="208"/>
      <c r="F33" s="208"/>
      <c r="G33" s="208"/>
      <c r="H33" s="208"/>
      <c r="I33" s="208"/>
      <c r="J33" s="290"/>
      <c r="K33" s="71"/>
    </row>
    <row r="34" spans="1:11" s="3" customFormat="1" ht="13.9">
      <c r="A34" s="105"/>
      <c r="B34" s="208"/>
      <c r="C34" s="208"/>
      <c r="D34" s="208"/>
      <c r="E34" s="208"/>
      <c r="F34" s="208"/>
      <c r="G34" s="208"/>
      <c r="H34" s="208"/>
      <c r="I34" s="208"/>
      <c r="J34" s="290"/>
      <c r="K34" s="71"/>
    </row>
    <row r="35" spans="1:11" s="3" customFormat="1" ht="29.25" customHeight="1">
      <c r="A35" s="112"/>
      <c r="E35" s="307" t="s">
        <v>266</v>
      </c>
      <c r="F35" s="307"/>
      <c r="G35" s="307"/>
      <c r="H35" s="307"/>
      <c r="I35" s="307"/>
      <c r="J35" s="112"/>
    </row>
    <row r="68" spans="6:6">
      <c r="F68" s="3"/>
    </row>
  </sheetData>
  <mergeCells count="72">
    <mergeCell ref="L9:O18"/>
    <mergeCell ref="E35:I35"/>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6:J26"/>
    <mergeCell ref="B22:D22"/>
    <mergeCell ref="E22:G22"/>
    <mergeCell ref="H22:J22"/>
    <mergeCell ref="B23:D23"/>
    <mergeCell ref="E23:G23"/>
    <mergeCell ref="H23:J23"/>
    <mergeCell ref="B25:D25"/>
    <mergeCell ref="E25:G25"/>
    <mergeCell ref="H25:J25"/>
    <mergeCell ref="B34:D34"/>
    <mergeCell ref="E34:G34"/>
    <mergeCell ref="H34:J34"/>
    <mergeCell ref="B31:D31"/>
    <mergeCell ref="E31:G31"/>
    <mergeCell ref="H31:J31"/>
    <mergeCell ref="B32:D32"/>
    <mergeCell ref="E32:G32"/>
    <mergeCell ref="H32:J32"/>
    <mergeCell ref="A28:K28"/>
    <mergeCell ref="A19:K19"/>
    <mergeCell ref="B33:D33"/>
    <mergeCell ref="E33:G33"/>
    <mergeCell ref="H33:J33"/>
    <mergeCell ref="B29:D29"/>
    <mergeCell ref="E29:G29"/>
    <mergeCell ref="H29:J29"/>
    <mergeCell ref="B30:D30"/>
    <mergeCell ref="E30:G30"/>
    <mergeCell ref="H30:J30"/>
    <mergeCell ref="B24:D24"/>
    <mergeCell ref="E24:G24"/>
    <mergeCell ref="H24:J24"/>
    <mergeCell ref="B26:D26"/>
    <mergeCell ref="E26:G26"/>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view="pageBreakPreview" topLeftCell="A16" zoomScale="115" zoomScaleNormal="100" zoomScaleSheetLayoutView="115" workbookViewId="0">
      <selection activeCell="A17" sqref="A17:I25"/>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Charlton Lane Eco Park</v>
      </c>
      <c r="F1" s="92"/>
      <c r="G1" s="92"/>
      <c r="H1" s="92"/>
      <c r="I1" s="92"/>
    </row>
    <row r="3" spans="1:9" ht="15.6">
      <c r="A3" s="1" t="s">
        <v>267</v>
      </c>
      <c r="B3" s="92"/>
      <c r="C3" s="92"/>
      <c r="D3" s="92"/>
      <c r="E3" s="92"/>
      <c r="F3" s="92"/>
      <c r="G3" s="92"/>
      <c r="H3" s="92"/>
      <c r="I3" s="92"/>
    </row>
    <row r="4" spans="1:9" ht="15.6">
      <c r="A4" s="1"/>
      <c r="B4" s="92"/>
      <c r="C4" s="92"/>
      <c r="D4" s="92"/>
      <c r="E4" s="92"/>
      <c r="F4" s="92"/>
      <c r="G4" s="92"/>
      <c r="H4" s="92"/>
      <c r="I4" s="92"/>
    </row>
    <row r="5" spans="1:9" s="3" customFormat="1" ht="13.9">
      <c r="A5" s="311" t="s">
        <v>268</v>
      </c>
      <c r="B5" s="312"/>
      <c r="C5" s="312"/>
      <c r="D5" s="312"/>
      <c r="E5" s="312"/>
      <c r="F5" s="312"/>
      <c r="G5" s="312"/>
      <c r="H5" s="312"/>
      <c r="I5" s="313"/>
    </row>
    <row r="6" spans="1:9" s="3" customFormat="1" ht="15.75" customHeight="1">
      <c r="A6" s="314"/>
      <c r="B6" s="221"/>
      <c r="C6" s="221"/>
      <c r="D6" s="221"/>
      <c r="E6" s="221"/>
      <c r="F6" s="221"/>
      <c r="G6" s="221"/>
      <c r="H6" s="221"/>
      <c r="I6" s="222"/>
    </row>
    <row r="7" spans="1:9" s="3" customFormat="1" ht="15.75" customHeight="1">
      <c r="A7" s="223"/>
      <c r="B7" s="224"/>
      <c r="C7" s="224"/>
      <c r="D7" s="224"/>
      <c r="E7" s="224"/>
      <c r="F7" s="224"/>
      <c r="G7" s="224"/>
      <c r="H7" s="224"/>
      <c r="I7" s="225"/>
    </row>
    <row r="8" spans="1:9" s="3" customFormat="1" ht="15.75" customHeight="1">
      <c r="A8" s="223"/>
      <c r="B8" s="224"/>
      <c r="C8" s="224"/>
      <c r="D8" s="224"/>
      <c r="E8" s="224"/>
      <c r="F8" s="224"/>
      <c r="G8" s="224"/>
      <c r="H8" s="224"/>
      <c r="I8" s="225"/>
    </row>
    <row r="9" spans="1:9" s="3" customFormat="1" ht="15.75" customHeight="1">
      <c r="A9" s="223"/>
      <c r="B9" s="224"/>
      <c r="C9" s="224"/>
      <c r="D9" s="224"/>
      <c r="E9" s="224"/>
      <c r="F9" s="224"/>
      <c r="G9" s="224"/>
      <c r="H9" s="224"/>
      <c r="I9" s="225"/>
    </row>
    <row r="10" spans="1:9" s="3" customFormat="1" ht="15.75" customHeight="1">
      <c r="A10" s="223"/>
      <c r="B10" s="224"/>
      <c r="C10" s="224"/>
      <c r="D10" s="224"/>
      <c r="E10" s="224"/>
      <c r="F10" s="224"/>
      <c r="G10" s="224"/>
      <c r="H10" s="224"/>
      <c r="I10" s="225"/>
    </row>
    <row r="11" spans="1:9" s="3" customFormat="1" ht="15.75" customHeight="1">
      <c r="A11" s="223"/>
      <c r="B11" s="224"/>
      <c r="C11" s="224"/>
      <c r="D11" s="224"/>
      <c r="E11" s="224"/>
      <c r="F11" s="224"/>
      <c r="G11" s="224"/>
      <c r="H11" s="224"/>
      <c r="I11" s="225"/>
    </row>
    <row r="12" spans="1:9" s="3" customFormat="1" ht="15.75" customHeight="1">
      <c r="A12" s="223"/>
      <c r="B12" s="224"/>
      <c r="C12" s="224"/>
      <c r="D12" s="224"/>
      <c r="E12" s="224"/>
      <c r="F12" s="224"/>
      <c r="G12" s="224"/>
      <c r="H12" s="224"/>
      <c r="I12" s="225"/>
    </row>
    <row r="13" spans="1:9" s="3" customFormat="1" ht="15.75" customHeight="1">
      <c r="A13" s="223"/>
      <c r="B13" s="224"/>
      <c r="C13" s="224"/>
      <c r="D13" s="224"/>
      <c r="E13" s="224"/>
      <c r="F13" s="224"/>
      <c r="G13" s="224"/>
      <c r="H13" s="224"/>
      <c r="I13" s="225"/>
    </row>
    <row r="14" spans="1:9" s="3" customFormat="1" ht="15.75" customHeight="1">
      <c r="A14" s="226"/>
      <c r="B14" s="227"/>
      <c r="C14" s="227"/>
      <c r="D14" s="227"/>
      <c r="E14" s="227"/>
      <c r="F14" s="227"/>
      <c r="G14" s="227"/>
      <c r="H14" s="227"/>
      <c r="I14" s="228"/>
    </row>
    <row r="15" spans="1:9" s="3" customFormat="1" ht="13.9"/>
    <row r="16" spans="1:9" s="46" customFormat="1" ht="33.75" customHeight="1">
      <c r="A16" s="308" t="s">
        <v>269</v>
      </c>
      <c r="B16" s="309"/>
      <c r="C16" s="309"/>
      <c r="D16" s="309"/>
      <c r="E16" s="309"/>
      <c r="F16" s="309"/>
      <c r="G16" s="309"/>
      <c r="H16" s="309"/>
      <c r="I16" s="310"/>
    </row>
    <row r="17" spans="1:9" ht="15.75" customHeight="1">
      <c r="A17" s="212" t="s">
        <v>270</v>
      </c>
      <c r="B17" s="221"/>
      <c r="C17" s="221"/>
      <c r="D17" s="221"/>
      <c r="E17" s="221"/>
      <c r="F17" s="221"/>
      <c r="G17" s="221"/>
      <c r="H17" s="221"/>
      <c r="I17" s="222"/>
    </row>
    <row r="18" spans="1:9" ht="15.75" customHeight="1">
      <c r="A18" s="223"/>
      <c r="B18" s="224"/>
      <c r="C18" s="224"/>
      <c r="D18" s="224"/>
      <c r="E18" s="224"/>
      <c r="F18" s="224"/>
      <c r="G18" s="224"/>
      <c r="H18" s="224"/>
      <c r="I18" s="225"/>
    </row>
    <row r="19" spans="1:9" ht="15.75" customHeight="1">
      <c r="A19" s="223"/>
      <c r="B19" s="224"/>
      <c r="C19" s="224"/>
      <c r="D19" s="224"/>
      <c r="E19" s="224"/>
      <c r="F19" s="224"/>
      <c r="G19" s="224"/>
      <c r="H19" s="224"/>
      <c r="I19" s="225"/>
    </row>
    <row r="20" spans="1:9" ht="15.75" customHeight="1">
      <c r="A20" s="223"/>
      <c r="B20" s="224"/>
      <c r="C20" s="224"/>
      <c r="D20" s="224"/>
      <c r="E20" s="224"/>
      <c r="F20" s="224"/>
      <c r="G20" s="224"/>
      <c r="H20" s="224"/>
      <c r="I20" s="225"/>
    </row>
    <row r="21" spans="1:9" ht="15.75" customHeight="1">
      <c r="A21" s="223"/>
      <c r="B21" s="224"/>
      <c r="C21" s="224"/>
      <c r="D21" s="224"/>
      <c r="E21" s="224"/>
      <c r="F21" s="224"/>
      <c r="G21" s="224"/>
      <c r="H21" s="224"/>
      <c r="I21" s="225"/>
    </row>
    <row r="22" spans="1:9" ht="15.75" customHeight="1">
      <c r="A22" s="223"/>
      <c r="B22" s="224"/>
      <c r="C22" s="224"/>
      <c r="D22" s="224"/>
      <c r="E22" s="224"/>
      <c r="F22" s="224"/>
      <c r="G22" s="224"/>
      <c r="H22" s="224"/>
      <c r="I22" s="225"/>
    </row>
    <row r="23" spans="1:9" ht="15.75" customHeight="1">
      <c r="A23" s="223"/>
      <c r="B23" s="224"/>
      <c r="C23" s="224"/>
      <c r="D23" s="224"/>
      <c r="E23" s="224"/>
      <c r="F23" s="224"/>
      <c r="G23" s="224"/>
      <c r="H23" s="224"/>
      <c r="I23" s="225"/>
    </row>
    <row r="24" spans="1:9" ht="15.75" customHeight="1">
      <c r="A24" s="223"/>
      <c r="B24" s="224"/>
      <c r="C24" s="224"/>
      <c r="D24" s="224"/>
      <c r="E24" s="224"/>
      <c r="F24" s="224"/>
      <c r="G24" s="224"/>
      <c r="H24" s="224"/>
      <c r="I24" s="225"/>
    </row>
    <row r="25" spans="1:9" ht="15.75" customHeight="1">
      <c r="A25" s="226"/>
      <c r="B25" s="227"/>
      <c r="C25" s="227"/>
      <c r="D25" s="227"/>
      <c r="E25" s="227"/>
      <c r="F25" s="227"/>
      <c r="G25" s="227"/>
      <c r="H25" s="227"/>
      <c r="I25" s="228"/>
    </row>
    <row r="26" spans="1:9" ht="15.6">
      <c r="A26" s="1"/>
      <c r="B26" s="92"/>
      <c r="C26" s="92"/>
      <c r="D26" s="92"/>
      <c r="E26" s="92"/>
      <c r="F26" s="92"/>
      <c r="G26" s="92"/>
      <c r="H26" s="92"/>
      <c r="I26" s="92"/>
    </row>
    <row r="27" spans="1:9" ht="36.75" customHeight="1">
      <c r="A27" s="308" t="s">
        <v>271</v>
      </c>
      <c r="B27" s="309"/>
      <c r="C27" s="309"/>
      <c r="D27" s="309"/>
      <c r="E27" s="309"/>
      <c r="F27" s="309"/>
      <c r="G27" s="309"/>
      <c r="H27" s="309"/>
      <c r="I27" s="310"/>
    </row>
    <row r="28" spans="1:9" ht="15.75" customHeight="1">
      <c r="A28" s="212" t="s">
        <v>272</v>
      </c>
      <c r="B28" s="221"/>
      <c r="C28" s="221"/>
      <c r="D28" s="221"/>
      <c r="E28" s="221"/>
      <c r="F28" s="221"/>
      <c r="G28" s="221"/>
      <c r="H28" s="221"/>
      <c r="I28" s="222"/>
    </row>
    <row r="29" spans="1:9" ht="42" customHeight="1">
      <c r="A29" s="223"/>
      <c r="B29" s="224"/>
      <c r="C29" s="224"/>
      <c r="D29" s="224"/>
      <c r="E29" s="224"/>
      <c r="F29" s="224"/>
      <c r="G29" s="224"/>
      <c r="H29" s="224"/>
      <c r="I29" s="225"/>
    </row>
    <row r="30" spans="1:9" ht="15.75" customHeight="1">
      <c r="A30" s="223"/>
      <c r="B30" s="224"/>
      <c r="C30" s="224"/>
      <c r="D30" s="224"/>
      <c r="E30" s="224"/>
      <c r="F30" s="224"/>
      <c r="G30" s="224"/>
      <c r="H30" s="224"/>
      <c r="I30" s="225"/>
    </row>
    <row r="31" spans="1:9" ht="32.25" customHeight="1">
      <c r="A31" s="223"/>
      <c r="B31" s="224"/>
      <c r="C31" s="224"/>
      <c r="D31" s="224"/>
      <c r="E31" s="224"/>
      <c r="F31" s="224"/>
      <c r="G31" s="224"/>
      <c r="H31" s="224"/>
      <c r="I31" s="225"/>
    </row>
    <row r="32" spans="1:9" ht="15.75" customHeight="1">
      <c r="A32" s="223"/>
      <c r="B32" s="224"/>
      <c r="C32" s="224"/>
      <c r="D32" s="224"/>
      <c r="E32" s="224"/>
      <c r="F32" s="224"/>
      <c r="G32" s="224"/>
      <c r="H32" s="224"/>
      <c r="I32" s="225"/>
    </row>
    <row r="33" spans="1:9" ht="15.75" customHeight="1">
      <c r="A33" s="223"/>
      <c r="B33" s="224"/>
      <c r="C33" s="224"/>
      <c r="D33" s="224"/>
      <c r="E33" s="224"/>
      <c r="F33" s="224"/>
      <c r="G33" s="224"/>
      <c r="H33" s="224"/>
      <c r="I33" s="225"/>
    </row>
    <row r="34" spans="1:9" ht="36" customHeight="1">
      <c r="A34" s="223"/>
      <c r="B34" s="224"/>
      <c r="C34" s="224"/>
      <c r="D34" s="224"/>
      <c r="E34" s="224"/>
      <c r="F34" s="224"/>
      <c r="G34" s="224"/>
      <c r="H34" s="224"/>
      <c r="I34" s="225"/>
    </row>
    <row r="35" spans="1:9" ht="36" customHeight="1">
      <c r="A35" s="223"/>
      <c r="B35" s="224"/>
      <c r="C35" s="224"/>
      <c r="D35" s="224"/>
      <c r="E35" s="224"/>
      <c r="F35" s="224"/>
      <c r="G35" s="224"/>
      <c r="H35" s="224"/>
      <c r="I35" s="225"/>
    </row>
    <row r="36" spans="1:9" ht="37.5" customHeight="1">
      <c r="A36" s="226"/>
      <c r="B36" s="227"/>
      <c r="C36" s="227"/>
      <c r="D36" s="227"/>
      <c r="E36" s="227"/>
      <c r="F36" s="227"/>
      <c r="G36" s="227"/>
      <c r="H36" s="227"/>
      <c r="I36" s="228"/>
    </row>
    <row r="38" spans="1:9" ht="33" customHeight="1">
      <c r="A38" s="308" t="s">
        <v>273</v>
      </c>
      <c r="B38" s="309"/>
      <c r="C38" s="309"/>
      <c r="D38" s="309"/>
      <c r="E38" s="309"/>
      <c r="F38" s="309"/>
      <c r="G38" s="309"/>
      <c r="H38" s="309"/>
      <c r="I38" s="310"/>
    </row>
    <row r="39" spans="1:9" ht="15.75" customHeight="1">
      <c r="A39" s="212" t="s">
        <v>274</v>
      </c>
      <c r="B39" s="213"/>
      <c r="C39" s="213"/>
      <c r="D39" s="213"/>
      <c r="E39" s="213"/>
      <c r="F39" s="213"/>
      <c r="G39" s="213"/>
      <c r="H39" s="213"/>
      <c r="I39" s="214"/>
    </row>
    <row r="40" spans="1:9" ht="15.75" customHeight="1">
      <c r="A40" s="215"/>
      <c r="B40" s="216"/>
      <c r="C40" s="216"/>
      <c r="D40" s="216"/>
      <c r="E40" s="216"/>
      <c r="F40" s="216"/>
      <c r="G40" s="216"/>
      <c r="H40" s="216"/>
      <c r="I40" s="217"/>
    </row>
    <row r="41" spans="1:9" ht="15.75" customHeight="1">
      <c r="A41" s="215"/>
      <c r="B41" s="216"/>
      <c r="C41" s="216"/>
      <c r="D41" s="216"/>
      <c r="E41" s="216"/>
      <c r="F41" s="216"/>
      <c r="G41" s="216"/>
      <c r="H41" s="216"/>
      <c r="I41" s="217"/>
    </row>
    <row r="42" spans="1:9" ht="15.75" customHeight="1">
      <c r="A42" s="215"/>
      <c r="B42" s="216"/>
      <c r="C42" s="216"/>
      <c r="D42" s="216"/>
      <c r="E42" s="216"/>
      <c r="F42" s="216"/>
      <c r="G42" s="216"/>
      <c r="H42" s="216"/>
      <c r="I42" s="217"/>
    </row>
    <row r="43" spans="1:9" ht="15.75" customHeight="1">
      <c r="A43" s="215"/>
      <c r="B43" s="216"/>
      <c r="C43" s="216"/>
      <c r="D43" s="216"/>
      <c r="E43" s="216"/>
      <c r="F43" s="216"/>
      <c r="G43" s="216"/>
      <c r="H43" s="216"/>
      <c r="I43" s="217"/>
    </row>
    <row r="44" spans="1:9" ht="15.75" customHeight="1">
      <c r="A44" s="215"/>
      <c r="B44" s="216"/>
      <c r="C44" s="216"/>
      <c r="D44" s="216"/>
      <c r="E44" s="216"/>
      <c r="F44" s="216"/>
      <c r="G44" s="216"/>
      <c r="H44" s="216"/>
      <c r="I44" s="217"/>
    </row>
    <row r="45" spans="1:9" ht="15.75" customHeight="1">
      <c r="A45" s="215"/>
      <c r="B45" s="216"/>
      <c r="C45" s="216"/>
      <c r="D45" s="216"/>
      <c r="E45" s="216"/>
      <c r="F45" s="216"/>
      <c r="G45" s="216"/>
      <c r="H45" s="216"/>
      <c r="I45" s="217"/>
    </row>
    <row r="46" spans="1:9" ht="15.75" customHeight="1">
      <c r="A46" s="215"/>
      <c r="B46" s="216"/>
      <c r="C46" s="216"/>
      <c r="D46" s="216"/>
      <c r="E46" s="216"/>
      <c r="F46" s="216"/>
      <c r="G46" s="216"/>
      <c r="H46" s="216"/>
      <c r="I46" s="217"/>
    </row>
    <row r="47" spans="1:9" ht="15.75" customHeight="1">
      <c r="A47" s="215"/>
      <c r="B47" s="216"/>
      <c r="C47" s="216"/>
      <c r="D47" s="216"/>
      <c r="E47" s="216"/>
      <c r="F47" s="216"/>
      <c r="G47" s="216"/>
      <c r="H47" s="216"/>
      <c r="I47" s="217"/>
    </row>
    <row r="48" spans="1:9" ht="15.75" customHeight="1">
      <c r="A48" s="218"/>
      <c r="B48" s="219"/>
      <c r="C48" s="219"/>
      <c r="D48" s="219"/>
      <c r="E48" s="219"/>
      <c r="F48" s="219"/>
      <c r="G48" s="219"/>
      <c r="H48" s="219"/>
      <c r="I48" s="220"/>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view="pageBreakPreview" topLeftCell="A5" zoomScale="130" zoomScaleNormal="100" zoomScaleSheetLayoutView="130" workbookViewId="0">
      <selection activeCell="A22" sqref="A22:B23"/>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Charlton Lane Eco Park</v>
      </c>
      <c r="F1" s="92"/>
      <c r="G1" s="92"/>
      <c r="H1" s="92"/>
      <c r="I1" s="92"/>
    </row>
    <row r="3" spans="1:9" ht="15.6">
      <c r="A3" s="1" t="s">
        <v>275</v>
      </c>
      <c r="B3" s="92"/>
      <c r="C3" s="92"/>
      <c r="D3" s="92"/>
      <c r="E3" s="92"/>
      <c r="F3" s="92"/>
      <c r="G3" s="92"/>
      <c r="H3" s="92"/>
      <c r="I3" s="92"/>
    </row>
    <row r="4" spans="1:9" ht="15.6">
      <c r="A4" s="1"/>
      <c r="B4" s="92"/>
      <c r="C4" s="92"/>
      <c r="D4" s="92"/>
      <c r="E4" s="92"/>
      <c r="F4" s="92"/>
      <c r="G4" s="92"/>
      <c r="H4" s="92"/>
      <c r="I4" s="92"/>
    </row>
    <row r="5" spans="1:9" s="3" customFormat="1" ht="28.5" customHeight="1">
      <c r="A5" s="47" t="s">
        <v>276</v>
      </c>
      <c r="B5" s="48"/>
      <c r="C5" s="48"/>
      <c r="D5" s="48"/>
      <c r="E5" s="48"/>
      <c r="F5" s="48"/>
      <c r="G5" s="48"/>
      <c r="H5" s="48"/>
      <c r="I5" s="49"/>
    </row>
    <row r="6" spans="1:9" s="3" customFormat="1" ht="15.75" customHeight="1">
      <c r="A6" s="311" t="s">
        <v>55</v>
      </c>
      <c r="B6" s="313"/>
      <c r="C6" s="311" t="s">
        <v>277</v>
      </c>
      <c r="D6" s="312"/>
      <c r="E6" s="312"/>
      <c r="F6" s="312"/>
      <c r="G6" s="312"/>
      <c r="H6" s="312"/>
      <c r="I6" s="313"/>
    </row>
    <row r="7" spans="1:9" s="3" customFormat="1" ht="15.75" customHeight="1">
      <c r="A7" s="315">
        <v>44725</v>
      </c>
      <c r="B7" s="222"/>
      <c r="C7" s="212" t="s">
        <v>278</v>
      </c>
      <c r="D7" s="213"/>
      <c r="E7" s="213"/>
      <c r="F7" s="213"/>
      <c r="G7" s="213"/>
      <c r="H7" s="213"/>
      <c r="I7" s="214"/>
    </row>
    <row r="8" spans="1:9" s="3" customFormat="1" ht="15.75" customHeight="1">
      <c r="A8" s="226"/>
      <c r="B8" s="228"/>
      <c r="C8" s="218"/>
      <c r="D8" s="219"/>
      <c r="E8" s="219"/>
      <c r="F8" s="219"/>
      <c r="G8" s="219"/>
      <c r="H8" s="219"/>
      <c r="I8" s="220"/>
    </row>
    <row r="9" spans="1:9" s="3" customFormat="1" ht="15.75" customHeight="1">
      <c r="A9" s="315">
        <v>44747</v>
      </c>
      <c r="B9" s="222"/>
      <c r="C9" s="212" t="s">
        <v>279</v>
      </c>
      <c r="D9" s="213"/>
      <c r="E9" s="213"/>
      <c r="F9" s="213"/>
      <c r="G9" s="213"/>
      <c r="H9" s="213"/>
      <c r="I9" s="214"/>
    </row>
    <row r="10" spans="1:9" s="3" customFormat="1" ht="15.75" customHeight="1">
      <c r="A10" s="226"/>
      <c r="B10" s="228"/>
      <c r="C10" s="218"/>
      <c r="D10" s="219"/>
      <c r="E10" s="219"/>
      <c r="F10" s="219"/>
      <c r="G10" s="219"/>
      <c r="H10" s="219"/>
      <c r="I10" s="220"/>
    </row>
    <row r="11" spans="1:9" s="3" customFormat="1" ht="15.75" customHeight="1">
      <c r="A11" s="315">
        <v>44874</v>
      </c>
      <c r="B11" s="222"/>
      <c r="C11" s="314" t="s">
        <v>280</v>
      </c>
      <c r="D11" s="221"/>
      <c r="E11" s="221"/>
      <c r="F11" s="221"/>
      <c r="G11" s="221"/>
      <c r="H11" s="221"/>
      <c r="I11" s="222"/>
    </row>
    <row r="12" spans="1:9" s="3" customFormat="1" ht="15.75" customHeight="1">
      <c r="A12" s="226"/>
      <c r="B12" s="228"/>
      <c r="C12" s="226"/>
      <c r="D12" s="227"/>
      <c r="E12" s="227"/>
      <c r="F12" s="227"/>
      <c r="G12" s="227"/>
      <c r="H12" s="227"/>
      <c r="I12" s="228"/>
    </row>
    <row r="13" spans="1:9" s="3" customFormat="1" ht="15.75" customHeight="1">
      <c r="A13" s="316">
        <v>44866</v>
      </c>
      <c r="B13" s="222"/>
      <c r="C13" s="314" t="s">
        <v>281</v>
      </c>
      <c r="D13" s="221"/>
      <c r="E13" s="221"/>
      <c r="F13" s="221"/>
      <c r="G13" s="221"/>
      <c r="H13" s="221"/>
      <c r="I13" s="222"/>
    </row>
    <row r="14" spans="1:9" s="3" customFormat="1" ht="15.75" customHeight="1">
      <c r="A14" s="226"/>
      <c r="B14" s="228"/>
      <c r="C14" s="226"/>
      <c r="D14" s="227"/>
      <c r="E14" s="227"/>
      <c r="F14" s="227"/>
      <c r="G14" s="227"/>
      <c r="H14" s="227"/>
      <c r="I14" s="228"/>
    </row>
    <row r="15" spans="1:9" s="3" customFormat="1" ht="13.9"/>
    <row r="16" spans="1:9" s="46" customFormat="1" ht="33.75" customHeight="1">
      <c r="A16" s="308" t="s">
        <v>282</v>
      </c>
      <c r="B16" s="309"/>
      <c r="C16" s="309"/>
      <c r="D16" s="309"/>
      <c r="E16" s="309"/>
      <c r="F16" s="309"/>
      <c r="G16" s="309"/>
      <c r="H16" s="309"/>
      <c r="I16" s="310"/>
    </row>
    <row r="17" spans="1:9" ht="15.75" customHeight="1">
      <c r="A17" s="311" t="s">
        <v>55</v>
      </c>
      <c r="B17" s="313"/>
      <c r="C17" s="311" t="s">
        <v>277</v>
      </c>
      <c r="D17" s="312"/>
      <c r="E17" s="312"/>
      <c r="F17" s="312"/>
      <c r="G17" s="312"/>
      <c r="H17" s="312"/>
      <c r="I17" s="312"/>
    </row>
    <row r="18" spans="1:9" ht="15.75" customHeight="1">
      <c r="A18" s="315">
        <v>44998</v>
      </c>
      <c r="B18" s="222"/>
      <c r="C18" s="314" t="s">
        <v>280</v>
      </c>
      <c r="D18" s="221"/>
      <c r="E18" s="221"/>
      <c r="F18" s="221"/>
      <c r="G18" s="221"/>
      <c r="H18" s="221"/>
      <c r="I18" s="222"/>
    </row>
    <row r="19" spans="1:9" ht="15.75" customHeight="1">
      <c r="A19" s="226"/>
      <c r="B19" s="228"/>
      <c r="C19" s="226"/>
      <c r="D19" s="227"/>
      <c r="E19" s="227"/>
      <c r="F19" s="227"/>
      <c r="G19" s="227"/>
      <c r="H19" s="227"/>
      <c r="I19" s="228"/>
    </row>
    <row r="20" spans="1:9" ht="15.75" customHeight="1">
      <c r="A20" s="314" t="s">
        <v>283</v>
      </c>
      <c r="B20" s="222"/>
      <c r="C20" s="314" t="s">
        <v>284</v>
      </c>
      <c r="D20" s="221"/>
      <c r="E20" s="221"/>
      <c r="F20" s="221"/>
      <c r="G20" s="221"/>
      <c r="H20" s="221"/>
      <c r="I20" s="222"/>
    </row>
    <row r="21" spans="1:9" ht="15.75" customHeight="1">
      <c r="A21" s="226"/>
      <c r="B21" s="228"/>
      <c r="C21" s="226"/>
      <c r="D21" s="227"/>
      <c r="E21" s="227"/>
      <c r="F21" s="227"/>
      <c r="G21" s="227"/>
      <c r="H21" s="227"/>
      <c r="I21" s="228"/>
    </row>
    <row r="22" spans="1:9" ht="15.75" customHeight="1">
      <c r="A22" s="314"/>
      <c r="B22" s="222"/>
      <c r="C22" s="314"/>
      <c r="D22" s="221"/>
      <c r="E22" s="221"/>
      <c r="F22" s="221"/>
      <c r="G22" s="221"/>
      <c r="H22" s="221"/>
      <c r="I22" s="222"/>
    </row>
    <row r="23" spans="1:9" ht="15.75" customHeight="1">
      <c r="A23" s="226"/>
      <c r="B23" s="228"/>
      <c r="C23" s="226"/>
      <c r="D23" s="227"/>
      <c r="E23" s="227"/>
      <c r="F23" s="227"/>
      <c r="G23" s="227"/>
      <c r="H23" s="227"/>
      <c r="I23" s="228"/>
    </row>
    <row r="24" spans="1:9" ht="15.75" customHeight="1">
      <c r="A24" s="314"/>
      <c r="B24" s="222"/>
      <c r="C24" s="314"/>
      <c r="D24" s="221"/>
      <c r="E24" s="221"/>
      <c r="F24" s="221"/>
      <c r="G24" s="221"/>
      <c r="H24" s="221"/>
      <c r="I24" s="222"/>
    </row>
    <row r="25" spans="1:9" ht="15.75" customHeight="1">
      <c r="A25" s="226"/>
      <c r="B25" s="228"/>
      <c r="C25" s="226"/>
      <c r="D25" s="227"/>
      <c r="E25" s="227"/>
      <c r="F25" s="227"/>
      <c r="G25" s="227"/>
      <c r="H25" s="227"/>
      <c r="I25" s="228"/>
    </row>
    <row r="26" spans="1:9" ht="15.75" customHeight="1">
      <c r="A26" s="314"/>
      <c r="B26" s="222"/>
      <c r="C26" s="314"/>
      <c r="D26" s="221"/>
      <c r="E26" s="221"/>
      <c r="F26" s="221"/>
      <c r="G26" s="221"/>
      <c r="H26" s="221"/>
      <c r="I26" s="222"/>
    </row>
    <row r="27" spans="1:9" ht="15.75" customHeight="1">
      <c r="A27" s="226"/>
      <c r="B27" s="228"/>
      <c r="C27" s="226"/>
      <c r="D27" s="227"/>
      <c r="E27" s="227"/>
      <c r="F27" s="227"/>
      <c r="G27" s="227"/>
      <c r="H27" s="227"/>
      <c r="I27" s="228"/>
    </row>
    <row r="28" spans="1:9" ht="15.6">
      <c r="A28" s="1"/>
      <c r="B28" s="92"/>
      <c r="C28" s="92"/>
      <c r="D28" s="92"/>
      <c r="E28" s="92"/>
      <c r="F28" s="92"/>
      <c r="G28" s="92"/>
      <c r="H28" s="92"/>
      <c r="I28" s="92"/>
    </row>
    <row r="29" spans="1:9" ht="36.75" customHeight="1">
      <c r="A29" s="308" t="s">
        <v>285</v>
      </c>
      <c r="B29" s="309"/>
      <c r="C29" s="309"/>
      <c r="D29" s="309"/>
      <c r="E29" s="309"/>
      <c r="F29" s="309"/>
      <c r="G29" s="309"/>
      <c r="H29" s="309"/>
      <c r="I29" s="310"/>
    </row>
    <row r="66" spans="6:6">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E24"/>
  <sheetViews>
    <sheetView view="pageBreakPreview" zoomScale="115" zoomScaleNormal="100" zoomScaleSheetLayoutView="115" workbookViewId="0">
      <selection activeCell="C8" sqref="C8"/>
    </sheetView>
  </sheetViews>
  <sheetFormatPr defaultColWidth="8.85546875" defaultRowHeight="15"/>
  <cols>
    <col min="1" max="1" width="36.7109375" style="92" customWidth="1"/>
    <col min="2" max="2" width="17.7109375" style="92" customWidth="1"/>
    <col min="3" max="3" width="37.28515625" style="92" customWidth="1"/>
    <col min="4" max="16384" width="8.85546875" style="92"/>
  </cols>
  <sheetData>
    <row r="1" spans="1:5">
      <c r="A1" s="92" t="str">
        <f>+'Cover Page'!$B$29</f>
        <v>Annual Performance Report 2022</v>
      </c>
      <c r="C1" s="92" t="str">
        <f>+'Cover Page'!$B$33</f>
        <v>Charlton Lane Eco Park</v>
      </c>
    </row>
    <row r="2" spans="1:5" ht="10.15" customHeight="1"/>
    <row r="3" spans="1:5" ht="15.6">
      <c r="A3" s="1" t="s">
        <v>286</v>
      </c>
      <c r="E3" s="80" t="s">
        <v>3</v>
      </c>
    </row>
    <row r="4" spans="1:5" ht="9.4" customHeight="1"/>
    <row r="5" spans="1:5">
      <c r="A5" s="319" t="s">
        <v>287</v>
      </c>
      <c r="B5" s="320"/>
      <c r="C5" s="320"/>
    </row>
    <row r="6" spans="1:5" ht="30">
      <c r="A6" s="93" t="s">
        <v>288</v>
      </c>
      <c r="B6" s="175">
        <v>27168.44</v>
      </c>
      <c r="C6" s="96" t="s">
        <v>86</v>
      </c>
    </row>
    <row r="7" spans="1:5" ht="30">
      <c r="A7" s="93" t="s">
        <v>289</v>
      </c>
      <c r="B7" s="175">
        <f>B6/'Operational Data'!G21</f>
        <v>1.004898653646989</v>
      </c>
      <c r="C7" s="96" t="s">
        <v>86</v>
      </c>
    </row>
    <row r="8" spans="1:5" ht="45">
      <c r="A8" s="93" t="s">
        <v>290</v>
      </c>
      <c r="B8" s="175">
        <f>B6/'Operational Data'!G25</f>
        <v>2.8332923141099173</v>
      </c>
      <c r="C8" s="96" t="s">
        <v>86</v>
      </c>
    </row>
    <row r="9" spans="1:5" ht="102.75" customHeight="1">
      <c r="A9" s="93" t="s">
        <v>291</v>
      </c>
      <c r="B9" s="321" t="s">
        <v>292</v>
      </c>
      <c r="C9" s="318"/>
    </row>
    <row r="10" spans="1:5" ht="8.65" customHeight="1">
      <c r="A10" s="94"/>
      <c r="B10" s="95"/>
      <c r="C10" s="95"/>
    </row>
    <row r="11" spans="1:5">
      <c r="A11" s="322" t="s">
        <v>293</v>
      </c>
      <c r="B11" s="320"/>
      <c r="C11" s="320"/>
    </row>
    <row r="12" spans="1:5" ht="33.4" customHeight="1">
      <c r="A12" s="93" t="s">
        <v>294</v>
      </c>
      <c r="B12" s="97">
        <v>2.08</v>
      </c>
      <c r="C12" s="96" t="s">
        <v>86</v>
      </c>
    </row>
    <row r="13" spans="1:5" ht="101.45" customHeight="1">
      <c r="A13" s="93" t="s">
        <v>295</v>
      </c>
      <c r="B13" s="317" t="s">
        <v>296</v>
      </c>
      <c r="C13" s="318"/>
    </row>
    <row r="14" spans="1:5" ht="72" customHeight="1">
      <c r="A14" s="93" t="s">
        <v>297</v>
      </c>
      <c r="B14" s="176">
        <f>(B12*298)+B6</f>
        <v>27788.28</v>
      </c>
      <c r="C14" s="96" t="s">
        <v>298</v>
      </c>
    </row>
    <row r="15" spans="1:5" ht="6.4" customHeight="1">
      <c r="A15" s="94"/>
      <c r="B15" s="95"/>
      <c r="C15" s="95"/>
    </row>
    <row r="16" spans="1:5" ht="39" customHeight="1">
      <c r="A16" s="319" t="s">
        <v>299</v>
      </c>
      <c r="B16" s="320"/>
      <c r="C16" s="320"/>
    </row>
    <row r="17" spans="1:3" ht="34.9" customHeight="1">
      <c r="A17" s="93" t="s">
        <v>300</v>
      </c>
      <c r="B17" s="171">
        <v>0.42799999999999999</v>
      </c>
      <c r="C17" s="96"/>
    </row>
    <row r="18" spans="1:3" ht="103.15" customHeight="1">
      <c r="A18" s="93" t="s">
        <v>301</v>
      </c>
      <c r="B18" s="317" t="s">
        <v>302</v>
      </c>
      <c r="C18" s="318"/>
    </row>
    <row r="19" spans="1:3" ht="48" customHeight="1">
      <c r="A19" s="93" t="s">
        <v>303</v>
      </c>
      <c r="B19" s="171">
        <v>0.42799999999999999</v>
      </c>
      <c r="C19" s="96"/>
    </row>
    <row r="20" spans="1:3" ht="78" customHeight="1">
      <c r="A20" s="93" t="s">
        <v>304</v>
      </c>
      <c r="B20" s="317" t="s">
        <v>302</v>
      </c>
      <c r="C20" s="318"/>
    </row>
    <row r="21" spans="1:3" ht="10.15" customHeight="1"/>
    <row r="22" spans="1:3">
      <c r="A22" s="92" t="s">
        <v>305</v>
      </c>
    </row>
    <row r="23" spans="1:3">
      <c r="A23" s="279"/>
      <c r="B23" s="279"/>
      <c r="C23" s="279"/>
    </row>
    <row r="24" spans="1:3" ht="64.900000000000006" customHeight="1">
      <c r="A24" s="279"/>
      <c r="B24" s="279"/>
      <c r="C24" s="279"/>
    </row>
  </sheetData>
  <mergeCells count="8">
    <mergeCell ref="B20:C20"/>
    <mergeCell ref="A23:C24"/>
    <mergeCell ref="A5:C5"/>
    <mergeCell ref="B9:C9"/>
    <mergeCell ref="A11:C11"/>
    <mergeCell ref="B13:C13"/>
    <mergeCell ref="A16:C16"/>
    <mergeCell ref="B18:C18"/>
  </mergeCells>
  <pageMargins left="0.7" right="0.7" top="0.75" bottom="0.75" header="0.3" footer="0.3"/>
  <pageSetup paperSize="9" scale="95"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4</xdr:col>
                <xdr:colOff>30480</xdr:colOff>
                <xdr:row>4</xdr:row>
                <xdr:rowOff>68580</xdr:rowOff>
              </from>
              <to>
                <xdr:col>6</xdr:col>
                <xdr:colOff>335280</xdr:colOff>
                <xdr:row>8</xdr:row>
                <xdr:rowOff>213360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view="pageBreakPreview" zoomScale="130" zoomScaleNormal="100" zoomScaleSheetLayoutView="130" workbookViewId="0">
      <selection activeCell="A10" sqref="A10:G11"/>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2" t="str">
        <f>+'Cover Page'!$B$29</f>
        <v>Annual Performance Report 2022</v>
      </c>
      <c r="B1" s="92"/>
      <c r="C1" s="92"/>
      <c r="D1" s="92"/>
      <c r="E1" s="92" t="str">
        <f>+'Cover Page'!$B$33</f>
        <v>Charlton Lane Eco Park</v>
      </c>
      <c r="F1" s="92"/>
      <c r="G1" s="92"/>
    </row>
    <row r="3" spans="1:7" ht="15.6">
      <c r="A3" s="1" t="s">
        <v>306</v>
      </c>
      <c r="B3" s="92"/>
      <c r="C3" s="92"/>
      <c r="D3" s="92"/>
      <c r="E3" s="92"/>
      <c r="F3" s="92"/>
      <c r="G3" s="92"/>
    </row>
    <row r="4" spans="1:7" ht="15.6">
      <c r="A4" s="1"/>
      <c r="B4" s="92"/>
      <c r="C4" s="92"/>
      <c r="D4" s="92"/>
      <c r="E4" s="92"/>
      <c r="F4" s="92"/>
      <c r="G4" s="92"/>
    </row>
    <row r="5" spans="1:7" s="3" customFormat="1" ht="21.75" customHeight="1">
      <c r="A5" s="47" t="s">
        <v>307</v>
      </c>
      <c r="B5" s="48"/>
      <c r="C5" s="48"/>
      <c r="D5" s="48"/>
      <c r="E5" s="48"/>
      <c r="F5" s="48"/>
      <c r="G5" s="49"/>
    </row>
    <row r="6" spans="1:7" s="3" customFormat="1" ht="15.75" customHeight="1">
      <c r="A6" s="331" t="s">
        <v>308</v>
      </c>
      <c r="B6" s="213"/>
      <c r="C6" s="213"/>
      <c r="D6" s="213"/>
      <c r="E6" s="213"/>
      <c r="F6" s="213"/>
      <c r="G6" s="214"/>
    </row>
    <row r="7" spans="1:7" s="3" customFormat="1" ht="15.75" customHeight="1">
      <c r="A7" s="218"/>
      <c r="B7" s="219"/>
      <c r="C7" s="219"/>
      <c r="D7" s="219"/>
      <c r="E7" s="219"/>
      <c r="F7" s="219"/>
      <c r="G7" s="220"/>
    </row>
    <row r="8" spans="1:7" s="3" customFormat="1" ht="21" customHeight="1">
      <c r="A8" s="212" t="s">
        <v>309</v>
      </c>
      <c r="B8" s="213"/>
      <c r="C8" s="213"/>
      <c r="D8" s="213"/>
      <c r="E8" s="213"/>
      <c r="F8" s="213"/>
      <c r="G8" s="214"/>
    </row>
    <row r="9" spans="1:7" s="3" customFormat="1" ht="22.5" customHeight="1">
      <c r="A9" s="218"/>
      <c r="B9" s="219"/>
      <c r="C9" s="219"/>
      <c r="D9" s="219"/>
      <c r="E9" s="219"/>
      <c r="F9" s="219"/>
      <c r="G9" s="220"/>
    </row>
    <row r="10" spans="1:7" s="3" customFormat="1" ht="15.75" customHeight="1">
      <c r="A10" s="212"/>
      <c r="B10" s="213"/>
      <c r="C10" s="213"/>
      <c r="D10" s="213"/>
      <c r="E10" s="213"/>
      <c r="F10" s="213"/>
      <c r="G10" s="214"/>
    </row>
    <row r="11" spans="1:7" s="3" customFormat="1" ht="15.75" customHeight="1">
      <c r="A11" s="218"/>
      <c r="B11" s="219"/>
      <c r="C11" s="219"/>
      <c r="D11" s="219"/>
      <c r="E11" s="219"/>
      <c r="F11" s="219"/>
      <c r="G11" s="220"/>
    </row>
    <row r="12" spans="1:7" s="3" customFormat="1" ht="13.9"/>
    <row r="13" spans="1:7" s="46" customFormat="1" ht="33.75" customHeight="1">
      <c r="A13" s="308" t="s">
        <v>310</v>
      </c>
      <c r="B13" s="309"/>
      <c r="C13" s="309"/>
      <c r="D13" s="309"/>
      <c r="E13" s="309"/>
      <c r="F13" s="309"/>
      <c r="G13" s="310"/>
    </row>
    <row r="14" spans="1:7" ht="15.75" customHeight="1">
      <c r="A14" s="311" t="s">
        <v>311</v>
      </c>
      <c r="B14" s="313"/>
      <c r="C14" s="311" t="s">
        <v>277</v>
      </c>
      <c r="D14" s="312"/>
      <c r="E14" s="312"/>
      <c r="F14" s="312"/>
      <c r="G14" s="312"/>
    </row>
    <row r="15" spans="1:7" ht="15.75" customHeight="1">
      <c r="A15" s="212"/>
      <c r="B15" s="214"/>
      <c r="C15" s="314"/>
      <c r="D15" s="221"/>
      <c r="E15" s="221"/>
      <c r="F15" s="221"/>
      <c r="G15" s="222"/>
    </row>
    <row r="16" spans="1:7" ht="15.75" customHeight="1">
      <c r="A16" s="218"/>
      <c r="B16" s="220"/>
      <c r="C16" s="226"/>
      <c r="D16" s="227"/>
      <c r="E16" s="227"/>
      <c r="F16" s="227"/>
      <c r="G16" s="228"/>
    </row>
    <row r="17" spans="1:11" ht="15.75" customHeight="1">
      <c r="A17" s="314"/>
      <c r="B17" s="222"/>
      <c r="C17" s="314"/>
      <c r="D17" s="221"/>
      <c r="E17" s="221"/>
      <c r="F17" s="221"/>
      <c r="G17" s="222"/>
      <c r="H17" s="92"/>
      <c r="I17" s="92"/>
      <c r="J17" s="92"/>
      <c r="K17" s="92"/>
    </row>
    <row r="18" spans="1:11" ht="15.75" customHeight="1">
      <c r="A18" s="226"/>
      <c r="B18" s="228"/>
      <c r="C18" s="226"/>
      <c r="D18" s="227"/>
      <c r="E18" s="227"/>
      <c r="F18" s="227"/>
      <c r="G18" s="228"/>
      <c r="H18" s="92"/>
      <c r="I18" s="92"/>
      <c r="J18" s="92"/>
      <c r="K18" s="92"/>
    </row>
    <row r="19" spans="1:11" ht="15.75" customHeight="1">
      <c r="A19" s="314"/>
      <c r="B19" s="222"/>
      <c r="C19" s="314"/>
      <c r="D19" s="221"/>
      <c r="E19" s="221"/>
      <c r="F19" s="221"/>
      <c r="G19" s="222"/>
      <c r="H19" s="92"/>
      <c r="I19" s="92"/>
      <c r="J19" s="92"/>
      <c r="K19" s="92"/>
    </row>
    <row r="20" spans="1:11" ht="15.75" customHeight="1">
      <c r="A20" s="226"/>
      <c r="B20" s="228"/>
      <c r="C20" s="226"/>
      <c r="D20" s="227"/>
      <c r="E20" s="227"/>
      <c r="F20" s="227"/>
      <c r="G20" s="228"/>
      <c r="H20" s="92"/>
      <c r="I20" s="92"/>
      <c r="J20" s="92"/>
      <c r="K20" s="92"/>
    </row>
    <row r="21" spans="1:11" ht="15.75" customHeight="1">
      <c r="A21" s="314"/>
      <c r="B21" s="222"/>
      <c r="C21" s="314"/>
      <c r="D21" s="221"/>
      <c r="E21" s="221"/>
      <c r="F21" s="221"/>
      <c r="G21" s="222"/>
      <c r="H21" s="92"/>
      <c r="I21" s="92"/>
      <c r="J21" s="92"/>
      <c r="K21" s="92"/>
    </row>
    <row r="22" spans="1:11" ht="15.75" customHeight="1">
      <c r="A22" s="226"/>
      <c r="B22" s="228"/>
      <c r="C22" s="226"/>
      <c r="D22" s="227"/>
      <c r="E22" s="227"/>
      <c r="F22" s="227"/>
      <c r="G22" s="228"/>
      <c r="H22" s="92"/>
      <c r="I22" s="92"/>
      <c r="J22" s="92"/>
      <c r="K22" s="92"/>
    </row>
    <row r="23" spans="1:11" ht="15.75" customHeight="1">
      <c r="A23" s="314"/>
      <c r="B23" s="222"/>
      <c r="C23" s="314"/>
      <c r="D23" s="221"/>
      <c r="E23" s="221"/>
      <c r="F23" s="221"/>
      <c r="G23" s="222"/>
      <c r="H23" s="92"/>
      <c r="I23" s="92"/>
      <c r="J23" s="92"/>
      <c r="K23" s="92"/>
    </row>
    <row r="24" spans="1:11" ht="15.75" customHeight="1">
      <c r="A24" s="226"/>
      <c r="B24" s="228"/>
      <c r="C24" s="226"/>
      <c r="D24" s="227"/>
      <c r="E24" s="227"/>
      <c r="F24" s="227"/>
      <c r="G24" s="228"/>
      <c r="H24" s="92"/>
      <c r="I24" s="92"/>
      <c r="J24" s="92"/>
      <c r="K24" s="92"/>
    </row>
    <row r="26" spans="1:11">
      <c r="A26" s="112"/>
      <c r="B26" s="112"/>
      <c r="C26" s="112"/>
      <c r="D26" s="112"/>
      <c r="E26" s="112"/>
      <c r="F26" s="112"/>
      <c r="G26" s="112"/>
      <c r="H26" s="92"/>
      <c r="I26" s="92"/>
      <c r="J26" s="92"/>
      <c r="K26" s="92"/>
    </row>
    <row r="27" spans="1:11" s="55" customFormat="1" ht="16.5" customHeight="1">
      <c r="A27" s="330" t="s">
        <v>312</v>
      </c>
      <c r="B27" s="330"/>
      <c r="C27" s="330"/>
      <c r="D27" s="330"/>
      <c r="E27" s="330"/>
      <c r="F27" s="330"/>
      <c r="G27" s="330"/>
    </row>
    <row r="28" spans="1:11" s="12" customFormat="1" ht="17.25" customHeight="1">
      <c r="A28" s="325" t="s">
        <v>313</v>
      </c>
      <c r="B28" s="325"/>
      <c r="C28" s="291" t="s">
        <v>314</v>
      </c>
      <c r="D28" s="291" t="s">
        <v>315</v>
      </c>
      <c r="E28" s="291"/>
      <c r="F28" s="291"/>
      <c r="G28" s="291"/>
      <c r="H28" s="112"/>
      <c r="I28" s="112"/>
      <c r="J28" s="112"/>
      <c r="K28" s="112"/>
    </row>
    <row r="29" spans="1:11" s="12" customFormat="1" ht="17.25" customHeight="1">
      <c r="A29" s="325"/>
      <c r="B29" s="325"/>
      <c r="C29" s="291"/>
      <c r="D29" s="291" t="s">
        <v>316</v>
      </c>
      <c r="E29" s="291"/>
      <c r="F29" s="291" t="s">
        <v>170</v>
      </c>
      <c r="G29" s="291"/>
      <c r="H29" s="112"/>
      <c r="I29" s="112"/>
      <c r="J29" s="112"/>
      <c r="K29" s="112"/>
    </row>
    <row r="30" spans="1:11" s="36" customFormat="1" ht="38.1" customHeight="1">
      <c r="A30" s="239" t="s">
        <v>317</v>
      </c>
      <c r="B30" s="239"/>
      <c r="C30" s="164" t="s">
        <v>318</v>
      </c>
      <c r="D30" s="324" t="s">
        <v>111</v>
      </c>
      <c r="E30" s="324"/>
      <c r="F30" s="326"/>
      <c r="G30" s="327"/>
      <c r="H30" s="157"/>
      <c r="I30" s="157"/>
      <c r="J30" s="112"/>
      <c r="K30" s="112"/>
    </row>
    <row r="31" spans="1:11" s="36" customFormat="1" ht="38.1" customHeight="1">
      <c r="A31" s="239" t="s">
        <v>319</v>
      </c>
      <c r="B31" s="239"/>
      <c r="C31" s="161" t="s">
        <v>320</v>
      </c>
      <c r="D31" s="324">
        <v>0.16600000000000001</v>
      </c>
      <c r="E31" s="324"/>
      <c r="F31" s="326"/>
      <c r="G31" s="327"/>
      <c r="H31" s="157"/>
      <c r="I31" s="157"/>
      <c r="J31" s="112"/>
      <c r="K31" s="112"/>
    </row>
    <row r="32" spans="1:11" s="36" customFormat="1" ht="38.1" customHeight="1">
      <c r="A32" s="239" t="s">
        <v>321</v>
      </c>
      <c r="B32" s="239"/>
      <c r="C32" s="161" t="s">
        <v>322</v>
      </c>
      <c r="D32" s="324">
        <v>5</v>
      </c>
      <c r="E32" s="324"/>
      <c r="F32" s="328">
        <v>4</v>
      </c>
      <c r="G32" s="329"/>
      <c r="H32" s="157"/>
      <c r="I32" s="157"/>
      <c r="J32" s="112"/>
      <c r="K32" s="112"/>
    </row>
    <row r="33" spans="1:7" s="36" customFormat="1" ht="38.1" customHeight="1">
      <c r="A33" s="239" t="s">
        <v>323</v>
      </c>
      <c r="B33" s="239"/>
      <c r="C33" s="161" t="s">
        <v>322</v>
      </c>
      <c r="D33" s="324" t="s">
        <v>324</v>
      </c>
      <c r="E33" s="324"/>
      <c r="F33" s="326"/>
      <c r="G33" s="327"/>
    </row>
    <row r="35" spans="1:7">
      <c r="A35" s="240" t="s">
        <v>325</v>
      </c>
      <c r="B35" s="240"/>
      <c r="C35" s="240"/>
      <c r="D35" s="240"/>
      <c r="E35" s="240"/>
      <c r="F35" s="240"/>
      <c r="G35" s="240"/>
    </row>
    <row r="36" spans="1:7">
      <c r="A36" s="241" t="s">
        <v>326</v>
      </c>
      <c r="B36" s="323"/>
      <c r="C36" s="323"/>
      <c r="D36" s="323"/>
      <c r="E36" s="323"/>
      <c r="F36" s="323"/>
      <c r="G36" s="323"/>
    </row>
    <row r="37" spans="1:7">
      <c r="A37" s="323"/>
      <c r="B37" s="323"/>
      <c r="C37" s="323"/>
      <c r="D37" s="323"/>
      <c r="E37" s="323"/>
      <c r="F37" s="323"/>
      <c r="G37" s="323"/>
    </row>
    <row r="38" spans="1:7">
      <c r="A38" s="323"/>
      <c r="B38" s="323"/>
      <c r="C38" s="323"/>
      <c r="D38" s="323"/>
      <c r="E38" s="323"/>
      <c r="F38" s="323"/>
      <c r="G38" s="323"/>
    </row>
    <row r="39" spans="1:7">
      <c r="A39" s="323"/>
      <c r="B39" s="323"/>
      <c r="C39" s="323"/>
      <c r="D39" s="323"/>
      <c r="E39" s="323"/>
      <c r="F39" s="323"/>
      <c r="G39" s="323"/>
    </row>
    <row r="40" spans="1:7">
      <c r="A40" s="323"/>
      <c r="B40" s="323"/>
      <c r="C40" s="323"/>
      <c r="D40" s="323"/>
      <c r="E40" s="323"/>
      <c r="F40" s="323"/>
      <c r="G40" s="323"/>
    </row>
    <row r="41" spans="1:7">
      <c r="A41" s="323"/>
      <c r="B41" s="323"/>
      <c r="C41" s="323"/>
      <c r="D41" s="323"/>
      <c r="E41" s="323"/>
      <c r="F41" s="323"/>
      <c r="G41" s="323"/>
    </row>
    <row r="56" spans="6:6">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view="pageBreakPreview" zoomScaleNormal="100" zoomScaleSheetLayoutView="100" workbookViewId="0">
      <selection activeCell="A10" sqref="A10:I11"/>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Charlton Lane Eco Park</v>
      </c>
      <c r="F1" s="92"/>
      <c r="G1" s="92"/>
      <c r="H1" s="92"/>
      <c r="I1" s="92"/>
    </row>
    <row r="3" spans="1:9" ht="15.6">
      <c r="A3" s="1" t="s">
        <v>43</v>
      </c>
      <c r="B3" s="92"/>
      <c r="C3" s="92"/>
      <c r="D3" s="92"/>
      <c r="E3" s="92"/>
      <c r="F3" s="92"/>
      <c r="G3" s="92"/>
      <c r="H3" s="92"/>
      <c r="I3" s="92"/>
    </row>
    <row r="4" spans="1:9" ht="15.6">
      <c r="A4" s="1"/>
      <c r="B4" s="92"/>
      <c r="C4" s="92"/>
      <c r="D4" s="92"/>
      <c r="E4" s="92"/>
      <c r="F4" s="92"/>
      <c r="G4" s="92"/>
      <c r="H4" s="92"/>
      <c r="I4" s="92"/>
    </row>
    <row r="5" spans="1:9" s="3" customFormat="1" ht="21.75" customHeight="1">
      <c r="A5" s="47" t="s">
        <v>307</v>
      </c>
      <c r="B5" s="48"/>
      <c r="C5" s="48"/>
      <c r="D5" s="48"/>
      <c r="E5" s="48"/>
      <c r="F5" s="48"/>
      <c r="G5" s="48"/>
      <c r="H5" s="48"/>
      <c r="I5" s="49"/>
    </row>
    <row r="6" spans="1:9" s="3" customFormat="1" ht="26.25" customHeight="1">
      <c r="A6" s="212" t="s">
        <v>327</v>
      </c>
      <c r="B6" s="213"/>
      <c r="C6" s="213"/>
      <c r="D6" s="213"/>
      <c r="E6" s="213"/>
      <c r="F6" s="213"/>
      <c r="G6" s="213"/>
      <c r="H6" s="213"/>
      <c r="I6" s="214"/>
    </row>
    <row r="7" spans="1:9" s="3" customFormat="1" ht="18.75" customHeight="1">
      <c r="A7" s="218"/>
      <c r="B7" s="219"/>
      <c r="C7" s="219"/>
      <c r="D7" s="219"/>
      <c r="E7" s="219"/>
      <c r="F7" s="219"/>
      <c r="G7" s="219"/>
      <c r="H7" s="219"/>
      <c r="I7" s="220"/>
    </row>
    <row r="8" spans="1:9" s="3" customFormat="1" ht="15.75" customHeight="1">
      <c r="A8" s="212"/>
      <c r="B8" s="213"/>
      <c r="C8" s="213"/>
      <c r="D8" s="213"/>
      <c r="E8" s="213"/>
      <c r="F8" s="213"/>
      <c r="G8" s="213"/>
      <c r="H8" s="213"/>
      <c r="I8" s="214"/>
    </row>
    <row r="9" spans="1:9" s="3" customFormat="1" ht="15.75" customHeight="1">
      <c r="A9" s="218"/>
      <c r="B9" s="219"/>
      <c r="C9" s="219"/>
      <c r="D9" s="219"/>
      <c r="E9" s="219"/>
      <c r="F9" s="219"/>
      <c r="G9" s="219"/>
      <c r="H9" s="219"/>
      <c r="I9" s="220"/>
    </row>
    <row r="10" spans="1:9" s="3" customFormat="1" ht="15.75" customHeight="1">
      <c r="A10" s="212"/>
      <c r="B10" s="213"/>
      <c r="C10" s="213"/>
      <c r="D10" s="213"/>
      <c r="E10" s="213"/>
      <c r="F10" s="213"/>
      <c r="G10" s="213"/>
      <c r="H10" s="213"/>
      <c r="I10" s="214"/>
    </row>
    <row r="11" spans="1:9" s="3" customFormat="1" ht="15.75" customHeight="1">
      <c r="A11" s="218"/>
      <c r="B11" s="219"/>
      <c r="C11" s="219"/>
      <c r="D11" s="219"/>
      <c r="E11" s="219"/>
      <c r="F11" s="219"/>
      <c r="G11" s="219"/>
      <c r="H11" s="219"/>
      <c r="I11" s="220"/>
    </row>
    <row r="12" spans="1:9" s="3" customFormat="1" ht="13.9"/>
    <row r="13" spans="1:9" s="46" customFormat="1" ht="33.75" customHeight="1">
      <c r="A13" s="308" t="s">
        <v>310</v>
      </c>
      <c r="B13" s="309"/>
      <c r="C13" s="309"/>
      <c r="D13" s="309"/>
      <c r="E13" s="309"/>
      <c r="F13" s="309"/>
      <c r="G13" s="309"/>
      <c r="H13" s="309"/>
      <c r="I13" s="310"/>
    </row>
    <row r="14" spans="1:9" ht="15.75" customHeight="1">
      <c r="A14" s="311" t="s">
        <v>311</v>
      </c>
      <c r="B14" s="313"/>
      <c r="C14" s="311" t="s">
        <v>277</v>
      </c>
      <c r="D14" s="312"/>
      <c r="E14" s="312"/>
      <c r="F14" s="312"/>
      <c r="G14" s="312"/>
      <c r="H14" s="312"/>
      <c r="I14" s="312"/>
    </row>
    <row r="15" spans="1:9" ht="15.75" customHeight="1">
      <c r="A15" s="212"/>
      <c r="B15" s="214"/>
      <c r="C15" s="314"/>
      <c r="D15" s="221"/>
      <c r="E15" s="221"/>
      <c r="F15" s="221"/>
      <c r="G15" s="221"/>
      <c r="H15" s="221"/>
      <c r="I15" s="222"/>
    </row>
    <row r="16" spans="1:9" ht="15.75" customHeight="1">
      <c r="A16" s="218"/>
      <c r="B16" s="220"/>
      <c r="C16" s="226"/>
      <c r="D16" s="227"/>
      <c r="E16" s="227"/>
      <c r="F16" s="227"/>
      <c r="G16" s="227"/>
      <c r="H16" s="227"/>
      <c r="I16" s="228"/>
    </row>
    <row r="17" spans="1:9" ht="15.75" customHeight="1">
      <c r="A17" s="314"/>
      <c r="B17" s="222"/>
      <c r="C17" s="314"/>
      <c r="D17" s="221"/>
      <c r="E17" s="221"/>
      <c r="F17" s="221"/>
      <c r="G17" s="221"/>
      <c r="H17" s="221"/>
      <c r="I17" s="222"/>
    </row>
    <row r="18" spans="1:9" ht="15.75" customHeight="1">
      <c r="A18" s="226"/>
      <c r="B18" s="228"/>
      <c r="C18" s="226"/>
      <c r="D18" s="227"/>
      <c r="E18" s="227"/>
      <c r="F18" s="227"/>
      <c r="G18" s="227"/>
      <c r="H18" s="227"/>
      <c r="I18" s="228"/>
    </row>
    <row r="19" spans="1:9" ht="15.75" customHeight="1">
      <c r="A19" s="314"/>
      <c r="B19" s="222"/>
      <c r="C19" s="314"/>
      <c r="D19" s="221"/>
      <c r="E19" s="221"/>
      <c r="F19" s="221"/>
      <c r="G19" s="221"/>
      <c r="H19" s="221"/>
      <c r="I19" s="222"/>
    </row>
    <row r="20" spans="1:9" ht="15.75" customHeight="1">
      <c r="A20" s="226"/>
      <c r="B20" s="228"/>
      <c r="C20" s="226"/>
      <c r="D20" s="227"/>
      <c r="E20" s="227"/>
      <c r="F20" s="227"/>
      <c r="G20" s="227"/>
      <c r="H20" s="227"/>
      <c r="I20" s="228"/>
    </row>
    <row r="22" spans="1:9" ht="22.5" customHeight="1">
      <c r="A22" s="338" t="s">
        <v>328</v>
      </c>
      <c r="B22" s="339"/>
      <c r="C22" s="339"/>
      <c r="D22" s="339"/>
      <c r="E22" s="339"/>
      <c r="F22" s="339"/>
      <c r="G22" s="339"/>
      <c r="H22" s="339"/>
      <c r="I22" s="339"/>
    </row>
    <row r="23" spans="1:9" ht="19.5" customHeight="1">
      <c r="A23" s="340" t="s">
        <v>193</v>
      </c>
      <c r="B23" s="341"/>
      <c r="C23" s="342"/>
      <c r="D23" s="343" t="s">
        <v>329</v>
      </c>
      <c r="E23" s="344"/>
      <c r="F23" s="53" t="s">
        <v>314</v>
      </c>
      <c r="G23" s="53" t="s">
        <v>330</v>
      </c>
      <c r="H23" s="53" t="s">
        <v>331</v>
      </c>
      <c r="I23" s="53" t="s">
        <v>332</v>
      </c>
    </row>
    <row r="24" spans="1:9">
      <c r="A24" s="335"/>
      <c r="B24" s="336"/>
      <c r="C24" s="337"/>
      <c r="D24" s="333"/>
      <c r="E24" s="334"/>
      <c r="F24" s="162"/>
      <c r="G24" s="162"/>
      <c r="H24" s="162"/>
      <c r="I24" s="162"/>
    </row>
    <row r="25" spans="1:9">
      <c r="A25" s="335"/>
      <c r="B25" s="336"/>
      <c r="C25" s="337"/>
      <c r="D25" s="333"/>
      <c r="E25" s="334"/>
      <c r="F25" s="162"/>
      <c r="G25" s="162"/>
      <c r="H25" s="162"/>
      <c r="I25" s="162"/>
    </row>
    <row r="26" spans="1:9">
      <c r="A26" s="335"/>
      <c r="B26" s="336"/>
      <c r="C26" s="337"/>
      <c r="D26" s="333"/>
      <c r="E26" s="334"/>
      <c r="F26" s="162"/>
      <c r="G26" s="162"/>
      <c r="H26" s="162"/>
      <c r="I26" s="162"/>
    </row>
    <row r="27" spans="1:9">
      <c r="A27" s="335"/>
      <c r="B27" s="336"/>
      <c r="C27" s="337"/>
      <c r="D27" s="333"/>
      <c r="E27" s="334"/>
      <c r="F27" s="162"/>
      <c r="G27" s="162"/>
      <c r="H27" s="162"/>
      <c r="I27" s="162"/>
    </row>
    <row r="28" spans="1:9">
      <c r="A28" s="335"/>
      <c r="B28" s="336"/>
      <c r="C28" s="337"/>
      <c r="D28" s="333"/>
      <c r="E28" s="334"/>
      <c r="F28" s="162"/>
      <c r="G28" s="162"/>
      <c r="H28" s="162"/>
      <c r="I28" s="162"/>
    </row>
    <row r="29" spans="1:9">
      <c r="A29" s="335"/>
      <c r="B29" s="336"/>
      <c r="C29" s="337"/>
      <c r="D29" s="333"/>
      <c r="E29" s="334"/>
      <c r="F29" s="162"/>
      <c r="G29" s="162"/>
      <c r="H29" s="162"/>
      <c r="I29" s="162"/>
    </row>
    <row r="30" spans="1:9">
      <c r="A30" s="332"/>
      <c r="B30" s="332"/>
      <c r="C30" s="332"/>
      <c r="D30" s="333"/>
      <c r="E30" s="334"/>
      <c r="F30" s="162"/>
      <c r="G30" s="162"/>
      <c r="H30" s="162"/>
      <c r="I30" s="162"/>
    </row>
    <row r="31" spans="1:9">
      <c r="A31" s="112"/>
      <c r="B31" s="112"/>
      <c r="C31" s="112"/>
      <c r="D31" s="112"/>
      <c r="E31" s="112"/>
      <c r="F31" s="112"/>
      <c r="G31" s="112"/>
      <c r="H31" s="112"/>
      <c r="I31" s="112"/>
    </row>
    <row r="32" spans="1:9">
      <c r="A32" s="112"/>
      <c r="B32" s="112"/>
      <c r="C32" s="112"/>
      <c r="D32" s="112"/>
      <c r="E32" s="112"/>
      <c r="F32" s="112"/>
      <c r="G32" s="112"/>
      <c r="H32" s="112"/>
      <c r="I32" s="112"/>
    </row>
    <row r="33" spans="1:9">
      <c r="A33" s="112"/>
      <c r="B33" s="112"/>
      <c r="C33" s="112"/>
      <c r="D33" s="112"/>
      <c r="E33" s="112"/>
      <c r="F33" s="112"/>
      <c r="G33" s="112"/>
      <c r="H33" s="112"/>
      <c r="I33" s="112"/>
    </row>
    <row r="66" spans="5:5">
      <c r="E66" s="3"/>
    </row>
  </sheetData>
  <mergeCells count="29">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U64"/>
  <sheetViews>
    <sheetView view="pageBreakPreview" zoomScaleNormal="100" zoomScaleSheetLayoutView="100" workbookViewId="0">
      <selection activeCell="F34" sqref="F34"/>
    </sheetView>
  </sheetViews>
  <sheetFormatPr defaultColWidth="9.28515625" defaultRowHeight="15"/>
  <cols>
    <col min="1" max="1" width="9.28515625" style="2" customWidth="1"/>
    <col min="2" max="2" width="14.5703125" style="2" bestFit="1" customWidth="1"/>
    <col min="3" max="5" width="9.28515625" style="2"/>
    <col min="6" max="6" width="13" style="2" bestFit="1" customWidth="1"/>
    <col min="7" max="9" width="9.28515625" style="2"/>
    <col min="10" max="10" width="10.42578125" style="2" customWidth="1"/>
    <col min="11" max="12" width="9.28515625" style="2"/>
    <col min="13" max="14" width="11.140625" style="2" bestFit="1" customWidth="1"/>
    <col min="15" max="16" width="9.42578125" style="2" bestFit="1" customWidth="1"/>
    <col min="17" max="19" width="11.140625" style="2" bestFit="1" customWidth="1"/>
    <col min="20" max="20" width="9.42578125" style="2" bestFit="1" customWidth="1"/>
    <col min="21" max="16384" width="9.28515625" style="2"/>
  </cols>
  <sheetData>
    <row r="1" spans="1:21">
      <c r="A1" s="92" t="str">
        <f>+'Cover Page'!$B$29</f>
        <v>Annual Performance Report 2022</v>
      </c>
      <c r="B1" s="92"/>
      <c r="C1" s="92"/>
      <c r="D1" s="92"/>
      <c r="E1" s="92" t="str">
        <f>+'Cover Page'!$B$33</f>
        <v>Charlton Lane Eco Park</v>
      </c>
      <c r="F1" s="92"/>
      <c r="G1" s="92"/>
      <c r="H1" s="92"/>
      <c r="I1" s="92"/>
      <c r="J1" s="92"/>
      <c r="K1" s="92"/>
      <c r="L1" s="92"/>
      <c r="M1" s="92"/>
      <c r="N1" s="92"/>
      <c r="O1" s="92"/>
      <c r="P1" s="92"/>
      <c r="Q1" s="92"/>
      <c r="R1" s="92"/>
      <c r="S1" s="92"/>
      <c r="T1" s="92"/>
      <c r="U1" s="92"/>
    </row>
    <row r="2" spans="1:21" ht="7.5" customHeight="1">
      <c r="A2" s="92"/>
      <c r="B2" s="92"/>
      <c r="C2" s="92"/>
      <c r="D2" s="92"/>
      <c r="E2" s="92"/>
      <c r="F2" s="92"/>
      <c r="G2" s="92"/>
      <c r="H2" s="92"/>
      <c r="I2" s="92"/>
      <c r="J2" s="92"/>
      <c r="K2" s="92"/>
      <c r="L2" s="92"/>
      <c r="M2" s="92"/>
      <c r="N2" s="92"/>
      <c r="O2" s="92"/>
      <c r="P2" s="92"/>
      <c r="Q2" s="92"/>
      <c r="R2" s="92"/>
      <c r="S2" s="92"/>
      <c r="T2" s="92"/>
      <c r="U2" s="92"/>
    </row>
    <row r="3" spans="1:21" ht="15.6">
      <c r="A3" s="1" t="s">
        <v>44</v>
      </c>
      <c r="B3" s="92"/>
      <c r="C3" s="92"/>
      <c r="D3" s="92"/>
      <c r="E3" s="92"/>
      <c r="F3" s="92"/>
      <c r="G3" s="92"/>
      <c r="H3" s="92"/>
      <c r="I3" s="92"/>
      <c r="J3" s="92"/>
      <c r="K3" s="92"/>
      <c r="L3" s="92"/>
      <c r="M3" s="92"/>
      <c r="N3" s="92"/>
      <c r="O3" s="92"/>
      <c r="P3" s="92"/>
      <c r="Q3" s="92"/>
      <c r="R3" s="92"/>
      <c r="S3" s="92"/>
      <c r="T3" s="92"/>
      <c r="U3" s="92"/>
    </row>
    <row r="4" spans="1:21" ht="9.75" customHeight="1">
      <c r="A4" s="1"/>
      <c r="B4" s="92"/>
      <c r="C4" s="92"/>
      <c r="D4" s="92"/>
      <c r="E4" s="92"/>
      <c r="F4" s="92"/>
      <c r="G4" s="92"/>
      <c r="H4" s="92"/>
      <c r="I4" s="92"/>
      <c r="J4" s="92"/>
      <c r="K4" s="92"/>
      <c r="L4" s="92"/>
      <c r="M4" s="92"/>
      <c r="N4" s="92"/>
      <c r="O4" s="92"/>
      <c r="P4" s="92"/>
      <c r="Q4" s="92"/>
      <c r="R4" s="92"/>
      <c r="S4" s="92"/>
      <c r="T4" s="92"/>
      <c r="U4" s="92"/>
    </row>
    <row r="5" spans="1:21" s="3" customFormat="1" ht="21.75" customHeight="1">
      <c r="A5" s="47" t="s">
        <v>333</v>
      </c>
      <c r="B5" s="48"/>
      <c r="C5" s="48"/>
      <c r="D5" s="48"/>
      <c r="E5" s="48"/>
      <c r="F5" s="48"/>
      <c r="G5" s="48"/>
      <c r="H5" s="48"/>
      <c r="I5" s="48"/>
      <c r="J5" s="49"/>
      <c r="M5" s="81" t="s">
        <v>3</v>
      </c>
    </row>
    <row r="6" spans="1:21" s="3" customFormat="1" ht="49.5" customHeight="1">
      <c r="A6" s="212" t="s">
        <v>334</v>
      </c>
      <c r="B6" s="213"/>
      <c r="C6" s="213"/>
      <c r="D6" s="213"/>
      <c r="E6" s="213"/>
      <c r="F6" s="213"/>
      <c r="G6" s="213"/>
      <c r="H6" s="213"/>
      <c r="I6" s="213"/>
      <c r="J6" s="214"/>
      <c r="M6" s="358" t="s">
        <v>335</v>
      </c>
      <c r="N6" s="358"/>
      <c r="O6" s="358"/>
      <c r="P6" s="358"/>
      <c r="R6" s="358" t="s">
        <v>336</v>
      </c>
      <c r="S6" s="358"/>
      <c r="T6" s="358"/>
      <c r="U6" s="358"/>
    </row>
    <row r="7" spans="1:21" s="3" customFormat="1" ht="54.75" customHeight="1">
      <c r="A7" s="218"/>
      <c r="B7" s="219"/>
      <c r="C7" s="219"/>
      <c r="D7" s="219"/>
      <c r="E7" s="219"/>
      <c r="F7" s="219"/>
      <c r="G7" s="219"/>
      <c r="H7" s="219"/>
      <c r="I7" s="219"/>
      <c r="J7" s="220"/>
      <c r="M7" s="358"/>
      <c r="N7" s="358"/>
      <c r="O7" s="358"/>
      <c r="P7" s="358"/>
      <c r="R7" s="358"/>
      <c r="S7" s="358"/>
      <c r="T7" s="358"/>
      <c r="U7" s="358"/>
    </row>
    <row r="8" spans="1:21" s="3" customFormat="1" ht="13.9">
      <c r="M8" s="358"/>
      <c r="N8" s="358"/>
      <c r="O8" s="358"/>
      <c r="P8" s="358"/>
      <c r="R8" s="358"/>
      <c r="S8" s="358"/>
      <c r="T8" s="358"/>
      <c r="U8" s="358"/>
    </row>
    <row r="9" spans="1:21" s="55" customFormat="1" ht="16.5" customHeight="1">
      <c r="A9" s="330" t="s">
        <v>337</v>
      </c>
      <c r="B9" s="330"/>
      <c r="C9" s="330"/>
      <c r="D9" s="330"/>
      <c r="E9" s="330"/>
      <c r="F9" s="330"/>
      <c r="G9" s="330"/>
      <c r="H9" s="330"/>
      <c r="I9" s="330"/>
      <c r="J9" s="330"/>
      <c r="M9" s="358"/>
      <c r="N9" s="358"/>
      <c r="O9" s="358"/>
      <c r="P9" s="358"/>
    </row>
    <row r="10" spans="1:21" s="55" customFormat="1" ht="16.5" customHeight="1">
      <c r="A10" s="345" t="s">
        <v>222</v>
      </c>
      <c r="B10" s="346"/>
      <c r="C10" s="356" t="s">
        <v>338</v>
      </c>
      <c r="D10" s="352" t="s">
        <v>339</v>
      </c>
      <c r="E10" s="353"/>
      <c r="F10" s="349" t="s">
        <v>332</v>
      </c>
      <c r="G10" s="350"/>
      <c r="H10" s="350"/>
      <c r="I10" s="350"/>
      <c r="J10" s="351"/>
    </row>
    <row r="11" spans="1:21" s="12" customFormat="1" ht="17.25" customHeight="1">
      <c r="A11" s="347"/>
      <c r="B11" s="348"/>
      <c r="C11" s="357"/>
      <c r="D11" s="354"/>
      <c r="E11" s="355"/>
      <c r="F11" s="45" t="s">
        <v>195</v>
      </c>
      <c r="G11" s="45" t="s">
        <v>196</v>
      </c>
      <c r="H11" s="45" t="s">
        <v>197</v>
      </c>
      <c r="I11" s="45" t="s">
        <v>198</v>
      </c>
      <c r="J11" s="45" t="s">
        <v>199</v>
      </c>
      <c r="K11" s="112"/>
      <c r="L11" s="112"/>
      <c r="M11" s="172">
        <v>44562</v>
      </c>
      <c r="N11" s="172">
        <v>44593</v>
      </c>
      <c r="O11" s="172">
        <v>44621</v>
      </c>
      <c r="P11" s="172">
        <v>44652</v>
      </c>
      <c r="Q11" s="172">
        <v>44682</v>
      </c>
      <c r="R11" s="172">
        <v>44713</v>
      </c>
      <c r="S11" s="112" t="s">
        <v>340</v>
      </c>
      <c r="T11" s="112" t="s">
        <v>341</v>
      </c>
      <c r="U11" s="112"/>
    </row>
    <row r="12" spans="1:21" s="12" customFormat="1" ht="23.25" customHeight="1">
      <c r="A12" s="239" t="s">
        <v>342</v>
      </c>
      <c r="B12" s="239"/>
      <c r="C12" s="165" t="s">
        <v>343</v>
      </c>
      <c r="D12" s="285" t="s">
        <v>344</v>
      </c>
      <c r="E12" s="285"/>
      <c r="F12" s="162">
        <v>3.9750000000000001E-2</v>
      </c>
      <c r="G12" s="162"/>
      <c r="H12" s="162"/>
      <c r="I12" s="162"/>
      <c r="J12" s="162"/>
      <c r="K12" s="112"/>
      <c r="L12" s="112"/>
      <c r="M12" s="112"/>
      <c r="N12" s="112"/>
      <c r="O12" s="15">
        <v>0.03</v>
      </c>
      <c r="P12" s="112"/>
      <c r="Q12" s="15">
        <v>0.05</v>
      </c>
      <c r="R12" s="112"/>
      <c r="S12" s="15">
        <v>3.9E-2</v>
      </c>
      <c r="T12" s="15">
        <v>0.04</v>
      </c>
      <c r="U12" s="112"/>
    </row>
    <row r="13" spans="1:21" s="12" customFormat="1" ht="23.25" customHeight="1">
      <c r="A13" s="239" t="s">
        <v>345</v>
      </c>
      <c r="B13" s="239"/>
      <c r="C13" s="165" t="s">
        <v>346</v>
      </c>
      <c r="D13" s="285" t="s">
        <v>347</v>
      </c>
      <c r="E13" s="285"/>
      <c r="F13" s="162">
        <v>1.5E-3</v>
      </c>
      <c r="G13" s="162"/>
      <c r="H13" s="162"/>
      <c r="I13" s="162"/>
      <c r="J13" s="162"/>
      <c r="K13" s="112"/>
      <c r="L13" s="112"/>
      <c r="M13" s="112"/>
      <c r="N13" s="112"/>
      <c r="O13" s="15">
        <v>1.1999999999999999E-3</v>
      </c>
      <c r="P13" s="112"/>
      <c r="Q13" s="15">
        <v>8.0000000000000004E-4</v>
      </c>
      <c r="R13" s="112"/>
      <c r="S13" s="15">
        <v>2E-3</v>
      </c>
      <c r="T13" s="15">
        <v>2E-3</v>
      </c>
      <c r="U13" s="112"/>
    </row>
    <row r="14" spans="1:21" s="12" customFormat="1" ht="23.25" customHeight="1">
      <c r="A14" s="239" t="s">
        <v>348</v>
      </c>
      <c r="B14" s="239"/>
      <c r="C14" s="165" t="s">
        <v>346</v>
      </c>
      <c r="D14" s="285" t="s">
        <v>347</v>
      </c>
      <c r="E14" s="285"/>
      <c r="F14" s="162">
        <v>5.1000000000000004E-4</v>
      </c>
      <c r="G14" s="162"/>
      <c r="H14" s="162"/>
      <c r="I14" s="162"/>
      <c r="J14" s="162"/>
      <c r="K14" s="112"/>
      <c r="L14" s="112"/>
      <c r="M14" s="112"/>
      <c r="N14" s="112"/>
      <c r="O14" s="112">
        <v>3.1E-4</v>
      </c>
      <c r="P14" s="112"/>
      <c r="Q14" s="112">
        <v>2.9999999999999997E-4</v>
      </c>
      <c r="R14" s="112"/>
      <c r="S14" s="15">
        <v>4.2999999999999999E-4</v>
      </c>
      <c r="T14" s="112">
        <v>1E-3</v>
      </c>
      <c r="U14" s="112"/>
    </row>
    <row r="15" spans="1:21" s="12" customFormat="1" ht="23.25" customHeight="1">
      <c r="A15" s="239" t="s">
        <v>349</v>
      </c>
      <c r="B15" s="239"/>
      <c r="C15" s="165" t="s">
        <v>346</v>
      </c>
      <c r="D15" s="285" t="s">
        <v>350</v>
      </c>
      <c r="E15" s="285"/>
      <c r="F15" s="162">
        <v>2.35E-2</v>
      </c>
      <c r="G15" s="162"/>
      <c r="H15" s="162"/>
      <c r="I15" s="162"/>
      <c r="J15" s="162"/>
      <c r="K15" s="112"/>
      <c r="L15" s="112"/>
      <c r="M15" s="112"/>
      <c r="N15" s="112"/>
      <c r="O15" s="112">
        <v>3.2000000000000001E-2</v>
      </c>
      <c r="P15" s="112"/>
      <c r="Q15" s="112">
        <v>2.1999999999999999E-2</v>
      </c>
      <c r="R15" s="112"/>
      <c r="S15" s="112">
        <v>2.1000000000000001E-2</v>
      </c>
      <c r="T15" s="112">
        <v>1.9E-2</v>
      </c>
      <c r="U15" s="112"/>
    </row>
    <row r="16" spans="1:21" s="12" customFormat="1" ht="23.25" customHeight="1">
      <c r="A16" s="239" t="s">
        <v>351</v>
      </c>
      <c r="B16" s="239"/>
      <c r="C16" s="165" t="s">
        <v>346</v>
      </c>
      <c r="D16" s="285" t="s">
        <v>352</v>
      </c>
      <c r="E16" s="285"/>
      <c r="F16" s="162">
        <v>2.4262499999999999E-2</v>
      </c>
      <c r="G16" s="162"/>
      <c r="H16" s="162"/>
      <c r="I16" s="162"/>
      <c r="J16" s="162"/>
      <c r="K16" s="112"/>
      <c r="L16" s="112"/>
      <c r="M16" s="112">
        <v>1.2999999999999999E-2</v>
      </c>
      <c r="N16" s="112">
        <v>1.0999999999999999E-2</v>
      </c>
      <c r="O16" s="112">
        <v>5.0999999999999997E-2</v>
      </c>
      <c r="P16" s="112">
        <v>1.4E-2</v>
      </c>
      <c r="Q16" s="112">
        <v>4.0000000000000001E-3</v>
      </c>
      <c r="R16" s="112">
        <v>4.5999999999999999E-3</v>
      </c>
      <c r="S16" s="112">
        <v>9.4000000000000004E-3</v>
      </c>
      <c r="T16" s="112">
        <v>8.7099999999999997E-2</v>
      </c>
      <c r="U16" s="112"/>
    </row>
    <row r="17" spans="1:20" s="12" customFormat="1" ht="23.25" customHeight="1">
      <c r="A17" s="239" t="s">
        <v>353</v>
      </c>
      <c r="B17" s="239"/>
      <c r="C17" s="165" t="s">
        <v>346</v>
      </c>
      <c r="D17" s="285" t="s">
        <v>354</v>
      </c>
      <c r="E17" s="285"/>
      <c r="F17" s="162">
        <v>3.9176250000000001E-3</v>
      </c>
      <c r="G17" s="162"/>
      <c r="H17" s="162"/>
      <c r="I17" s="162"/>
      <c r="J17" s="162"/>
      <c r="K17" s="112"/>
      <c r="L17" s="112"/>
      <c r="M17" s="112">
        <v>8.0999999999999996E-4</v>
      </c>
      <c r="N17" s="112">
        <v>8.0000000000000004E-4</v>
      </c>
      <c r="O17" s="112">
        <v>1.2999999999999999E-2</v>
      </c>
      <c r="P17" s="112">
        <v>2.6319999999999998E-3</v>
      </c>
      <c r="Q17" s="112">
        <v>1E-3</v>
      </c>
      <c r="R17" s="112">
        <v>9.5100000000000002E-4</v>
      </c>
      <c r="S17" s="112">
        <v>1.1999999999999999E-3</v>
      </c>
      <c r="T17" s="112">
        <v>1.0947999999999999E-2</v>
      </c>
    </row>
    <row r="18" spans="1:20" s="12" customFormat="1" ht="23.25" customHeight="1">
      <c r="A18" s="239" t="s">
        <v>355</v>
      </c>
      <c r="B18" s="239"/>
      <c r="C18" s="165" t="s">
        <v>346</v>
      </c>
      <c r="D18" s="285" t="s">
        <v>354</v>
      </c>
      <c r="E18" s="285"/>
      <c r="F18" s="162">
        <v>1.8187500000000002E-4</v>
      </c>
      <c r="G18" s="162"/>
      <c r="H18" s="162"/>
      <c r="I18" s="162"/>
      <c r="J18" s="162"/>
      <c r="K18" s="112"/>
      <c r="L18" s="112"/>
      <c r="M18" s="112">
        <v>3.8000000000000002E-5</v>
      </c>
      <c r="N18" s="112">
        <v>3.6999999999999998E-5</v>
      </c>
      <c r="O18" s="112">
        <v>5.9999999999999995E-4</v>
      </c>
      <c r="P18" s="112">
        <v>1.25E-4</v>
      </c>
      <c r="Q18" s="112">
        <v>5.1E-5</v>
      </c>
      <c r="R18" s="112">
        <v>4.6E-5</v>
      </c>
      <c r="S18" s="112">
        <v>5.7000000000000003E-5</v>
      </c>
      <c r="T18" s="112">
        <v>5.0100000000000003E-4</v>
      </c>
    </row>
    <row r="19" spans="1:20" s="12" customFormat="1" ht="23.25" customHeight="1">
      <c r="A19" s="239" t="s">
        <v>356</v>
      </c>
      <c r="B19" s="239"/>
      <c r="C19" s="165" t="s">
        <v>346</v>
      </c>
      <c r="D19" s="285" t="s">
        <v>354</v>
      </c>
      <c r="E19" s="285"/>
      <c r="F19" s="162">
        <v>7.2048750000000012E-3</v>
      </c>
      <c r="G19" s="162"/>
      <c r="H19" s="162"/>
      <c r="I19" s="162"/>
      <c r="J19" s="162"/>
      <c r="K19" s="112"/>
      <c r="L19" s="112"/>
      <c r="M19" s="112">
        <v>1.8E-3</v>
      </c>
      <c r="N19" s="112">
        <v>2E-3</v>
      </c>
      <c r="O19" s="112">
        <v>2.1000000000000001E-2</v>
      </c>
      <c r="P19" s="112">
        <v>4.9680000000000002E-3</v>
      </c>
      <c r="Q19" s="112">
        <v>2.5999999999999999E-3</v>
      </c>
      <c r="R19" s="112">
        <v>2.0839999999999999E-3</v>
      </c>
      <c r="S19" s="112">
        <v>2.5000000000000001E-3</v>
      </c>
      <c r="T19" s="112">
        <v>2.0687000000000001E-2</v>
      </c>
    </row>
    <row r="20" spans="1:20" s="12" customFormat="1" ht="23.25" customHeight="1">
      <c r="A20" s="239" t="s">
        <v>357</v>
      </c>
      <c r="B20" s="239"/>
      <c r="C20" s="165" t="s">
        <v>346</v>
      </c>
      <c r="D20" s="285" t="s">
        <v>354</v>
      </c>
      <c r="E20" s="285"/>
      <c r="F20" s="162">
        <v>2.3612500000000002E-2</v>
      </c>
      <c r="G20" s="162"/>
      <c r="H20" s="162"/>
      <c r="I20" s="162"/>
      <c r="J20" s="162"/>
      <c r="K20" s="112"/>
      <c r="L20" s="112"/>
      <c r="M20" s="112">
        <v>1.0999999999999999E-2</v>
      </c>
      <c r="N20" s="112">
        <v>1.0999999999999999E-2</v>
      </c>
      <c r="O20" s="112">
        <v>4.4999999999999998E-2</v>
      </c>
      <c r="P20" s="112">
        <v>1.2999999999999999E-2</v>
      </c>
      <c r="Q20" s="112">
        <v>4.3E-3</v>
      </c>
      <c r="R20" s="112">
        <v>4.5999999999999999E-3</v>
      </c>
      <c r="S20" s="112">
        <v>9.5999999999999992E-3</v>
      </c>
      <c r="T20" s="112">
        <v>9.0399999999999994E-2</v>
      </c>
    </row>
    <row r="21" spans="1:20" s="12" customFormat="1" ht="23.25" customHeight="1">
      <c r="A21" s="239" t="s">
        <v>358</v>
      </c>
      <c r="B21" s="239"/>
      <c r="C21" s="165" t="s">
        <v>346</v>
      </c>
      <c r="D21" s="285" t="s">
        <v>354</v>
      </c>
      <c r="E21" s="285"/>
      <c r="F21" s="162">
        <v>2.69625E-2</v>
      </c>
      <c r="G21" s="162"/>
      <c r="H21" s="162"/>
      <c r="I21" s="162"/>
      <c r="J21" s="162"/>
      <c r="K21" s="112"/>
      <c r="L21" s="112"/>
      <c r="M21" s="112">
        <v>1.2999999999999999E-2</v>
      </c>
      <c r="N21" s="112">
        <v>1.2E-2</v>
      </c>
      <c r="O21" s="112">
        <v>5.6000000000000001E-2</v>
      </c>
      <c r="P21" s="112">
        <v>1.49E-2</v>
      </c>
      <c r="Q21" s="112">
        <v>4.5999999999999999E-3</v>
      </c>
      <c r="R21" s="112">
        <v>4.8999999999999998E-3</v>
      </c>
      <c r="S21" s="112">
        <v>0.01</v>
      </c>
      <c r="T21" s="112">
        <v>0.1003</v>
      </c>
    </row>
    <row r="22" spans="1:20" s="12" customFormat="1" ht="23.25" customHeight="1">
      <c r="A22" s="239" t="s">
        <v>359</v>
      </c>
      <c r="B22" s="239"/>
      <c r="C22" s="165" t="s">
        <v>346</v>
      </c>
      <c r="D22" s="285" t="s">
        <v>354</v>
      </c>
      <c r="E22" s="285"/>
      <c r="F22" s="162">
        <v>3.9100000000000003E-2</v>
      </c>
      <c r="G22" s="162"/>
      <c r="H22" s="162"/>
      <c r="I22" s="162"/>
      <c r="J22" s="162"/>
      <c r="K22" s="112"/>
      <c r="L22" s="112"/>
      <c r="M22" s="112">
        <v>2.5999999999999999E-2</v>
      </c>
      <c r="N22" s="112">
        <v>1.7999999999999999E-2</v>
      </c>
      <c r="O22" s="112">
        <v>8.4000000000000005E-2</v>
      </c>
      <c r="P22" s="112">
        <v>2.86E-2</v>
      </c>
      <c r="Q22" s="112">
        <v>6.0000000000000001E-3</v>
      </c>
      <c r="R22" s="112">
        <v>6.4000000000000003E-3</v>
      </c>
      <c r="S22" s="112">
        <v>1.2E-2</v>
      </c>
      <c r="T22" s="112">
        <v>0.1318</v>
      </c>
    </row>
    <row r="23" spans="1:20" s="12" customFormat="1" ht="23.25" customHeight="1">
      <c r="A23" s="239" t="s">
        <v>360</v>
      </c>
      <c r="B23" s="239"/>
      <c r="C23" s="165" t="s">
        <v>346</v>
      </c>
      <c r="D23" s="285" t="s">
        <v>361</v>
      </c>
      <c r="E23" s="285"/>
      <c r="F23" s="162">
        <v>1.1999999999999999E-3</v>
      </c>
      <c r="G23" s="162"/>
      <c r="H23" s="162"/>
      <c r="I23" s="162"/>
      <c r="J23" s="162"/>
      <c r="K23" s="112"/>
      <c r="L23" s="112"/>
      <c r="M23" s="112"/>
      <c r="N23" s="112"/>
      <c r="O23" s="15">
        <v>7.3999999999999999E-4</v>
      </c>
      <c r="P23" s="112"/>
      <c r="Q23" s="15">
        <v>8.5999999999999998E-4</v>
      </c>
      <c r="R23" s="112"/>
      <c r="S23" s="15">
        <v>1.9E-3</v>
      </c>
      <c r="T23" s="15">
        <v>1.2999999999999999E-3</v>
      </c>
    </row>
    <row r="24" spans="1:20" s="12" customFormat="1" ht="23.25" customHeight="1">
      <c r="A24" s="239" t="s">
        <v>362</v>
      </c>
      <c r="B24" s="239"/>
      <c r="C24" s="165" t="s">
        <v>346</v>
      </c>
      <c r="D24" s="285" t="s">
        <v>361</v>
      </c>
      <c r="E24" s="285"/>
      <c r="F24" s="162">
        <v>1.3499999999999999E-3</v>
      </c>
      <c r="G24" s="162"/>
      <c r="H24" s="162"/>
      <c r="I24" s="162"/>
      <c r="J24" s="162"/>
      <c r="K24" s="112"/>
      <c r="L24" s="112"/>
      <c r="M24" s="112"/>
      <c r="N24" s="112"/>
      <c r="O24" s="15">
        <v>7.3999999999999999E-4</v>
      </c>
      <c r="P24" s="112"/>
      <c r="Q24" s="15">
        <v>8.5999999999999998E-4</v>
      </c>
      <c r="R24" s="112"/>
      <c r="S24" s="15">
        <v>1.9E-3</v>
      </c>
      <c r="T24" s="112">
        <v>1.9E-3</v>
      </c>
    </row>
    <row r="25" spans="1:20" s="12" customFormat="1" ht="23.25" customHeight="1">
      <c r="A25" s="239" t="s">
        <v>363</v>
      </c>
      <c r="B25" s="239"/>
      <c r="C25" s="165" t="s">
        <v>346</v>
      </c>
      <c r="D25" s="285" t="s">
        <v>361</v>
      </c>
      <c r="E25" s="285"/>
      <c r="F25" s="162">
        <v>1.1999999999999999E-3</v>
      </c>
      <c r="G25" s="162"/>
      <c r="H25" s="162"/>
      <c r="I25" s="162"/>
      <c r="J25" s="162"/>
      <c r="K25" s="112"/>
      <c r="L25" s="112"/>
      <c r="M25" s="112"/>
      <c r="N25" s="112"/>
      <c r="O25" s="15">
        <v>7.3999999999999999E-4</v>
      </c>
      <c r="P25" s="112"/>
      <c r="Q25" s="15">
        <v>8.5999999999999998E-4</v>
      </c>
      <c r="R25" s="112"/>
      <c r="S25" s="15">
        <v>1.9E-3</v>
      </c>
      <c r="T25" s="15">
        <v>1.2999999999999999E-3</v>
      </c>
    </row>
    <row r="26" spans="1:20" s="12" customFormat="1" ht="23.25" customHeight="1">
      <c r="A26" s="239" t="s">
        <v>364</v>
      </c>
      <c r="B26" s="239"/>
      <c r="C26" s="165" t="s">
        <v>346</v>
      </c>
      <c r="D26" s="285" t="s">
        <v>361</v>
      </c>
      <c r="E26" s="285"/>
      <c r="F26" s="162">
        <v>2.4000000000000002E-3</v>
      </c>
      <c r="G26" s="162"/>
      <c r="H26" s="162"/>
      <c r="I26" s="162"/>
      <c r="J26" s="162"/>
      <c r="K26" s="112"/>
      <c r="L26" s="112"/>
      <c r="M26" s="112"/>
      <c r="N26" s="112"/>
      <c r="O26" s="15">
        <v>7.3999999999999999E-4</v>
      </c>
      <c r="P26" s="112"/>
      <c r="Q26" s="15">
        <v>8.5999999999999998E-4</v>
      </c>
      <c r="R26" s="112"/>
      <c r="S26" s="15">
        <v>1.9E-3</v>
      </c>
      <c r="T26" s="112">
        <v>6.1000000000000004E-3</v>
      </c>
    </row>
    <row r="27" spans="1:20" s="12" customFormat="1" ht="23.25" customHeight="1">
      <c r="A27" s="239" t="s">
        <v>365</v>
      </c>
      <c r="B27" s="239"/>
      <c r="C27" s="165" t="s">
        <v>346</v>
      </c>
      <c r="D27" s="285" t="s">
        <v>361</v>
      </c>
      <c r="E27" s="285"/>
      <c r="F27" s="162">
        <v>1.1999999999999999E-3</v>
      </c>
      <c r="G27" s="162"/>
      <c r="H27" s="162"/>
      <c r="I27" s="162"/>
      <c r="J27" s="162"/>
      <c r="K27" s="112"/>
      <c r="L27" s="112"/>
      <c r="M27" s="112"/>
      <c r="N27" s="112"/>
      <c r="O27" s="15">
        <v>7.3999999999999999E-4</v>
      </c>
      <c r="P27" s="112"/>
      <c r="Q27" s="15">
        <v>8.5999999999999998E-4</v>
      </c>
      <c r="R27" s="112"/>
      <c r="S27" s="15">
        <v>1.9E-3</v>
      </c>
      <c r="T27" s="15">
        <v>1.2999999999999999E-3</v>
      </c>
    </row>
    <row r="28" spans="1:20" s="12" customFormat="1" ht="23.25" customHeight="1">
      <c r="A28" s="239" t="s">
        <v>366</v>
      </c>
      <c r="B28" s="239"/>
      <c r="C28" s="165" t="s">
        <v>346</v>
      </c>
      <c r="D28" s="285" t="s">
        <v>361</v>
      </c>
      <c r="E28" s="285"/>
      <c r="F28" s="162">
        <v>1.9E-3</v>
      </c>
      <c r="G28" s="162"/>
      <c r="H28" s="162"/>
      <c r="I28" s="162"/>
      <c r="J28" s="162"/>
      <c r="K28" s="112"/>
      <c r="L28" s="112"/>
      <c r="M28" s="112"/>
      <c r="N28" s="112"/>
      <c r="O28" s="15">
        <v>7.3999999999999999E-4</v>
      </c>
      <c r="P28" s="112"/>
      <c r="Q28" s="15">
        <v>8.5999999999999998E-4</v>
      </c>
      <c r="R28" s="112"/>
      <c r="S28" s="15">
        <v>1.9E-3</v>
      </c>
      <c r="T28" s="112">
        <v>4.1000000000000003E-3</v>
      </c>
    </row>
    <row r="29" spans="1:20" s="12" customFormat="1" ht="23.25" customHeight="1">
      <c r="A29" s="239" t="s">
        <v>367</v>
      </c>
      <c r="B29" s="239"/>
      <c r="C29" s="165" t="s">
        <v>346</v>
      </c>
      <c r="D29" s="285" t="s">
        <v>361</v>
      </c>
      <c r="E29" s="285"/>
      <c r="F29" s="162">
        <v>1.1999999999999999E-3</v>
      </c>
      <c r="G29" s="162"/>
      <c r="H29" s="162"/>
      <c r="I29" s="162"/>
      <c r="J29" s="162"/>
      <c r="K29" s="112"/>
      <c r="L29" s="112"/>
      <c r="M29" s="112"/>
      <c r="N29" s="112"/>
      <c r="O29" s="15">
        <v>7.3999999999999999E-4</v>
      </c>
      <c r="P29" s="112"/>
      <c r="Q29" s="15">
        <v>8.5999999999999998E-4</v>
      </c>
      <c r="R29" s="112"/>
      <c r="S29" s="15">
        <v>1.9E-3</v>
      </c>
      <c r="T29" s="15">
        <v>1.2999999999999999E-3</v>
      </c>
    </row>
    <row r="30" spans="1:20" s="12" customFormat="1" ht="23.25" customHeight="1">
      <c r="A30" s="239" t="s">
        <v>368</v>
      </c>
      <c r="B30" s="239"/>
      <c r="C30" s="165" t="s">
        <v>346</v>
      </c>
      <c r="D30" s="285" t="s">
        <v>361</v>
      </c>
      <c r="E30" s="285"/>
      <c r="F30" s="162">
        <v>1.225E-3</v>
      </c>
      <c r="G30" s="162"/>
      <c r="H30" s="162"/>
      <c r="I30" s="162"/>
      <c r="J30" s="162"/>
      <c r="K30" s="112"/>
      <c r="L30" s="112"/>
      <c r="M30" s="112"/>
      <c r="N30" s="112"/>
      <c r="O30" s="15">
        <v>7.3999999999999999E-4</v>
      </c>
      <c r="P30" s="112"/>
      <c r="Q30" s="15">
        <v>8.5999999999999998E-4</v>
      </c>
      <c r="R30" s="112"/>
      <c r="S30" s="15">
        <v>1.9E-3</v>
      </c>
      <c r="T30" s="112">
        <v>1.4E-3</v>
      </c>
    </row>
    <row r="31" spans="1:20" s="12" customFormat="1" ht="23.25" customHeight="1">
      <c r="A31" s="239" t="s">
        <v>369</v>
      </c>
      <c r="B31" s="239"/>
      <c r="C31" s="165" t="s">
        <v>346</v>
      </c>
      <c r="D31" s="285" t="s">
        <v>361</v>
      </c>
      <c r="E31" s="285"/>
      <c r="F31" s="162">
        <v>1.1999999999999999E-3</v>
      </c>
      <c r="G31" s="162"/>
      <c r="H31" s="162"/>
      <c r="I31" s="162"/>
      <c r="J31" s="162"/>
      <c r="K31" s="112"/>
      <c r="L31" s="112"/>
      <c r="M31" s="112"/>
      <c r="N31" s="112"/>
      <c r="O31" s="15">
        <v>7.3999999999999999E-4</v>
      </c>
      <c r="P31" s="112"/>
      <c r="Q31" s="15">
        <v>8.5999999999999998E-4</v>
      </c>
      <c r="R31" s="112"/>
      <c r="S31" s="15">
        <v>1.9E-3</v>
      </c>
      <c r="T31" s="15">
        <v>1.2999999999999999E-3</v>
      </c>
    </row>
    <row r="32" spans="1:20" s="12" customFormat="1" ht="23.25" customHeight="1">
      <c r="A32" s="239" t="s">
        <v>370</v>
      </c>
      <c r="B32" s="239"/>
      <c r="C32" s="165" t="s">
        <v>346</v>
      </c>
      <c r="D32" s="285" t="s">
        <v>361</v>
      </c>
      <c r="E32" s="285"/>
      <c r="F32" s="162">
        <v>6.515E-3</v>
      </c>
      <c r="G32" s="162"/>
      <c r="H32" s="162"/>
      <c r="I32" s="162"/>
      <c r="J32" s="162"/>
      <c r="K32" s="112"/>
      <c r="L32" s="112"/>
      <c r="M32" s="112"/>
      <c r="N32" s="112"/>
      <c r="O32" s="112">
        <v>2.0999999999999999E-3</v>
      </c>
      <c r="P32" s="112"/>
      <c r="Q32" s="15">
        <v>8.5999999999999998E-4</v>
      </c>
      <c r="R32" s="112"/>
      <c r="S32" s="15">
        <v>1.9E-3</v>
      </c>
      <c r="T32" s="112">
        <v>2.12E-2</v>
      </c>
    </row>
    <row r="33" spans="1:20" s="12" customFormat="1" ht="23.25" customHeight="1">
      <c r="A33" s="239" t="s">
        <v>371</v>
      </c>
      <c r="B33" s="239"/>
      <c r="C33" s="165" t="s">
        <v>346</v>
      </c>
      <c r="D33" s="285" t="s">
        <v>361</v>
      </c>
      <c r="E33" s="285"/>
      <c r="F33" s="162">
        <v>1.1999999999999999E-3</v>
      </c>
      <c r="G33" s="162"/>
      <c r="H33" s="162"/>
      <c r="I33" s="162"/>
      <c r="J33" s="162"/>
      <c r="K33" s="112"/>
      <c r="L33" s="112"/>
      <c r="M33" s="112"/>
      <c r="N33" s="112"/>
      <c r="O33" s="15">
        <v>7.3999999999999999E-4</v>
      </c>
      <c r="P33" s="112"/>
      <c r="Q33" s="15">
        <v>8.5999999999999998E-4</v>
      </c>
      <c r="R33" s="112"/>
      <c r="S33" s="15">
        <v>1.9E-3</v>
      </c>
      <c r="T33" s="15">
        <v>1.2999999999999999E-3</v>
      </c>
    </row>
    <row r="34" spans="1:20" s="12" customFormat="1" ht="23.25" customHeight="1">
      <c r="A34" s="239" t="s">
        <v>372</v>
      </c>
      <c r="B34" s="239"/>
      <c r="C34" s="165" t="s">
        <v>346</v>
      </c>
      <c r="D34" s="285" t="s">
        <v>361</v>
      </c>
      <c r="E34" s="285"/>
      <c r="F34" s="173">
        <v>1.1999999999999999E-3</v>
      </c>
      <c r="G34" s="162"/>
      <c r="H34" s="162"/>
      <c r="I34" s="162"/>
      <c r="J34" s="162"/>
      <c r="K34" s="112"/>
      <c r="L34" s="112"/>
      <c r="M34" s="112"/>
      <c r="N34" s="112"/>
      <c r="O34" s="15">
        <v>7.3999999999999999E-4</v>
      </c>
      <c r="P34" s="112"/>
      <c r="Q34" s="15">
        <v>8.5999999999999998E-4</v>
      </c>
      <c r="R34" s="112"/>
      <c r="S34" s="15">
        <v>1.9E-3</v>
      </c>
      <c r="T34" s="15">
        <v>1.2999999999999999E-3</v>
      </c>
    </row>
    <row r="35" spans="1:20" s="12" customFormat="1" ht="23.25" customHeight="1">
      <c r="A35" s="239" t="s">
        <v>373</v>
      </c>
      <c r="B35" s="239"/>
      <c r="C35" s="165" t="s">
        <v>346</v>
      </c>
      <c r="D35" s="285" t="s">
        <v>361</v>
      </c>
      <c r="E35" s="285"/>
      <c r="F35" s="173">
        <v>1.1999999999999999E-3</v>
      </c>
      <c r="G35" s="162"/>
      <c r="H35" s="162"/>
      <c r="I35" s="162"/>
      <c r="J35" s="162"/>
      <c r="K35" s="112"/>
      <c r="L35" s="112"/>
      <c r="M35" s="112"/>
      <c r="N35" s="112"/>
      <c r="O35" s="15">
        <v>7.3999999999999999E-4</v>
      </c>
      <c r="P35" s="112"/>
      <c r="Q35" s="15">
        <v>8.5999999999999998E-4</v>
      </c>
      <c r="R35" s="112"/>
      <c r="S35" s="15">
        <v>1.9E-3</v>
      </c>
      <c r="T35" s="15">
        <v>1.2999999999999999E-3</v>
      </c>
    </row>
    <row r="36" spans="1:20" s="12" customFormat="1" ht="23.25" customHeight="1">
      <c r="A36" s="239" t="s">
        <v>374</v>
      </c>
      <c r="B36" s="239"/>
      <c r="C36" s="165" t="s">
        <v>346</v>
      </c>
      <c r="D36" s="285" t="s">
        <v>361</v>
      </c>
      <c r="E36" s="285"/>
      <c r="F36" s="162">
        <v>0.1123475</v>
      </c>
      <c r="G36" s="162"/>
      <c r="H36" s="162"/>
      <c r="I36" s="162"/>
      <c r="J36" s="162"/>
      <c r="K36" s="112"/>
      <c r="L36" s="112"/>
      <c r="M36" s="112"/>
      <c r="N36" s="112"/>
      <c r="O36" s="112">
        <v>2.7E-2</v>
      </c>
      <c r="P36" s="112"/>
      <c r="Q36" s="112">
        <v>1.059E-2</v>
      </c>
      <c r="R36" s="112"/>
      <c r="S36" s="112">
        <v>3.5999999999999997E-2</v>
      </c>
      <c r="T36" s="112">
        <v>0.37580000000000002</v>
      </c>
    </row>
    <row r="37" spans="1:20" s="12" customFormat="1" ht="23.25" customHeight="1">
      <c r="A37" s="239" t="s">
        <v>375</v>
      </c>
      <c r="B37" s="239"/>
      <c r="C37" s="165" t="s">
        <v>346</v>
      </c>
      <c r="D37" s="285" t="s">
        <v>361</v>
      </c>
      <c r="E37" s="285"/>
      <c r="F37" s="173">
        <v>1.1999999999999999E-3</v>
      </c>
      <c r="G37" s="162"/>
      <c r="H37" s="162"/>
      <c r="I37" s="162"/>
      <c r="J37" s="162"/>
      <c r="K37" s="112"/>
      <c r="L37" s="112"/>
      <c r="M37" s="112"/>
      <c r="N37" s="112"/>
      <c r="O37" s="15">
        <v>7.3999999999999999E-4</v>
      </c>
      <c r="P37" s="112"/>
      <c r="Q37" s="15">
        <v>8.5999999999999998E-4</v>
      </c>
      <c r="R37" s="112"/>
      <c r="S37" s="15">
        <v>1.9E-3</v>
      </c>
      <c r="T37" s="15">
        <v>1.2999999999999999E-3</v>
      </c>
    </row>
    <row r="38" spans="1:20" s="12" customFormat="1" ht="23.25" customHeight="1">
      <c r="A38" s="239" t="s">
        <v>376</v>
      </c>
      <c r="B38" s="239"/>
      <c r="C38" s="165" t="s">
        <v>346</v>
      </c>
      <c r="D38" s="285" t="s">
        <v>361</v>
      </c>
      <c r="E38" s="285"/>
      <c r="F38" s="162">
        <v>0.40317500000000001</v>
      </c>
      <c r="G38" s="162"/>
      <c r="H38" s="162"/>
      <c r="I38" s="162"/>
      <c r="J38" s="162"/>
      <c r="K38" s="112"/>
      <c r="L38" s="112"/>
      <c r="M38" s="112"/>
      <c r="N38" s="112"/>
      <c r="O38" s="112">
        <v>0.57999999999999996</v>
      </c>
      <c r="P38" s="112"/>
      <c r="Q38" s="112">
        <v>0.1052</v>
      </c>
      <c r="R38" s="112"/>
      <c r="S38" s="112">
        <v>0.18</v>
      </c>
      <c r="T38" s="112">
        <v>0.74750000000000005</v>
      </c>
    </row>
    <row r="39" spans="1:20">
      <c r="A39" s="240" t="s">
        <v>325</v>
      </c>
      <c r="B39" s="240"/>
      <c r="C39" s="240"/>
      <c r="D39" s="240"/>
      <c r="E39" s="240"/>
      <c r="F39" s="240"/>
      <c r="G39" s="240"/>
      <c r="H39" s="240"/>
      <c r="I39" s="240"/>
      <c r="J39" s="240"/>
      <c r="K39" s="92"/>
      <c r="L39" s="92"/>
      <c r="M39" s="92"/>
      <c r="N39" s="92"/>
      <c r="O39" s="92"/>
      <c r="P39" s="92"/>
      <c r="Q39" s="92"/>
      <c r="R39" s="92"/>
      <c r="S39" s="92"/>
      <c r="T39" s="92"/>
    </row>
    <row r="40" spans="1:20">
      <c r="A40" s="323"/>
      <c r="B40" s="323"/>
      <c r="C40" s="323"/>
      <c r="D40" s="323"/>
      <c r="E40" s="323"/>
      <c r="F40" s="323"/>
      <c r="G40" s="323"/>
      <c r="H40" s="323"/>
      <c r="I40" s="323"/>
      <c r="J40" s="323"/>
      <c r="K40" s="92"/>
      <c r="L40" s="92"/>
      <c r="M40" s="92"/>
      <c r="N40" s="92"/>
      <c r="O40" s="92"/>
      <c r="P40" s="92"/>
      <c r="Q40" s="92"/>
      <c r="R40" s="92"/>
      <c r="S40" s="92"/>
      <c r="T40" s="92"/>
    </row>
    <row r="41" spans="1:20">
      <c r="A41" s="323"/>
      <c r="B41" s="323"/>
      <c r="C41" s="323"/>
      <c r="D41" s="323"/>
      <c r="E41" s="323"/>
      <c r="F41" s="323"/>
      <c r="G41" s="323"/>
      <c r="H41" s="323"/>
      <c r="I41" s="323"/>
      <c r="J41" s="323"/>
      <c r="K41" s="92"/>
      <c r="L41" s="92"/>
      <c r="M41" s="92"/>
      <c r="N41" s="92"/>
      <c r="O41" s="92"/>
      <c r="P41" s="92"/>
      <c r="Q41" s="92"/>
      <c r="R41" s="92"/>
      <c r="S41" s="92"/>
      <c r="T41" s="92"/>
    </row>
    <row r="64" spans="6:6">
      <c r="F64" s="3"/>
    </row>
  </sheetData>
  <mergeCells count="64">
    <mergeCell ref="M6:P9"/>
    <mergeCell ref="R6:U8"/>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3"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view="pageBreakPreview" zoomScale="130" zoomScaleNormal="100" zoomScaleSheetLayoutView="130" workbookViewId="0">
      <selection activeCell="A30" sqref="A30:M31"/>
    </sheetView>
  </sheetViews>
  <sheetFormatPr defaultColWidth="9.28515625" defaultRowHeight="15"/>
  <cols>
    <col min="1" max="1" width="21.28515625" style="2" customWidth="1"/>
    <col min="2" max="2" width="13.7109375" style="2" customWidth="1"/>
    <col min="3" max="3" width="16.28515625" style="2" customWidth="1"/>
    <col min="4" max="4" width="9.28515625" style="2"/>
    <col min="5" max="5" width="11.5703125" style="2" bestFit="1" customWidth="1"/>
    <col min="6" max="12" width="9.28515625" style="2"/>
    <col min="13" max="13" width="10.42578125" style="2" customWidth="1"/>
    <col min="14" max="16384" width="9.28515625" style="2"/>
  </cols>
  <sheetData>
    <row r="1" spans="1:16">
      <c r="A1" s="92" t="str">
        <f>+'Cover Page'!$B$29</f>
        <v>Annual Performance Report 2022</v>
      </c>
      <c r="B1" s="92"/>
      <c r="C1" s="92"/>
      <c r="D1" s="92"/>
      <c r="E1" s="92"/>
      <c r="F1" s="92"/>
      <c r="G1" s="92"/>
      <c r="H1" s="92"/>
      <c r="I1" s="92" t="str">
        <f>+'Cover Page'!$B$33</f>
        <v>Charlton Lane Eco Park</v>
      </c>
      <c r="J1" s="92"/>
      <c r="K1" s="92"/>
      <c r="L1" s="92"/>
      <c r="M1" s="92"/>
      <c r="N1" s="92"/>
      <c r="O1" s="92"/>
      <c r="P1" s="92"/>
    </row>
    <row r="3" spans="1:16" ht="15.6">
      <c r="A3" s="1" t="s">
        <v>377</v>
      </c>
      <c r="B3" s="92"/>
      <c r="C3" s="92"/>
      <c r="D3" s="92"/>
      <c r="E3" s="92"/>
      <c r="F3" s="92"/>
      <c r="G3" s="92"/>
      <c r="H3" s="92"/>
      <c r="I3" s="92"/>
      <c r="J3" s="92"/>
      <c r="K3" s="92"/>
      <c r="L3" s="92"/>
      <c r="M3" s="92"/>
      <c r="N3" s="92"/>
      <c r="O3" s="92"/>
      <c r="P3" s="92"/>
    </row>
    <row r="4" spans="1:16" ht="15.6">
      <c r="A4" s="1"/>
      <c r="B4" s="92"/>
      <c r="C4" s="92"/>
      <c r="D4" s="92"/>
      <c r="E4" s="92"/>
      <c r="F4" s="92"/>
      <c r="G4" s="92"/>
      <c r="H4" s="92"/>
      <c r="I4" s="92"/>
      <c r="J4" s="92"/>
      <c r="K4" s="92"/>
      <c r="L4" s="92"/>
      <c r="M4" s="92"/>
      <c r="N4" s="92"/>
      <c r="O4" s="92"/>
      <c r="P4" s="72" t="s">
        <v>3</v>
      </c>
    </row>
    <row r="5" spans="1:16" s="3" customFormat="1" ht="21.75" customHeight="1">
      <c r="A5" s="47" t="s">
        <v>333</v>
      </c>
      <c r="B5" s="48"/>
      <c r="C5" s="48"/>
      <c r="D5" s="48"/>
      <c r="E5" s="48"/>
      <c r="F5" s="48"/>
      <c r="G5" s="48"/>
      <c r="H5" s="48"/>
      <c r="I5" s="48"/>
      <c r="J5" s="48"/>
      <c r="K5" s="48"/>
      <c r="L5" s="48"/>
      <c r="M5" s="49"/>
      <c r="P5" s="73" t="s">
        <v>378</v>
      </c>
    </row>
    <row r="6" spans="1:16" s="3" customFormat="1" ht="35.25" customHeight="1">
      <c r="A6" s="212" t="s">
        <v>379</v>
      </c>
      <c r="B6" s="213"/>
      <c r="C6" s="213"/>
      <c r="D6" s="213"/>
      <c r="E6" s="213"/>
      <c r="F6" s="213"/>
      <c r="G6" s="213"/>
      <c r="H6" s="213"/>
      <c r="I6" s="213"/>
      <c r="J6" s="213"/>
      <c r="K6" s="213"/>
      <c r="L6" s="213"/>
      <c r="M6" s="214"/>
      <c r="P6" s="3" t="s">
        <v>380</v>
      </c>
    </row>
    <row r="7" spans="1:16" s="3" customFormat="1" ht="28.5" customHeight="1">
      <c r="A7" s="218"/>
      <c r="B7" s="219"/>
      <c r="C7" s="219"/>
      <c r="D7" s="219"/>
      <c r="E7" s="219"/>
      <c r="F7" s="219"/>
      <c r="G7" s="219"/>
      <c r="H7" s="219"/>
      <c r="I7" s="219"/>
      <c r="J7" s="219"/>
      <c r="K7" s="219"/>
      <c r="L7" s="219"/>
      <c r="M7" s="220"/>
    </row>
    <row r="8" spans="1:16" s="3" customFormat="1" ht="15.75" customHeight="1">
      <c r="A8" s="212"/>
      <c r="B8" s="213"/>
      <c r="C8" s="213"/>
      <c r="D8" s="213"/>
      <c r="E8" s="213"/>
      <c r="F8" s="213"/>
      <c r="G8" s="213"/>
      <c r="H8" s="213"/>
      <c r="I8" s="213"/>
      <c r="J8" s="213"/>
      <c r="K8" s="213"/>
      <c r="L8" s="213"/>
      <c r="M8" s="214"/>
    </row>
    <row r="9" spans="1:16" s="3" customFormat="1" ht="15.75" customHeight="1">
      <c r="A9" s="218"/>
      <c r="B9" s="219"/>
      <c r="C9" s="219"/>
      <c r="D9" s="219"/>
      <c r="E9" s="219"/>
      <c r="F9" s="219"/>
      <c r="G9" s="219"/>
      <c r="H9" s="219"/>
      <c r="I9" s="219"/>
      <c r="J9" s="219"/>
      <c r="K9" s="219"/>
      <c r="L9" s="219"/>
      <c r="M9" s="220"/>
    </row>
    <row r="10" spans="1:16" s="3" customFormat="1" ht="13.9"/>
    <row r="11" spans="1:16" s="55" customFormat="1" ht="16.5" customHeight="1">
      <c r="A11" s="330" t="s">
        <v>381</v>
      </c>
      <c r="B11" s="330"/>
      <c r="C11" s="330"/>
      <c r="D11" s="330"/>
      <c r="E11" s="330"/>
      <c r="F11" s="330"/>
      <c r="G11" s="330"/>
      <c r="H11" s="330"/>
      <c r="I11" s="330"/>
      <c r="J11" s="330"/>
      <c r="K11" s="330"/>
      <c r="L11" s="330"/>
      <c r="M11" s="330"/>
    </row>
    <row r="12" spans="1:16" s="55" customFormat="1" ht="16.5" customHeight="1">
      <c r="A12" s="363" t="s">
        <v>222</v>
      </c>
      <c r="B12" s="356" t="s">
        <v>382</v>
      </c>
      <c r="C12" s="291" t="s">
        <v>339</v>
      </c>
      <c r="D12" s="292" t="s">
        <v>195</v>
      </c>
      <c r="E12" s="365"/>
      <c r="F12" s="292" t="s">
        <v>196</v>
      </c>
      <c r="G12" s="365"/>
      <c r="H12" s="292" t="s">
        <v>197</v>
      </c>
      <c r="I12" s="365"/>
      <c r="J12" s="292" t="s">
        <v>198</v>
      </c>
      <c r="K12" s="365"/>
      <c r="L12" s="292" t="s">
        <v>199</v>
      </c>
      <c r="M12" s="365"/>
    </row>
    <row r="13" spans="1:16" s="12" customFormat="1" ht="17.25" customHeight="1">
      <c r="A13" s="363"/>
      <c r="B13" s="364"/>
      <c r="C13" s="291"/>
      <c r="D13" s="45" t="s">
        <v>331</v>
      </c>
      <c r="E13" s="56" t="s">
        <v>383</v>
      </c>
      <c r="F13" s="45" t="s">
        <v>331</v>
      </c>
      <c r="G13" s="56" t="s">
        <v>383</v>
      </c>
      <c r="H13" s="45" t="s">
        <v>331</v>
      </c>
      <c r="I13" s="56" t="s">
        <v>383</v>
      </c>
      <c r="J13" s="45" t="s">
        <v>331</v>
      </c>
      <c r="K13" s="56" t="s">
        <v>383</v>
      </c>
      <c r="L13" s="45" t="s">
        <v>331</v>
      </c>
      <c r="M13" s="56" t="s">
        <v>383</v>
      </c>
      <c r="N13" s="112"/>
      <c r="O13" s="112"/>
      <c r="P13" s="112"/>
    </row>
    <row r="14" spans="1:16" s="12" customFormat="1" ht="23.25" customHeight="1">
      <c r="A14" s="239" t="s">
        <v>228</v>
      </c>
      <c r="B14" s="161" t="s">
        <v>384</v>
      </c>
      <c r="C14" s="161" t="s">
        <v>385</v>
      </c>
      <c r="D14" s="162">
        <f>NOx!O19</f>
        <v>109</v>
      </c>
      <c r="E14" s="169">
        <f>NOx!N19</f>
        <v>73.083333333333329</v>
      </c>
      <c r="F14" s="162"/>
      <c r="G14" s="162"/>
      <c r="H14" s="162"/>
      <c r="I14" s="162"/>
      <c r="J14" s="162"/>
      <c r="K14" s="162"/>
      <c r="L14" s="162"/>
      <c r="M14" s="162"/>
      <c r="N14" s="112"/>
      <c r="O14" s="112"/>
      <c r="P14" s="112"/>
    </row>
    <row r="15" spans="1:16" s="12" customFormat="1" ht="23.25" customHeight="1">
      <c r="A15" s="239"/>
      <c r="B15" s="161" t="s">
        <v>386</v>
      </c>
      <c r="C15" s="161" t="s">
        <v>387</v>
      </c>
      <c r="D15" s="162">
        <f>NOx!M19</f>
        <v>346</v>
      </c>
      <c r="E15" s="169">
        <f>NOx!L19</f>
        <v>72.808333333333337</v>
      </c>
      <c r="F15" s="162"/>
      <c r="G15" s="162"/>
      <c r="H15" s="162"/>
      <c r="I15" s="162"/>
      <c r="J15" s="162"/>
      <c r="K15" s="162"/>
      <c r="L15" s="162"/>
      <c r="M15" s="162"/>
      <c r="N15" s="112"/>
      <c r="O15" s="112"/>
      <c r="P15" s="112"/>
    </row>
    <row r="16" spans="1:16" s="12" customFormat="1" ht="23.25" customHeight="1">
      <c r="A16" s="153" t="s">
        <v>227</v>
      </c>
      <c r="B16" s="156" t="s">
        <v>384</v>
      </c>
      <c r="C16" s="161" t="s">
        <v>388</v>
      </c>
      <c r="D16" s="162">
        <f>Particulates!O19</f>
        <v>1</v>
      </c>
      <c r="E16" s="169">
        <f>Particulates!N19</f>
        <v>3.3333333333333333E-2</v>
      </c>
      <c r="F16" s="162"/>
      <c r="G16" s="162"/>
      <c r="H16" s="162"/>
      <c r="I16" s="162"/>
      <c r="J16" s="162"/>
      <c r="K16" s="162"/>
      <c r="L16" s="162"/>
      <c r="M16" s="162"/>
      <c r="N16" s="112"/>
      <c r="O16" s="112"/>
      <c r="P16" s="112"/>
    </row>
    <row r="17" spans="1:13" s="12" customFormat="1" ht="23.25" customHeight="1">
      <c r="A17" s="153"/>
      <c r="B17" s="161" t="s">
        <v>386</v>
      </c>
      <c r="C17" s="161" t="s">
        <v>389</v>
      </c>
      <c r="D17" s="162">
        <f>Particulates!M19</f>
        <v>18</v>
      </c>
      <c r="E17" s="169">
        <f>Particulates!L19</f>
        <v>3.3333333333333333E-2</v>
      </c>
      <c r="F17" s="162"/>
      <c r="G17" s="162"/>
      <c r="H17" s="162"/>
      <c r="I17" s="162"/>
      <c r="J17" s="162"/>
      <c r="K17" s="162"/>
      <c r="L17" s="162"/>
      <c r="M17" s="162"/>
    </row>
    <row r="18" spans="1:13" s="12" customFormat="1" ht="23.25" customHeight="1">
      <c r="A18" s="153" t="s">
        <v>390</v>
      </c>
      <c r="B18" s="161" t="s">
        <v>384</v>
      </c>
      <c r="C18" s="161" t="s">
        <v>391</v>
      </c>
      <c r="D18" s="162">
        <f>TOC!O19</f>
        <v>1.2</v>
      </c>
      <c r="E18" s="169">
        <f>TOC!N19</f>
        <v>0.7583333333333333</v>
      </c>
      <c r="F18" s="162"/>
      <c r="G18" s="162"/>
      <c r="H18" s="162"/>
      <c r="I18" s="162"/>
      <c r="J18" s="162"/>
      <c r="K18" s="162"/>
      <c r="L18" s="162"/>
      <c r="M18" s="162"/>
    </row>
    <row r="19" spans="1:13" s="12" customFormat="1" ht="23.25" customHeight="1">
      <c r="A19" s="153"/>
      <c r="B19" s="161" t="s">
        <v>386</v>
      </c>
      <c r="C19" s="161" t="s">
        <v>392</v>
      </c>
      <c r="D19" s="162">
        <f>TOC!M19</f>
        <v>20.399999999999999</v>
      </c>
      <c r="E19" s="169">
        <f>TOC!L19</f>
        <v>0.7583333333333333</v>
      </c>
      <c r="F19" s="162"/>
      <c r="G19" s="162"/>
      <c r="H19" s="162"/>
      <c r="I19" s="162"/>
      <c r="J19" s="162"/>
      <c r="K19" s="162"/>
      <c r="L19" s="162"/>
      <c r="M19" s="162"/>
    </row>
    <row r="20" spans="1:13" s="12" customFormat="1" ht="23.25" customHeight="1">
      <c r="A20" s="153" t="s">
        <v>393</v>
      </c>
      <c r="B20" s="161" t="s">
        <v>384</v>
      </c>
      <c r="C20" s="161" t="s">
        <v>391</v>
      </c>
      <c r="D20" s="162">
        <f>HCl!O19</f>
        <v>10</v>
      </c>
      <c r="E20" s="169">
        <f>HCl!N19</f>
        <v>5.3</v>
      </c>
      <c r="F20" s="162"/>
      <c r="G20" s="162"/>
      <c r="H20" s="162"/>
      <c r="I20" s="162"/>
      <c r="J20" s="162"/>
      <c r="K20" s="162"/>
      <c r="L20" s="162"/>
      <c r="M20" s="162"/>
    </row>
    <row r="21" spans="1:13" s="12" customFormat="1" ht="23.25" customHeight="1">
      <c r="A21" s="153"/>
      <c r="B21" s="161" t="s">
        <v>386</v>
      </c>
      <c r="C21" s="161" t="s">
        <v>394</v>
      </c>
      <c r="D21" s="162">
        <f>HCl!M19</f>
        <v>51</v>
      </c>
      <c r="E21" s="169">
        <f>HCl!L19</f>
        <v>5.3</v>
      </c>
      <c r="F21" s="162"/>
      <c r="G21" s="162"/>
      <c r="H21" s="162"/>
      <c r="I21" s="162"/>
      <c r="J21" s="162"/>
      <c r="K21" s="162"/>
      <c r="L21" s="162"/>
      <c r="M21" s="162"/>
    </row>
    <row r="22" spans="1:13" s="12" customFormat="1" ht="23.25" customHeight="1">
      <c r="A22" s="153" t="s">
        <v>229</v>
      </c>
      <c r="B22" s="161" t="s">
        <v>384</v>
      </c>
      <c r="C22" s="161" t="s">
        <v>395</v>
      </c>
      <c r="D22" s="162">
        <f>'SO2'!O19</f>
        <v>29</v>
      </c>
      <c r="E22" s="169">
        <f>'SO2'!N19</f>
        <v>4.5</v>
      </c>
      <c r="F22" s="162"/>
      <c r="G22" s="162"/>
      <c r="H22" s="162"/>
      <c r="I22" s="162"/>
      <c r="J22" s="162"/>
      <c r="K22" s="162"/>
      <c r="L22" s="162"/>
      <c r="M22" s="162"/>
    </row>
    <row r="23" spans="1:13" s="12" customFormat="1" ht="23.25" customHeight="1">
      <c r="A23" s="153"/>
      <c r="B23" s="161" t="s">
        <v>386</v>
      </c>
      <c r="C23" s="161" t="s">
        <v>385</v>
      </c>
      <c r="D23" s="162">
        <f>'SO2'!M19</f>
        <v>103</v>
      </c>
      <c r="E23" s="169">
        <v>4.5</v>
      </c>
      <c r="F23" s="162"/>
      <c r="G23" s="162"/>
      <c r="H23" s="162"/>
      <c r="I23" s="162"/>
      <c r="J23" s="162"/>
      <c r="K23" s="162"/>
      <c r="L23" s="162"/>
      <c r="M23" s="162"/>
    </row>
    <row r="24" spans="1:13" s="12" customFormat="1" ht="23.25" customHeight="1">
      <c r="A24" s="153" t="s">
        <v>396</v>
      </c>
      <c r="B24" s="161" t="s">
        <v>384</v>
      </c>
      <c r="C24" s="161" t="s">
        <v>395</v>
      </c>
      <c r="D24" s="162">
        <f>'CO 95% 10 min'!Q19</f>
        <v>19</v>
      </c>
      <c r="E24" s="169">
        <f>'CO 95% 10 min'!P19</f>
        <v>6.791666666666667</v>
      </c>
      <c r="F24" s="162"/>
      <c r="G24" s="162"/>
      <c r="H24" s="162"/>
      <c r="I24" s="162"/>
      <c r="J24" s="162"/>
      <c r="K24" s="162"/>
      <c r="L24" s="162"/>
      <c r="M24" s="162"/>
    </row>
    <row r="25" spans="1:13" s="12" customFormat="1" ht="23.25" customHeight="1">
      <c r="A25" s="153"/>
      <c r="B25" s="162" t="s">
        <v>397</v>
      </c>
      <c r="C25" s="162" t="s">
        <v>398</v>
      </c>
      <c r="D25" s="162" t="s">
        <v>111</v>
      </c>
      <c r="E25" s="169" t="s">
        <v>111</v>
      </c>
      <c r="F25" s="162"/>
      <c r="G25" s="162"/>
      <c r="H25" s="162"/>
      <c r="I25" s="162"/>
      <c r="J25" s="162"/>
      <c r="K25" s="162"/>
      <c r="L25" s="162"/>
      <c r="M25" s="162"/>
    </row>
    <row r="26" spans="1:13" s="12" customFormat="1" ht="23.25" customHeight="1">
      <c r="A26" s="153"/>
      <c r="B26" s="162" t="s">
        <v>399</v>
      </c>
      <c r="C26" s="162" t="s">
        <v>400</v>
      </c>
      <c r="D26" s="162">
        <f>'CO 95% 10 min'!M18</f>
        <v>195</v>
      </c>
      <c r="E26" s="169">
        <f>'CO 95% 10 min'!N19</f>
        <v>6.791666666666667</v>
      </c>
      <c r="F26" s="162"/>
      <c r="G26" s="162"/>
      <c r="H26" s="162"/>
      <c r="I26" s="162"/>
      <c r="J26" s="162"/>
      <c r="K26" s="162"/>
      <c r="L26" s="162"/>
      <c r="M26" s="162"/>
    </row>
    <row r="27" spans="1:13" s="12" customFormat="1" ht="23.25" customHeight="1">
      <c r="A27" s="166" t="s">
        <v>401</v>
      </c>
      <c r="B27" s="167" t="s">
        <v>384</v>
      </c>
      <c r="C27" s="167" t="s">
        <v>402</v>
      </c>
      <c r="D27" s="168">
        <f>'NH3'!O19</f>
        <v>40</v>
      </c>
      <c r="E27" s="170">
        <f>'NH3'!N19</f>
        <v>11.65</v>
      </c>
      <c r="F27" s="168"/>
      <c r="G27" s="168"/>
      <c r="H27" s="168"/>
      <c r="I27" s="168"/>
      <c r="J27" s="168"/>
      <c r="K27" s="168"/>
      <c r="L27" s="168"/>
      <c r="M27" s="168"/>
    </row>
    <row r="28" spans="1:13">
      <c r="A28" s="359" t="s">
        <v>403</v>
      </c>
      <c r="B28" s="360"/>
      <c r="C28" s="360"/>
      <c r="D28" s="360"/>
      <c r="E28" s="360"/>
      <c r="F28" s="360"/>
      <c r="G28" s="360"/>
      <c r="H28" s="360"/>
      <c r="I28" s="360"/>
      <c r="J28" s="360"/>
      <c r="K28" s="360"/>
      <c r="L28" s="360"/>
      <c r="M28" s="361"/>
    </row>
    <row r="29" spans="1:13">
      <c r="A29" s="82" t="s">
        <v>325</v>
      </c>
      <c r="B29" s="83"/>
      <c r="C29" s="83"/>
      <c r="D29" s="83"/>
      <c r="E29" s="83"/>
      <c r="F29" s="83"/>
      <c r="G29" s="83"/>
      <c r="H29" s="83"/>
      <c r="I29" s="83"/>
      <c r="J29" s="83"/>
      <c r="K29" s="83"/>
      <c r="L29" s="83"/>
      <c r="M29" s="84"/>
    </row>
    <row r="30" spans="1:13">
      <c r="A30" s="362" t="s">
        <v>404</v>
      </c>
      <c r="B30" s="362"/>
      <c r="C30" s="362"/>
      <c r="D30" s="362"/>
      <c r="E30" s="362"/>
      <c r="F30" s="362"/>
      <c r="G30" s="362"/>
      <c r="H30" s="362"/>
      <c r="I30" s="362"/>
      <c r="J30" s="362"/>
      <c r="K30" s="362"/>
      <c r="L30" s="362"/>
      <c r="M30" s="362"/>
    </row>
    <row r="31" spans="1:13">
      <c r="A31" s="241"/>
      <c r="B31" s="241"/>
      <c r="C31" s="241"/>
      <c r="D31" s="241"/>
      <c r="E31" s="241"/>
      <c r="F31" s="241"/>
      <c r="G31" s="241"/>
      <c r="H31" s="241"/>
      <c r="I31" s="241"/>
      <c r="J31" s="241"/>
      <c r="K31" s="241"/>
      <c r="L31" s="241"/>
      <c r="M31" s="241"/>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1"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view="pageBreakPreview" zoomScaleNormal="100" zoomScaleSheetLayoutView="100" workbookViewId="0">
      <selection activeCell="N7" sqref="N7"/>
    </sheetView>
  </sheetViews>
  <sheetFormatPr defaultRowHeight="13.9"/>
  <cols>
    <col min="1" max="1" width="14" style="3" customWidth="1"/>
    <col min="2" max="7" width="17" style="34"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Charlton Lane Eco Park</v>
      </c>
      <c r="F1" s="92"/>
      <c r="G1" s="92"/>
    </row>
    <row r="3" spans="1:19" ht="14.45">
      <c r="A3" s="59" t="s">
        <v>405</v>
      </c>
      <c r="D3" s="75" t="s">
        <v>406</v>
      </c>
      <c r="G3" s="79" t="s">
        <v>407</v>
      </c>
      <c r="J3" s="9" t="str">
        <f>+A3</f>
        <v>Monitoring of Hydrogen Chloride emissions</v>
      </c>
      <c r="L3" s="9"/>
      <c r="N3" s="9" t="s">
        <v>408</v>
      </c>
      <c r="Q3" s="78" t="s">
        <v>3</v>
      </c>
      <c r="R3" s="73"/>
      <c r="S3" s="73"/>
    </row>
    <row r="4" spans="1:19" ht="13.9" customHeight="1">
      <c r="Q4" s="358" t="s">
        <v>409</v>
      </c>
      <c r="R4" s="358"/>
      <c r="S4" s="358"/>
    </row>
    <row r="5" spans="1:19" ht="16.149999999999999">
      <c r="A5" s="67" t="s">
        <v>410</v>
      </c>
      <c r="B5" s="369" t="s">
        <v>411</v>
      </c>
      <c r="C5" s="369"/>
      <c r="D5" s="369"/>
      <c r="E5" s="369" t="s">
        <v>412</v>
      </c>
      <c r="F5" s="369"/>
      <c r="G5" s="369"/>
      <c r="J5" s="368"/>
      <c r="K5" s="368"/>
      <c r="L5" s="368"/>
      <c r="M5" s="368"/>
      <c r="N5" s="368"/>
      <c r="O5" s="368"/>
      <c r="Q5" s="358"/>
      <c r="R5" s="358"/>
      <c r="S5" s="358"/>
    </row>
    <row r="6" spans="1:19" s="57" customFormat="1" ht="37.5" customHeight="1">
      <c r="A6" s="64">
        <f>+'Cover Page'!C39</f>
        <v>2022</v>
      </c>
      <c r="B6" s="54" t="s">
        <v>413</v>
      </c>
      <c r="C6" s="54" t="s">
        <v>414</v>
      </c>
      <c r="D6" s="54" t="s">
        <v>415</v>
      </c>
      <c r="E6" s="54" t="s">
        <v>416</v>
      </c>
      <c r="F6" s="54" t="s">
        <v>417</v>
      </c>
      <c r="G6" s="54" t="s">
        <v>418</v>
      </c>
      <c r="H6" s="58"/>
      <c r="J6" s="60">
        <f>+A6</f>
        <v>2022</v>
      </c>
      <c r="K6" s="60" t="s">
        <v>419</v>
      </c>
      <c r="L6" s="66" t="s">
        <v>414</v>
      </c>
      <c r="M6" s="66" t="s">
        <v>420</v>
      </c>
      <c r="N6" s="66" t="s">
        <v>417</v>
      </c>
      <c r="O6" s="66" t="s">
        <v>421</v>
      </c>
      <c r="Q6" s="358"/>
      <c r="R6" s="358"/>
      <c r="S6" s="358"/>
    </row>
    <row r="7" spans="1:19" ht="13.9" customHeight="1">
      <c r="A7" s="65" t="s">
        <v>422</v>
      </c>
      <c r="B7" s="62">
        <v>60</v>
      </c>
      <c r="C7" s="63">
        <f t="shared" ref="C7:C18" si="0">L7</f>
        <v>4.5999999999999996</v>
      </c>
      <c r="D7" s="63">
        <f t="shared" ref="D7:D18" si="1">M7</f>
        <v>19.5</v>
      </c>
      <c r="E7" s="62">
        <v>10</v>
      </c>
      <c r="F7" s="63">
        <f t="shared" ref="F7:F18" si="2">N7</f>
        <v>4.5999999999999996</v>
      </c>
      <c r="G7" s="63">
        <f t="shared" ref="G7:G18" si="3">O7</f>
        <v>5.6</v>
      </c>
      <c r="J7" s="367" t="s">
        <v>195</v>
      </c>
      <c r="K7" s="65" t="s">
        <v>422</v>
      </c>
      <c r="L7" s="63">
        <v>4.5999999999999996</v>
      </c>
      <c r="M7" s="63">
        <v>19.5</v>
      </c>
      <c r="N7" s="63">
        <v>4.5999999999999996</v>
      </c>
      <c r="O7" s="63">
        <v>5.6</v>
      </c>
      <c r="Q7" s="358"/>
      <c r="R7" s="358"/>
      <c r="S7" s="358"/>
    </row>
    <row r="8" spans="1:19">
      <c r="A8" s="65" t="s">
        <v>423</v>
      </c>
      <c r="B8" s="62">
        <v>60</v>
      </c>
      <c r="C8" s="63">
        <f t="shared" si="0"/>
        <v>5.3</v>
      </c>
      <c r="D8" s="63">
        <f t="shared" si="1"/>
        <v>27.9</v>
      </c>
      <c r="E8" s="62">
        <v>10</v>
      </c>
      <c r="F8" s="63">
        <f t="shared" si="2"/>
        <v>5.3</v>
      </c>
      <c r="G8" s="63">
        <f t="shared" si="3"/>
        <v>5.4</v>
      </c>
      <c r="J8" s="367"/>
      <c r="K8" s="65" t="s">
        <v>423</v>
      </c>
      <c r="L8" s="63">
        <v>5.3</v>
      </c>
      <c r="M8" s="63">
        <v>27.9</v>
      </c>
      <c r="N8" s="63">
        <v>5.3</v>
      </c>
      <c r="O8" s="63">
        <v>5.4</v>
      </c>
      <c r="Q8" s="358"/>
      <c r="R8" s="358"/>
      <c r="S8" s="358"/>
    </row>
    <row r="9" spans="1:19">
      <c r="A9" s="65" t="s">
        <v>424</v>
      </c>
      <c r="B9" s="62">
        <v>60</v>
      </c>
      <c r="C9" s="63">
        <f t="shared" si="0"/>
        <v>4.7</v>
      </c>
      <c r="D9" s="63">
        <f t="shared" si="1"/>
        <v>9</v>
      </c>
      <c r="E9" s="62">
        <v>10</v>
      </c>
      <c r="F9" s="63">
        <f t="shared" si="2"/>
        <v>4.7</v>
      </c>
      <c r="G9" s="63">
        <f t="shared" si="3"/>
        <v>5.2</v>
      </c>
      <c r="J9" s="367"/>
      <c r="K9" s="65" t="s">
        <v>424</v>
      </c>
      <c r="L9" s="63">
        <v>4.7</v>
      </c>
      <c r="M9" s="63">
        <v>9</v>
      </c>
      <c r="N9" s="63">
        <v>4.7</v>
      </c>
      <c r="O9" s="63">
        <v>5.2</v>
      </c>
      <c r="Q9" s="77" t="s">
        <v>425</v>
      </c>
    </row>
    <row r="10" spans="1:19" ht="13.9" customHeight="1">
      <c r="A10" s="65" t="s">
        <v>426</v>
      </c>
      <c r="B10" s="62">
        <v>60</v>
      </c>
      <c r="C10" s="63">
        <f t="shared" si="0"/>
        <v>6</v>
      </c>
      <c r="D10" s="63">
        <f t="shared" si="1"/>
        <v>42</v>
      </c>
      <c r="E10" s="62">
        <v>10</v>
      </c>
      <c r="F10" s="63">
        <f t="shared" si="2"/>
        <v>6</v>
      </c>
      <c r="G10" s="63">
        <f t="shared" si="3"/>
        <v>6</v>
      </c>
      <c r="J10" s="367"/>
      <c r="K10" s="65" t="s">
        <v>426</v>
      </c>
      <c r="L10" s="63">
        <v>6</v>
      </c>
      <c r="M10" s="63">
        <v>42</v>
      </c>
      <c r="N10" s="63">
        <v>6</v>
      </c>
      <c r="O10" s="63">
        <v>6</v>
      </c>
      <c r="Q10" s="366" t="s">
        <v>427</v>
      </c>
      <c r="R10" s="366"/>
      <c r="S10" s="366"/>
    </row>
    <row r="11" spans="1:19">
      <c r="A11" s="65" t="s">
        <v>428</v>
      </c>
      <c r="B11" s="62">
        <v>60</v>
      </c>
      <c r="C11" s="63">
        <f t="shared" si="0"/>
        <v>7</v>
      </c>
      <c r="D11" s="63">
        <f t="shared" si="1"/>
        <v>21</v>
      </c>
      <c r="E11" s="62">
        <v>10</v>
      </c>
      <c r="F11" s="63">
        <f t="shared" si="2"/>
        <v>7</v>
      </c>
      <c r="G11" s="63">
        <f t="shared" si="3"/>
        <v>8</v>
      </c>
      <c r="J11" s="367"/>
      <c r="K11" s="65" t="s">
        <v>428</v>
      </c>
      <c r="L11" s="63">
        <v>7</v>
      </c>
      <c r="M11" s="63">
        <v>21</v>
      </c>
      <c r="N11" s="63">
        <v>7</v>
      </c>
      <c r="O11" s="63">
        <v>8</v>
      </c>
      <c r="Q11" s="366"/>
      <c r="R11" s="366"/>
      <c r="S11" s="366"/>
    </row>
    <row r="12" spans="1:19">
      <c r="A12" s="65" t="s">
        <v>429</v>
      </c>
      <c r="B12" s="62">
        <v>60</v>
      </c>
      <c r="C12" s="63">
        <f t="shared" si="0"/>
        <v>8</v>
      </c>
      <c r="D12" s="63">
        <f t="shared" si="1"/>
        <v>28</v>
      </c>
      <c r="E12" s="62">
        <v>10</v>
      </c>
      <c r="F12" s="63">
        <f t="shared" si="2"/>
        <v>8</v>
      </c>
      <c r="G12" s="63">
        <f t="shared" si="3"/>
        <v>10</v>
      </c>
      <c r="J12" s="367"/>
      <c r="K12" s="65" t="s">
        <v>429</v>
      </c>
      <c r="L12" s="63">
        <v>8</v>
      </c>
      <c r="M12" s="63">
        <v>28</v>
      </c>
      <c r="N12" s="63">
        <v>8</v>
      </c>
      <c r="O12" s="63">
        <v>10</v>
      </c>
      <c r="Q12" s="366"/>
      <c r="R12" s="366"/>
      <c r="S12" s="366"/>
    </row>
    <row r="13" spans="1:19" ht="13.9" customHeight="1">
      <c r="A13" s="65" t="s">
        <v>430</v>
      </c>
      <c r="B13" s="62">
        <v>60</v>
      </c>
      <c r="C13" s="63">
        <f t="shared" si="0"/>
        <v>0</v>
      </c>
      <c r="D13" s="63">
        <f t="shared" si="1"/>
        <v>0</v>
      </c>
      <c r="E13" s="62">
        <v>10</v>
      </c>
      <c r="F13" s="63">
        <f t="shared" si="2"/>
        <v>0</v>
      </c>
      <c r="G13" s="63">
        <f t="shared" si="3"/>
        <v>0</v>
      </c>
      <c r="J13" s="367"/>
      <c r="K13" s="65" t="s">
        <v>430</v>
      </c>
      <c r="L13" s="63">
        <v>0</v>
      </c>
      <c r="M13" s="63">
        <v>0</v>
      </c>
      <c r="N13" s="63">
        <v>0</v>
      </c>
      <c r="O13" s="63">
        <v>0</v>
      </c>
      <c r="Q13" s="366" t="s">
        <v>431</v>
      </c>
      <c r="R13" s="366"/>
      <c r="S13" s="366"/>
    </row>
    <row r="14" spans="1:19">
      <c r="A14" s="65" t="s">
        <v>432</v>
      </c>
      <c r="B14" s="62">
        <v>60</v>
      </c>
      <c r="C14" s="63">
        <f t="shared" si="0"/>
        <v>6</v>
      </c>
      <c r="D14" s="63">
        <f t="shared" si="1"/>
        <v>51</v>
      </c>
      <c r="E14" s="62">
        <v>10</v>
      </c>
      <c r="F14" s="63">
        <f t="shared" si="2"/>
        <v>6</v>
      </c>
      <c r="G14" s="63">
        <f t="shared" si="3"/>
        <v>8</v>
      </c>
      <c r="J14" s="367"/>
      <c r="K14" s="65" t="s">
        <v>432</v>
      </c>
      <c r="L14" s="63">
        <v>6</v>
      </c>
      <c r="M14" s="63">
        <v>51</v>
      </c>
      <c r="N14" s="63">
        <v>6</v>
      </c>
      <c r="O14" s="63">
        <v>8</v>
      </c>
      <c r="Q14" s="366"/>
      <c r="R14" s="366"/>
      <c r="S14" s="366"/>
    </row>
    <row r="15" spans="1:19">
      <c r="A15" s="65" t="s">
        <v>433</v>
      </c>
      <c r="B15" s="62">
        <v>60</v>
      </c>
      <c r="C15" s="63">
        <f t="shared" si="0"/>
        <v>6</v>
      </c>
      <c r="D15" s="63">
        <f t="shared" si="1"/>
        <v>15</v>
      </c>
      <c r="E15" s="62">
        <v>10</v>
      </c>
      <c r="F15" s="63">
        <f t="shared" si="2"/>
        <v>6</v>
      </c>
      <c r="G15" s="63">
        <f t="shared" si="3"/>
        <v>7</v>
      </c>
      <c r="J15" s="367"/>
      <c r="K15" s="65" t="s">
        <v>433</v>
      </c>
      <c r="L15" s="63">
        <v>6</v>
      </c>
      <c r="M15" s="63">
        <v>15</v>
      </c>
      <c r="N15" s="63">
        <v>6</v>
      </c>
      <c r="O15" s="63">
        <v>7</v>
      </c>
      <c r="Q15" s="366"/>
      <c r="R15" s="366"/>
      <c r="S15" s="366"/>
    </row>
    <row r="16" spans="1:19">
      <c r="A16" s="65" t="s">
        <v>434</v>
      </c>
      <c r="B16" s="62">
        <v>60</v>
      </c>
      <c r="C16" s="63">
        <f t="shared" si="0"/>
        <v>6</v>
      </c>
      <c r="D16" s="63">
        <f t="shared" si="1"/>
        <v>15</v>
      </c>
      <c r="E16" s="62">
        <v>10</v>
      </c>
      <c r="F16" s="63">
        <f t="shared" si="2"/>
        <v>6</v>
      </c>
      <c r="G16" s="63">
        <f t="shared" si="3"/>
        <v>7</v>
      </c>
      <c r="J16" s="367"/>
      <c r="K16" s="65" t="s">
        <v>434</v>
      </c>
      <c r="L16" s="63">
        <v>6</v>
      </c>
      <c r="M16" s="63">
        <v>15</v>
      </c>
      <c r="N16" s="63">
        <v>6</v>
      </c>
      <c r="O16" s="63">
        <v>7</v>
      </c>
      <c r="Q16" s="366"/>
      <c r="R16" s="366"/>
      <c r="S16" s="366"/>
    </row>
    <row r="17" spans="1:15">
      <c r="A17" s="65" t="s">
        <v>435</v>
      </c>
      <c r="B17" s="62">
        <v>60</v>
      </c>
      <c r="C17" s="63">
        <f t="shared" si="0"/>
        <v>4</v>
      </c>
      <c r="D17" s="63">
        <f t="shared" si="1"/>
        <v>11</v>
      </c>
      <c r="E17" s="62">
        <v>10</v>
      </c>
      <c r="F17" s="63">
        <f t="shared" si="2"/>
        <v>4</v>
      </c>
      <c r="G17" s="63">
        <f t="shared" si="3"/>
        <v>6</v>
      </c>
      <c r="J17" s="367"/>
      <c r="K17" s="65" t="s">
        <v>435</v>
      </c>
      <c r="L17" s="63">
        <v>4</v>
      </c>
      <c r="M17" s="63">
        <v>11</v>
      </c>
      <c r="N17" s="63">
        <v>4</v>
      </c>
      <c r="O17" s="63">
        <v>6</v>
      </c>
    </row>
    <row r="18" spans="1:15">
      <c r="A18" s="65" t="s">
        <v>436</v>
      </c>
      <c r="B18" s="62">
        <v>60</v>
      </c>
      <c r="C18" s="63">
        <f t="shared" si="0"/>
        <v>6</v>
      </c>
      <c r="D18" s="63">
        <f t="shared" si="1"/>
        <v>12</v>
      </c>
      <c r="E18" s="62">
        <v>10</v>
      </c>
      <c r="F18" s="63">
        <f t="shared" si="2"/>
        <v>6</v>
      </c>
      <c r="G18" s="63">
        <f t="shared" si="3"/>
        <v>6</v>
      </c>
      <c r="J18" s="367"/>
      <c r="K18" s="65" t="s">
        <v>436</v>
      </c>
      <c r="L18" s="63">
        <v>6</v>
      </c>
      <c r="M18" s="63">
        <v>12</v>
      </c>
      <c r="N18" s="63">
        <v>6</v>
      </c>
      <c r="O18" s="63">
        <v>6</v>
      </c>
    </row>
    <row r="19" spans="1:15">
      <c r="J19" s="367"/>
      <c r="K19" s="61" t="s">
        <v>437</v>
      </c>
      <c r="L19" s="61">
        <f>AVERAGE(L7:L18)</f>
        <v>5.3</v>
      </c>
      <c r="M19" s="61">
        <f>MAX(M7:M18)</f>
        <v>51</v>
      </c>
      <c r="N19" s="61">
        <f>AVERAGE(N7:N18)</f>
        <v>5.3</v>
      </c>
      <c r="O19" s="61">
        <f>MAX(O7:O18)</f>
        <v>10</v>
      </c>
    </row>
    <row r="21" spans="1:15" ht="41.45">
      <c r="J21" s="60">
        <f>+A6</f>
        <v>2022</v>
      </c>
      <c r="K21" s="60" t="s">
        <v>419</v>
      </c>
      <c r="L21" s="66" t="s">
        <v>414</v>
      </c>
      <c r="M21" s="66" t="s">
        <v>420</v>
      </c>
      <c r="N21" s="66" t="s">
        <v>417</v>
      </c>
      <c r="O21" s="66" t="s">
        <v>421</v>
      </c>
    </row>
    <row r="22" spans="1:15">
      <c r="J22" s="367" t="s">
        <v>196</v>
      </c>
      <c r="K22" s="65" t="s">
        <v>422</v>
      </c>
      <c r="L22" s="63"/>
      <c r="M22" s="63"/>
      <c r="N22" s="63"/>
      <c r="O22" s="63"/>
    </row>
    <row r="23" spans="1:15">
      <c r="J23" s="367"/>
      <c r="K23" s="65" t="s">
        <v>423</v>
      </c>
      <c r="L23" s="63"/>
      <c r="M23" s="63"/>
      <c r="N23" s="63"/>
      <c r="O23" s="63"/>
    </row>
    <row r="24" spans="1:15">
      <c r="J24" s="367"/>
      <c r="K24" s="65" t="s">
        <v>424</v>
      </c>
      <c r="L24" s="63"/>
      <c r="M24" s="63"/>
      <c r="N24" s="63"/>
      <c r="O24" s="63"/>
    </row>
    <row r="25" spans="1:15">
      <c r="J25" s="367"/>
      <c r="K25" s="65" t="s">
        <v>426</v>
      </c>
      <c r="L25" s="63"/>
      <c r="M25" s="63"/>
      <c r="N25" s="63"/>
      <c r="O25" s="63"/>
    </row>
    <row r="26" spans="1:15">
      <c r="J26" s="367"/>
      <c r="K26" s="65" t="s">
        <v>428</v>
      </c>
      <c r="L26" s="63"/>
      <c r="M26" s="63"/>
      <c r="N26" s="63"/>
      <c r="O26" s="63"/>
    </row>
    <row r="27" spans="1:15">
      <c r="J27" s="367"/>
      <c r="K27" s="65" t="s">
        <v>429</v>
      </c>
      <c r="L27" s="63"/>
      <c r="M27" s="63"/>
      <c r="N27" s="63"/>
      <c r="O27" s="63"/>
    </row>
    <row r="28" spans="1:15">
      <c r="J28" s="367"/>
      <c r="K28" s="65" t="s">
        <v>430</v>
      </c>
      <c r="L28" s="63"/>
      <c r="M28" s="63"/>
      <c r="N28" s="63"/>
      <c r="O28" s="63"/>
    </row>
    <row r="29" spans="1:15">
      <c r="J29" s="367"/>
      <c r="K29" s="65" t="s">
        <v>432</v>
      </c>
      <c r="L29" s="63"/>
      <c r="M29" s="63"/>
      <c r="N29" s="63"/>
      <c r="O29" s="63"/>
    </row>
    <row r="30" spans="1:15">
      <c r="J30" s="367"/>
      <c r="K30" s="65" t="s">
        <v>433</v>
      </c>
      <c r="L30" s="63"/>
      <c r="M30" s="63"/>
      <c r="N30" s="63"/>
      <c r="O30" s="63"/>
    </row>
    <row r="31" spans="1:15">
      <c r="J31" s="367"/>
      <c r="K31" s="65" t="s">
        <v>434</v>
      </c>
      <c r="L31" s="63"/>
      <c r="M31" s="63"/>
      <c r="N31" s="63"/>
      <c r="O31" s="63"/>
    </row>
    <row r="32" spans="1:15">
      <c r="J32" s="367"/>
      <c r="K32" s="65" t="s">
        <v>435</v>
      </c>
      <c r="L32" s="63"/>
      <c r="M32" s="63"/>
      <c r="N32" s="63"/>
      <c r="O32" s="63"/>
    </row>
    <row r="33" spans="1:15">
      <c r="J33" s="367"/>
      <c r="K33" s="65" t="s">
        <v>436</v>
      </c>
      <c r="L33" s="63"/>
      <c r="M33" s="63"/>
      <c r="N33" s="63"/>
      <c r="O33" s="63"/>
    </row>
    <row r="34" spans="1:15">
      <c r="J34" s="367"/>
      <c r="K34" s="61" t="s">
        <v>437</v>
      </c>
      <c r="L34" s="61" t="e">
        <f>AVERAGE(L22:L33)</f>
        <v>#DIV/0!</v>
      </c>
      <c r="M34" s="61">
        <f>MAX(M22:M33)</f>
        <v>0</v>
      </c>
      <c r="N34" s="61" t="e">
        <f>AVERAGE(N22:N33)</f>
        <v>#DIV/0!</v>
      </c>
      <c r="O34" s="61">
        <f>MAX(O22:O33)</f>
        <v>0</v>
      </c>
    </row>
    <row r="36" spans="1:15" ht="41.45">
      <c r="J36" s="60">
        <f>+A6</f>
        <v>2022</v>
      </c>
      <c r="K36" s="60" t="s">
        <v>419</v>
      </c>
      <c r="L36" s="66" t="s">
        <v>414</v>
      </c>
      <c r="M36" s="66" t="s">
        <v>420</v>
      </c>
      <c r="N36" s="66" t="s">
        <v>417</v>
      </c>
      <c r="O36" s="66" t="s">
        <v>421</v>
      </c>
    </row>
    <row r="37" spans="1:15">
      <c r="J37" s="367" t="s">
        <v>197</v>
      </c>
      <c r="K37" s="65" t="s">
        <v>422</v>
      </c>
      <c r="L37" s="63"/>
      <c r="M37" s="63"/>
      <c r="N37" s="63"/>
      <c r="O37" s="63"/>
    </row>
    <row r="38" spans="1:15">
      <c r="J38" s="367"/>
      <c r="K38" s="65" t="s">
        <v>423</v>
      </c>
      <c r="L38" s="63"/>
      <c r="M38" s="63"/>
      <c r="N38" s="63"/>
      <c r="O38" s="63"/>
    </row>
    <row r="39" spans="1:15">
      <c r="J39" s="367"/>
      <c r="K39" s="65" t="s">
        <v>424</v>
      </c>
      <c r="L39" s="63"/>
      <c r="M39" s="63"/>
      <c r="N39" s="63"/>
      <c r="O39" s="63"/>
    </row>
    <row r="40" spans="1:15">
      <c r="J40" s="367"/>
      <c r="K40" s="65" t="s">
        <v>426</v>
      </c>
      <c r="L40" s="63"/>
      <c r="M40" s="63"/>
      <c r="N40" s="63"/>
      <c r="O40" s="63"/>
    </row>
    <row r="41" spans="1:15">
      <c r="J41" s="367"/>
      <c r="K41" s="65" t="s">
        <v>428</v>
      </c>
      <c r="L41" s="63"/>
      <c r="M41" s="63"/>
      <c r="N41" s="63"/>
      <c r="O41" s="63"/>
    </row>
    <row r="42" spans="1:15">
      <c r="J42" s="367"/>
      <c r="K42" s="65" t="s">
        <v>429</v>
      </c>
      <c r="L42" s="63"/>
      <c r="M42" s="63"/>
      <c r="N42" s="63"/>
      <c r="O42" s="63"/>
    </row>
    <row r="43" spans="1:15">
      <c r="J43" s="367"/>
      <c r="K43" s="65" t="s">
        <v>430</v>
      </c>
      <c r="L43" s="63"/>
      <c r="M43" s="63"/>
      <c r="N43" s="63"/>
      <c r="O43" s="63"/>
    </row>
    <row r="44" spans="1:15">
      <c r="J44" s="367"/>
      <c r="K44" s="65" t="s">
        <v>432</v>
      </c>
      <c r="L44" s="63"/>
      <c r="M44" s="63"/>
      <c r="N44" s="63"/>
      <c r="O44" s="63"/>
    </row>
    <row r="45" spans="1:15">
      <c r="J45" s="367"/>
      <c r="K45" s="65" t="s">
        <v>433</v>
      </c>
      <c r="L45" s="63"/>
      <c r="M45" s="63"/>
      <c r="N45" s="63"/>
      <c r="O45" s="63"/>
    </row>
    <row r="46" spans="1:15">
      <c r="J46" s="367"/>
      <c r="K46" s="65" t="s">
        <v>434</v>
      </c>
      <c r="L46" s="63"/>
      <c r="M46" s="63"/>
      <c r="N46" s="63"/>
      <c r="O46" s="63"/>
    </row>
    <row r="47" spans="1:15">
      <c r="J47" s="367"/>
      <c r="K47" s="65" t="s">
        <v>435</v>
      </c>
      <c r="L47" s="63"/>
      <c r="M47" s="63"/>
      <c r="N47" s="63"/>
      <c r="O47" s="63"/>
    </row>
    <row r="48" spans="1:15">
      <c r="A48" s="379" t="s">
        <v>325</v>
      </c>
      <c r="B48" s="380"/>
      <c r="C48" s="380"/>
      <c r="D48" s="380"/>
      <c r="E48" s="380"/>
      <c r="F48" s="380"/>
      <c r="G48" s="381"/>
      <c r="J48" s="367"/>
      <c r="K48" s="65" t="s">
        <v>436</v>
      </c>
      <c r="L48" s="63"/>
      <c r="M48" s="63"/>
      <c r="N48" s="63"/>
      <c r="O48" s="63"/>
    </row>
    <row r="49" spans="1:15">
      <c r="A49" s="370"/>
      <c r="B49" s="371"/>
      <c r="C49" s="371"/>
      <c r="D49" s="371"/>
      <c r="E49" s="371"/>
      <c r="F49" s="371"/>
      <c r="G49" s="372"/>
      <c r="J49" s="367"/>
      <c r="K49" s="61" t="s">
        <v>437</v>
      </c>
      <c r="L49" s="61" t="e">
        <f>AVERAGE(L37:L48)</f>
        <v>#DIV/0!</v>
      </c>
      <c r="M49" s="61">
        <f>MAX(M37:M48)</f>
        <v>0</v>
      </c>
      <c r="N49" s="61" t="e">
        <f>AVERAGE(N37:N48)</f>
        <v>#DIV/0!</v>
      </c>
      <c r="O49" s="61">
        <f>MAX(O37:O48)</f>
        <v>0</v>
      </c>
    </row>
    <row r="50" spans="1:15">
      <c r="A50" s="373"/>
      <c r="B50" s="374"/>
      <c r="C50" s="374"/>
      <c r="D50" s="374"/>
      <c r="E50" s="374"/>
      <c r="F50" s="374"/>
      <c r="G50" s="375"/>
    </row>
    <row r="51" spans="1:15" ht="41.45">
      <c r="A51" s="373"/>
      <c r="B51" s="374"/>
      <c r="C51" s="374"/>
      <c r="D51" s="374"/>
      <c r="E51" s="374"/>
      <c r="F51" s="374"/>
      <c r="G51" s="375"/>
      <c r="J51" s="60">
        <f>+A6</f>
        <v>2022</v>
      </c>
      <c r="K51" s="60" t="s">
        <v>419</v>
      </c>
      <c r="L51" s="66" t="s">
        <v>414</v>
      </c>
      <c r="M51" s="66" t="s">
        <v>420</v>
      </c>
      <c r="N51" s="66" t="s">
        <v>417</v>
      </c>
      <c r="O51" s="66" t="s">
        <v>421</v>
      </c>
    </row>
    <row r="52" spans="1:15">
      <c r="A52" s="376"/>
      <c r="B52" s="377"/>
      <c r="C52" s="377"/>
      <c r="D52" s="377"/>
      <c r="E52" s="377"/>
      <c r="F52" s="377"/>
      <c r="G52" s="378"/>
      <c r="J52" s="367" t="s">
        <v>198</v>
      </c>
      <c r="K52" s="65" t="s">
        <v>422</v>
      </c>
      <c r="L52" s="63"/>
      <c r="M52" s="63"/>
      <c r="N52" s="63"/>
      <c r="O52" s="63"/>
    </row>
    <row r="53" spans="1:15">
      <c r="J53" s="367"/>
      <c r="K53" s="65" t="s">
        <v>423</v>
      </c>
      <c r="L53" s="63"/>
      <c r="M53" s="63"/>
      <c r="N53" s="63"/>
      <c r="O53" s="63"/>
    </row>
    <row r="54" spans="1:15">
      <c r="J54" s="367"/>
      <c r="K54" s="65" t="s">
        <v>424</v>
      </c>
      <c r="L54" s="63"/>
      <c r="M54" s="63"/>
      <c r="N54" s="63"/>
      <c r="O54" s="63"/>
    </row>
    <row r="55" spans="1:15">
      <c r="J55" s="367"/>
      <c r="K55" s="65" t="s">
        <v>426</v>
      </c>
      <c r="L55" s="63"/>
      <c r="M55" s="63"/>
      <c r="N55" s="63"/>
      <c r="O55" s="63"/>
    </row>
    <row r="56" spans="1:15">
      <c r="J56" s="367"/>
      <c r="K56" s="65" t="s">
        <v>428</v>
      </c>
      <c r="L56" s="63"/>
      <c r="M56" s="63"/>
      <c r="N56" s="63"/>
      <c r="O56" s="63"/>
    </row>
    <row r="57" spans="1:15">
      <c r="J57" s="367"/>
      <c r="K57" s="65" t="s">
        <v>429</v>
      </c>
      <c r="L57" s="63"/>
      <c r="M57" s="63"/>
      <c r="N57" s="63"/>
      <c r="O57" s="63"/>
    </row>
    <row r="58" spans="1:15">
      <c r="J58" s="367"/>
      <c r="K58" s="65" t="s">
        <v>430</v>
      </c>
      <c r="L58" s="63"/>
      <c r="M58" s="63"/>
      <c r="N58" s="63"/>
      <c r="O58" s="63"/>
    </row>
    <row r="59" spans="1:15">
      <c r="J59" s="367"/>
      <c r="K59" s="65" t="s">
        <v>432</v>
      </c>
      <c r="L59" s="63"/>
      <c r="M59" s="63"/>
      <c r="N59" s="63"/>
      <c r="O59" s="63"/>
    </row>
    <row r="60" spans="1:15">
      <c r="J60" s="367"/>
      <c r="K60" s="65" t="s">
        <v>433</v>
      </c>
      <c r="L60" s="63"/>
      <c r="M60" s="63"/>
      <c r="N60" s="63"/>
      <c r="O60" s="63"/>
    </row>
    <row r="61" spans="1:15">
      <c r="J61" s="367"/>
      <c r="K61" s="65" t="s">
        <v>434</v>
      </c>
      <c r="L61" s="63"/>
      <c r="M61" s="63"/>
      <c r="N61" s="63"/>
      <c r="O61" s="63"/>
    </row>
    <row r="62" spans="1:15">
      <c r="J62" s="367"/>
      <c r="K62" s="65" t="s">
        <v>435</v>
      </c>
      <c r="L62" s="63"/>
      <c r="M62" s="63"/>
      <c r="N62" s="63"/>
      <c r="O62" s="63"/>
    </row>
    <row r="63" spans="1:15">
      <c r="J63" s="367"/>
      <c r="K63" s="65" t="s">
        <v>436</v>
      </c>
      <c r="L63" s="63"/>
      <c r="M63" s="63"/>
      <c r="N63" s="63"/>
      <c r="O63" s="63"/>
    </row>
    <row r="64" spans="1:15">
      <c r="J64" s="367"/>
      <c r="K64" s="61" t="s">
        <v>437</v>
      </c>
      <c r="L64" s="61" t="e">
        <f>AVERAGE(L52:L63)</f>
        <v>#DIV/0!</v>
      </c>
      <c r="M64" s="61">
        <f>MAX(M52:M63)</f>
        <v>0</v>
      </c>
      <c r="N64" s="61" t="e">
        <f>AVERAGE(N52:N63)</f>
        <v>#DIV/0!</v>
      </c>
      <c r="O64" s="61">
        <f>MAX(O52:O63)</f>
        <v>0</v>
      </c>
    </row>
    <row r="66" spans="10:15" ht="41.45">
      <c r="J66" s="60">
        <f>+A6</f>
        <v>2022</v>
      </c>
      <c r="K66" s="60" t="s">
        <v>419</v>
      </c>
      <c r="L66" s="66" t="s">
        <v>414</v>
      </c>
      <c r="M66" s="66" t="s">
        <v>420</v>
      </c>
      <c r="N66" s="66" t="s">
        <v>417</v>
      </c>
      <c r="O66" s="66" t="s">
        <v>421</v>
      </c>
    </row>
    <row r="67" spans="10:15">
      <c r="J67" s="367" t="s">
        <v>199</v>
      </c>
      <c r="K67" s="65" t="s">
        <v>422</v>
      </c>
      <c r="L67" s="63"/>
      <c r="M67" s="63"/>
      <c r="N67" s="63"/>
      <c r="O67" s="63"/>
    </row>
    <row r="68" spans="10:15">
      <c r="J68" s="367"/>
      <c r="K68" s="65" t="s">
        <v>423</v>
      </c>
      <c r="L68" s="63"/>
      <c r="M68" s="63"/>
      <c r="N68" s="63"/>
      <c r="O68" s="63"/>
    </row>
    <row r="69" spans="10:15">
      <c r="J69" s="367"/>
      <c r="K69" s="65" t="s">
        <v>424</v>
      </c>
      <c r="L69" s="63"/>
      <c r="M69" s="63"/>
      <c r="N69" s="63"/>
      <c r="O69" s="63"/>
    </row>
    <row r="70" spans="10:15">
      <c r="J70" s="367"/>
      <c r="K70" s="65" t="s">
        <v>426</v>
      </c>
      <c r="L70" s="63"/>
      <c r="M70" s="63"/>
      <c r="N70" s="63"/>
      <c r="O70" s="63"/>
    </row>
    <row r="71" spans="10:15">
      <c r="J71" s="367"/>
      <c r="K71" s="65" t="s">
        <v>428</v>
      </c>
      <c r="L71" s="63"/>
      <c r="M71" s="63"/>
      <c r="N71" s="63"/>
      <c r="O71" s="63"/>
    </row>
    <row r="72" spans="10:15">
      <c r="J72" s="367"/>
      <c r="K72" s="65" t="s">
        <v>429</v>
      </c>
      <c r="L72" s="63"/>
      <c r="M72" s="63"/>
      <c r="N72" s="63"/>
      <c r="O72" s="63"/>
    </row>
    <row r="73" spans="10:15">
      <c r="J73" s="367"/>
      <c r="K73" s="65" t="s">
        <v>430</v>
      </c>
      <c r="L73" s="63"/>
      <c r="M73" s="63"/>
      <c r="N73" s="63"/>
      <c r="O73" s="63"/>
    </row>
    <row r="74" spans="10:15">
      <c r="J74" s="367"/>
      <c r="K74" s="65" t="s">
        <v>432</v>
      </c>
      <c r="L74" s="63"/>
      <c r="M74" s="63"/>
      <c r="N74" s="63"/>
      <c r="O74" s="63"/>
    </row>
    <row r="75" spans="10:15">
      <c r="J75" s="367"/>
      <c r="K75" s="65" t="s">
        <v>433</v>
      </c>
      <c r="L75" s="63"/>
      <c r="M75" s="63"/>
      <c r="N75" s="63"/>
      <c r="O75" s="63"/>
    </row>
    <row r="76" spans="10:15">
      <c r="J76" s="367"/>
      <c r="K76" s="65" t="s">
        <v>434</v>
      </c>
      <c r="L76" s="63"/>
      <c r="M76" s="63"/>
      <c r="N76" s="63"/>
      <c r="O76" s="63"/>
    </row>
    <row r="77" spans="10:15">
      <c r="J77" s="367"/>
      <c r="K77" s="65" t="s">
        <v>435</v>
      </c>
      <c r="L77" s="63"/>
      <c r="M77" s="63"/>
      <c r="N77" s="63"/>
      <c r="O77" s="63"/>
    </row>
    <row r="78" spans="10:15">
      <c r="J78" s="367"/>
      <c r="K78" s="65" t="s">
        <v>436</v>
      </c>
      <c r="L78" s="63"/>
      <c r="M78" s="63"/>
      <c r="N78" s="63"/>
      <c r="O78" s="63"/>
    </row>
    <row r="79" spans="10:15">
      <c r="J79" s="367"/>
      <c r="K79" s="61" t="s">
        <v>437</v>
      </c>
      <c r="L79" s="61" t="e">
        <f>AVERAGE(L67:L78)</f>
        <v>#DIV/0!</v>
      </c>
      <c r="M79" s="61">
        <f>MAX(M67:M78)</f>
        <v>0</v>
      </c>
      <c r="N79" s="61" t="e">
        <f>AVERAGE(N67:N78)</f>
        <v>#DIV/0!</v>
      </c>
      <c r="O79" s="61">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view="pageBreakPreview" zoomScale="115" zoomScaleNormal="100" zoomScaleSheetLayoutView="115" workbookViewId="0">
      <selection activeCell="N7" sqref="N7"/>
    </sheetView>
  </sheetViews>
  <sheetFormatPr defaultRowHeight="13.9"/>
  <cols>
    <col min="1" max="1" width="14" style="3" customWidth="1"/>
    <col min="2" max="4" width="17" style="34" customWidth="1"/>
    <col min="5" max="5" width="14.7109375" style="34" customWidth="1"/>
    <col min="6" max="7" width="17" style="34"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Charlton Lane Eco Park</v>
      </c>
      <c r="F1" s="92"/>
      <c r="G1" s="92"/>
    </row>
    <row r="3" spans="1:19" ht="14.45">
      <c r="A3" s="59" t="s">
        <v>438</v>
      </c>
      <c r="D3" s="75" t="s">
        <v>406</v>
      </c>
      <c r="G3" s="79" t="s">
        <v>407</v>
      </c>
      <c r="J3" s="9" t="str">
        <f>+A3</f>
        <v>Monitoring of Sulphur dioxide emissions</v>
      </c>
      <c r="L3" s="9"/>
      <c r="N3" s="9" t="s">
        <v>408</v>
      </c>
      <c r="Q3" s="78" t="s">
        <v>3</v>
      </c>
      <c r="R3" s="73"/>
      <c r="S3" s="73"/>
    </row>
    <row r="4" spans="1:19" ht="13.9" customHeight="1">
      <c r="Q4" s="358" t="s">
        <v>409</v>
      </c>
      <c r="R4" s="358"/>
      <c r="S4" s="358"/>
    </row>
    <row r="5" spans="1:19" ht="16.149999999999999">
      <c r="A5" s="67" t="s">
        <v>410</v>
      </c>
      <c r="B5" s="369" t="s">
        <v>411</v>
      </c>
      <c r="C5" s="369"/>
      <c r="D5" s="369"/>
      <c r="E5" s="369" t="s">
        <v>412</v>
      </c>
      <c r="F5" s="369"/>
      <c r="G5" s="369"/>
      <c r="J5" s="368"/>
      <c r="K5" s="368"/>
      <c r="L5" s="368"/>
      <c r="M5" s="368"/>
      <c r="N5" s="368"/>
      <c r="O5" s="368"/>
      <c r="Q5" s="358"/>
      <c r="R5" s="358"/>
      <c r="S5" s="358"/>
    </row>
    <row r="6" spans="1:19" s="57" customFormat="1" ht="37.5" customHeight="1">
      <c r="A6" s="64">
        <f>+'Cover Page'!C39</f>
        <v>2022</v>
      </c>
      <c r="B6" s="54" t="s">
        <v>439</v>
      </c>
      <c r="C6" s="54" t="s">
        <v>414</v>
      </c>
      <c r="D6" s="54" t="s">
        <v>415</v>
      </c>
      <c r="E6" s="54" t="s">
        <v>440</v>
      </c>
      <c r="F6" s="54" t="s">
        <v>417</v>
      </c>
      <c r="G6" s="54" t="s">
        <v>418</v>
      </c>
      <c r="H6" s="58"/>
      <c r="J6" s="60">
        <f>+A6</f>
        <v>2022</v>
      </c>
      <c r="K6" s="60" t="s">
        <v>419</v>
      </c>
      <c r="L6" s="66" t="s">
        <v>414</v>
      </c>
      <c r="M6" s="66" t="s">
        <v>420</v>
      </c>
      <c r="N6" s="66" t="s">
        <v>417</v>
      </c>
      <c r="O6" s="66" t="s">
        <v>421</v>
      </c>
      <c r="Q6" s="358"/>
      <c r="R6" s="358"/>
      <c r="S6" s="358"/>
    </row>
    <row r="7" spans="1:19">
      <c r="A7" s="65" t="s">
        <v>422</v>
      </c>
      <c r="B7" s="62">
        <v>200</v>
      </c>
      <c r="C7" s="63">
        <f t="shared" ref="C7:C18" si="0">L7</f>
        <v>0</v>
      </c>
      <c r="D7" s="63">
        <f t="shared" ref="D7:D18" si="1">M7</f>
        <v>8</v>
      </c>
      <c r="E7" s="62">
        <v>50</v>
      </c>
      <c r="F7" s="63">
        <f t="shared" ref="F7:F18" si="2">N7</f>
        <v>0</v>
      </c>
      <c r="G7" s="63">
        <f t="shared" ref="G7:G18" si="3">O7</f>
        <v>0</v>
      </c>
      <c r="J7" s="367" t="s">
        <v>195</v>
      </c>
      <c r="K7" s="65" t="s">
        <v>422</v>
      </c>
      <c r="L7" s="63">
        <v>0</v>
      </c>
      <c r="M7" s="63">
        <v>8</v>
      </c>
      <c r="N7" s="63">
        <v>0</v>
      </c>
      <c r="O7" s="63">
        <v>0</v>
      </c>
      <c r="Q7" s="358"/>
      <c r="R7" s="358"/>
      <c r="S7" s="358"/>
    </row>
    <row r="8" spans="1:19">
      <c r="A8" s="65" t="s">
        <v>423</v>
      </c>
      <c r="B8" s="62">
        <v>200</v>
      </c>
      <c r="C8" s="63">
        <f t="shared" si="0"/>
        <v>0</v>
      </c>
      <c r="D8" s="63">
        <f t="shared" si="1"/>
        <v>103</v>
      </c>
      <c r="E8" s="62">
        <v>50</v>
      </c>
      <c r="F8" s="63">
        <f t="shared" si="2"/>
        <v>0</v>
      </c>
      <c r="G8" s="63">
        <f t="shared" si="3"/>
        <v>1</v>
      </c>
      <c r="J8" s="367"/>
      <c r="K8" s="65" t="s">
        <v>423</v>
      </c>
      <c r="L8" s="63">
        <v>0</v>
      </c>
      <c r="M8" s="63">
        <v>103</v>
      </c>
      <c r="N8" s="63">
        <v>0</v>
      </c>
      <c r="O8" s="63">
        <v>1</v>
      </c>
      <c r="Q8" s="358"/>
      <c r="R8" s="358"/>
      <c r="S8" s="358"/>
    </row>
    <row r="9" spans="1:19">
      <c r="A9" s="65" t="s">
        <v>424</v>
      </c>
      <c r="B9" s="62">
        <v>200</v>
      </c>
      <c r="C9" s="63">
        <f t="shared" si="0"/>
        <v>0</v>
      </c>
      <c r="D9" s="63">
        <f t="shared" si="1"/>
        <v>46</v>
      </c>
      <c r="E9" s="62">
        <v>50</v>
      </c>
      <c r="F9" s="63">
        <f t="shared" si="2"/>
        <v>0</v>
      </c>
      <c r="G9" s="63">
        <f t="shared" si="3"/>
        <v>0</v>
      </c>
      <c r="J9" s="367"/>
      <c r="K9" s="65" t="s">
        <v>424</v>
      </c>
      <c r="L9" s="63">
        <v>0</v>
      </c>
      <c r="M9" s="63">
        <v>46</v>
      </c>
      <c r="N9" s="63">
        <v>0</v>
      </c>
      <c r="O9" s="63">
        <v>0</v>
      </c>
      <c r="Q9" s="77" t="s">
        <v>425</v>
      </c>
    </row>
    <row r="10" spans="1:19" ht="14.25" customHeight="1">
      <c r="A10" s="65" t="s">
        <v>426</v>
      </c>
      <c r="B10" s="62">
        <v>200</v>
      </c>
      <c r="C10" s="63">
        <f t="shared" si="0"/>
        <v>0</v>
      </c>
      <c r="D10" s="63">
        <f t="shared" si="1"/>
        <v>20</v>
      </c>
      <c r="E10" s="62">
        <v>50</v>
      </c>
      <c r="F10" s="63">
        <f t="shared" si="2"/>
        <v>0</v>
      </c>
      <c r="G10" s="63">
        <f t="shared" si="3"/>
        <v>1</v>
      </c>
      <c r="J10" s="367"/>
      <c r="K10" s="65" t="s">
        <v>426</v>
      </c>
      <c r="L10" s="63">
        <v>0</v>
      </c>
      <c r="M10" s="63">
        <v>20</v>
      </c>
      <c r="N10" s="63">
        <v>0</v>
      </c>
      <c r="O10" s="63">
        <v>1</v>
      </c>
      <c r="Q10" s="366" t="s">
        <v>427</v>
      </c>
      <c r="R10" s="366"/>
      <c r="S10" s="366"/>
    </row>
    <row r="11" spans="1:19">
      <c r="A11" s="65" t="s">
        <v>428</v>
      </c>
      <c r="B11" s="62">
        <v>200</v>
      </c>
      <c r="C11" s="63">
        <f t="shared" si="0"/>
        <v>0</v>
      </c>
      <c r="D11" s="63">
        <f t="shared" si="1"/>
        <v>10</v>
      </c>
      <c r="E11" s="62">
        <v>50</v>
      </c>
      <c r="F11" s="63">
        <f t="shared" si="2"/>
        <v>0</v>
      </c>
      <c r="G11" s="63">
        <f t="shared" si="3"/>
        <v>1</v>
      </c>
      <c r="J11" s="367"/>
      <c r="K11" s="65" t="s">
        <v>428</v>
      </c>
      <c r="L11" s="63">
        <v>0</v>
      </c>
      <c r="M11" s="63">
        <v>10</v>
      </c>
      <c r="N11" s="63">
        <v>0</v>
      </c>
      <c r="O11" s="63">
        <v>1</v>
      </c>
      <c r="Q11" s="366"/>
      <c r="R11" s="366"/>
      <c r="S11" s="366"/>
    </row>
    <row r="12" spans="1:19">
      <c r="A12" s="65" t="s">
        <v>429</v>
      </c>
      <c r="B12" s="62">
        <v>200</v>
      </c>
      <c r="C12" s="63">
        <f t="shared" si="0"/>
        <v>0</v>
      </c>
      <c r="D12" s="63">
        <f t="shared" si="1"/>
        <v>42</v>
      </c>
      <c r="E12" s="62">
        <v>50</v>
      </c>
      <c r="F12" s="63">
        <f t="shared" si="2"/>
        <v>0</v>
      </c>
      <c r="G12" s="63">
        <f t="shared" si="3"/>
        <v>1</v>
      </c>
      <c r="J12" s="367"/>
      <c r="K12" s="65" t="s">
        <v>429</v>
      </c>
      <c r="L12" s="63">
        <v>0</v>
      </c>
      <c r="M12" s="63">
        <v>42</v>
      </c>
      <c r="N12" s="63">
        <v>0</v>
      </c>
      <c r="O12" s="63">
        <v>1</v>
      </c>
      <c r="Q12" s="366"/>
      <c r="R12" s="366"/>
      <c r="S12" s="366"/>
    </row>
    <row r="13" spans="1:19" ht="14.25" customHeight="1">
      <c r="A13" s="65" t="s">
        <v>430</v>
      </c>
      <c r="B13" s="62">
        <v>200</v>
      </c>
      <c r="C13" s="63">
        <f t="shared" si="0"/>
        <v>0</v>
      </c>
      <c r="D13" s="63">
        <f t="shared" si="1"/>
        <v>0</v>
      </c>
      <c r="E13" s="62">
        <v>50</v>
      </c>
      <c r="F13" s="63">
        <f t="shared" si="2"/>
        <v>0</v>
      </c>
      <c r="G13" s="63">
        <f t="shared" si="3"/>
        <v>0</v>
      </c>
      <c r="J13" s="367"/>
      <c r="K13" s="65" t="s">
        <v>430</v>
      </c>
      <c r="L13" s="63">
        <v>0</v>
      </c>
      <c r="M13" s="63">
        <v>0</v>
      </c>
      <c r="N13" s="63">
        <v>0</v>
      </c>
      <c r="O13" s="63">
        <v>0</v>
      </c>
      <c r="Q13" s="366" t="s">
        <v>431</v>
      </c>
      <c r="R13" s="366"/>
      <c r="S13" s="366"/>
    </row>
    <row r="14" spans="1:19">
      <c r="A14" s="65" t="s">
        <v>432</v>
      </c>
      <c r="B14" s="62">
        <v>200</v>
      </c>
      <c r="C14" s="63">
        <f t="shared" si="0"/>
        <v>9</v>
      </c>
      <c r="D14" s="63">
        <f t="shared" si="1"/>
        <v>24</v>
      </c>
      <c r="E14" s="62">
        <v>50</v>
      </c>
      <c r="F14" s="63">
        <f t="shared" si="2"/>
        <v>9</v>
      </c>
      <c r="G14" s="63">
        <f t="shared" si="3"/>
        <v>10</v>
      </c>
      <c r="J14" s="367"/>
      <c r="K14" s="65" t="s">
        <v>432</v>
      </c>
      <c r="L14" s="63">
        <v>9</v>
      </c>
      <c r="M14" s="63">
        <v>24</v>
      </c>
      <c r="N14" s="63">
        <v>9</v>
      </c>
      <c r="O14" s="63">
        <v>10</v>
      </c>
      <c r="Q14" s="366"/>
      <c r="R14" s="366"/>
      <c r="S14" s="366"/>
    </row>
    <row r="15" spans="1:19">
      <c r="A15" s="65" t="s">
        <v>433</v>
      </c>
      <c r="B15" s="62">
        <v>200</v>
      </c>
      <c r="C15" s="63">
        <f t="shared" si="0"/>
        <v>10</v>
      </c>
      <c r="D15" s="63">
        <f t="shared" si="1"/>
        <v>40</v>
      </c>
      <c r="E15" s="62">
        <v>50</v>
      </c>
      <c r="F15" s="63">
        <f t="shared" si="2"/>
        <v>10</v>
      </c>
      <c r="G15" s="63">
        <f t="shared" si="3"/>
        <v>11</v>
      </c>
      <c r="J15" s="367"/>
      <c r="K15" s="65" t="s">
        <v>433</v>
      </c>
      <c r="L15" s="63">
        <v>10</v>
      </c>
      <c r="M15" s="63">
        <v>40</v>
      </c>
      <c r="N15" s="63">
        <v>10</v>
      </c>
      <c r="O15" s="63">
        <v>11</v>
      </c>
      <c r="Q15" s="366"/>
      <c r="R15" s="366"/>
      <c r="S15" s="366"/>
    </row>
    <row r="16" spans="1:19">
      <c r="A16" s="65" t="s">
        <v>434</v>
      </c>
      <c r="B16" s="62">
        <v>200</v>
      </c>
      <c r="C16" s="63">
        <f t="shared" si="0"/>
        <v>10</v>
      </c>
      <c r="D16" s="63">
        <f t="shared" si="1"/>
        <v>43</v>
      </c>
      <c r="E16" s="62">
        <v>50</v>
      </c>
      <c r="F16" s="63">
        <f t="shared" si="2"/>
        <v>10</v>
      </c>
      <c r="G16" s="63">
        <f t="shared" si="3"/>
        <v>12</v>
      </c>
      <c r="J16" s="367"/>
      <c r="K16" s="65" t="s">
        <v>434</v>
      </c>
      <c r="L16" s="63">
        <v>10</v>
      </c>
      <c r="M16" s="63">
        <v>43</v>
      </c>
      <c r="N16" s="63">
        <v>10</v>
      </c>
      <c r="O16" s="63">
        <v>12</v>
      </c>
      <c r="Q16" s="366"/>
      <c r="R16" s="366"/>
      <c r="S16" s="366"/>
    </row>
    <row r="17" spans="1:15">
      <c r="A17" s="65" t="s">
        <v>435</v>
      </c>
      <c r="B17" s="62">
        <v>200</v>
      </c>
      <c r="C17" s="63">
        <f t="shared" si="0"/>
        <v>16</v>
      </c>
      <c r="D17" s="63">
        <f t="shared" si="1"/>
        <v>59</v>
      </c>
      <c r="E17" s="62">
        <v>50</v>
      </c>
      <c r="F17" s="63">
        <f t="shared" si="2"/>
        <v>16</v>
      </c>
      <c r="G17" s="63">
        <f t="shared" si="3"/>
        <v>29</v>
      </c>
      <c r="J17" s="367"/>
      <c r="K17" s="65" t="s">
        <v>435</v>
      </c>
      <c r="L17" s="63">
        <v>16</v>
      </c>
      <c r="M17" s="63">
        <v>59</v>
      </c>
      <c r="N17" s="63">
        <v>16</v>
      </c>
      <c r="O17" s="63">
        <v>29</v>
      </c>
    </row>
    <row r="18" spans="1:15">
      <c r="A18" s="65" t="s">
        <v>436</v>
      </c>
      <c r="B18" s="62">
        <v>200</v>
      </c>
      <c r="C18" s="63">
        <f t="shared" si="0"/>
        <v>8.8000000000000007</v>
      </c>
      <c r="D18" s="63">
        <f t="shared" si="1"/>
        <v>30</v>
      </c>
      <c r="E18" s="62">
        <v>50</v>
      </c>
      <c r="F18" s="63">
        <f t="shared" si="2"/>
        <v>9</v>
      </c>
      <c r="G18" s="63">
        <f t="shared" si="3"/>
        <v>9</v>
      </c>
      <c r="J18" s="367"/>
      <c r="K18" s="65" t="s">
        <v>436</v>
      </c>
      <c r="L18" s="63">
        <v>8.8000000000000007</v>
      </c>
      <c r="M18" s="63">
        <v>30</v>
      </c>
      <c r="N18" s="63">
        <v>9</v>
      </c>
      <c r="O18" s="63">
        <v>9</v>
      </c>
    </row>
    <row r="19" spans="1:15">
      <c r="J19" s="367"/>
      <c r="K19" s="61" t="s">
        <v>437</v>
      </c>
      <c r="L19" s="61">
        <f>AVERAGE(L7:L18)</f>
        <v>4.4833333333333334</v>
      </c>
      <c r="M19" s="61">
        <f>MAX(M7:M18)</f>
        <v>103</v>
      </c>
      <c r="N19" s="61">
        <f>AVERAGE(N7:N18)</f>
        <v>4.5</v>
      </c>
      <c r="O19" s="61">
        <f>MAX(O7:O18)</f>
        <v>29</v>
      </c>
    </row>
    <row r="21" spans="1:15" ht="41.45">
      <c r="J21" s="60">
        <f>+A6</f>
        <v>2022</v>
      </c>
      <c r="K21" s="60" t="s">
        <v>419</v>
      </c>
      <c r="L21" s="66" t="s">
        <v>414</v>
      </c>
      <c r="M21" s="66" t="s">
        <v>420</v>
      </c>
      <c r="N21" s="66" t="s">
        <v>417</v>
      </c>
      <c r="O21" s="66" t="s">
        <v>421</v>
      </c>
    </row>
    <row r="22" spans="1:15">
      <c r="J22" s="367" t="s">
        <v>196</v>
      </c>
      <c r="K22" s="65" t="s">
        <v>422</v>
      </c>
      <c r="L22" s="63"/>
      <c r="M22" s="63"/>
      <c r="N22" s="63"/>
      <c r="O22" s="63"/>
    </row>
    <row r="23" spans="1:15">
      <c r="J23" s="367"/>
      <c r="K23" s="65" t="s">
        <v>423</v>
      </c>
      <c r="L23" s="63"/>
      <c r="M23" s="63"/>
      <c r="N23" s="63"/>
      <c r="O23" s="63"/>
    </row>
    <row r="24" spans="1:15">
      <c r="J24" s="367"/>
      <c r="K24" s="65" t="s">
        <v>424</v>
      </c>
      <c r="L24" s="63"/>
      <c r="M24" s="63"/>
      <c r="N24" s="63"/>
      <c r="O24" s="63"/>
    </row>
    <row r="25" spans="1:15">
      <c r="J25" s="367"/>
      <c r="K25" s="65" t="s">
        <v>426</v>
      </c>
      <c r="L25" s="63"/>
      <c r="M25" s="63"/>
      <c r="N25" s="63"/>
      <c r="O25" s="63"/>
    </row>
    <row r="26" spans="1:15">
      <c r="J26" s="367"/>
      <c r="K26" s="65" t="s">
        <v>428</v>
      </c>
      <c r="L26" s="63"/>
      <c r="M26" s="63"/>
      <c r="N26" s="63"/>
      <c r="O26" s="63"/>
    </row>
    <row r="27" spans="1:15">
      <c r="J27" s="367"/>
      <c r="K27" s="65" t="s">
        <v>429</v>
      </c>
      <c r="L27" s="63"/>
      <c r="M27" s="63"/>
      <c r="N27" s="63"/>
      <c r="O27" s="63"/>
    </row>
    <row r="28" spans="1:15">
      <c r="J28" s="367"/>
      <c r="K28" s="65" t="s">
        <v>430</v>
      </c>
      <c r="L28" s="63"/>
      <c r="M28" s="63"/>
      <c r="N28" s="63"/>
      <c r="O28" s="63"/>
    </row>
    <row r="29" spans="1:15">
      <c r="J29" s="367"/>
      <c r="K29" s="65" t="s">
        <v>432</v>
      </c>
      <c r="L29" s="63"/>
      <c r="M29" s="63"/>
      <c r="N29" s="63"/>
      <c r="O29" s="63"/>
    </row>
    <row r="30" spans="1:15">
      <c r="J30" s="367"/>
      <c r="K30" s="65" t="s">
        <v>433</v>
      </c>
      <c r="L30" s="63"/>
      <c r="M30" s="63"/>
      <c r="N30" s="63"/>
      <c r="O30" s="63"/>
    </row>
    <row r="31" spans="1:15">
      <c r="J31" s="367"/>
      <c r="K31" s="65" t="s">
        <v>434</v>
      </c>
      <c r="L31" s="63"/>
      <c r="M31" s="63"/>
      <c r="N31" s="63"/>
      <c r="O31" s="63"/>
    </row>
    <row r="32" spans="1:15">
      <c r="J32" s="367"/>
      <c r="K32" s="65" t="s">
        <v>435</v>
      </c>
      <c r="L32" s="63"/>
      <c r="M32" s="63"/>
      <c r="N32" s="63"/>
      <c r="O32" s="63"/>
    </row>
    <row r="33" spans="1:15">
      <c r="J33" s="367"/>
      <c r="K33" s="65" t="s">
        <v>436</v>
      </c>
      <c r="L33" s="63"/>
      <c r="M33" s="63"/>
      <c r="N33" s="63"/>
      <c r="O33" s="63"/>
    </row>
    <row r="34" spans="1:15">
      <c r="J34" s="367"/>
      <c r="K34" s="61" t="s">
        <v>437</v>
      </c>
      <c r="L34" s="61" t="e">
        <f>AVERAGE(L22:L33)</f>
        <v>#DIV/0!</v>
      </c>
      <c r="M34" s="61">
        <f>MAX(M22:M33)</f>
        <v>0</v>
      </c>
      <c r="N34" s="61" t="e">
        <f>AVERAGE(N22:N33)</f>
        <v>#DIV/0!</v>
      </c>
      <c r="O34" s="61">
        <f>MAX(O22:O33)</f>
        <v>0</v>
      </c>
    </row>
    <row r="36" spans="1:15" ht="41.45">
      <c r="J36" s="60">
        <f>+A6</f>
        <v>2022</v>
      </c>
      <c r="K36" s="60" t="s">
        <v>419</v>
      </c>
      <c r="L36" s="66" t="s">
        <v>414</v>
      </c>
      <c r="M36" s="66" t="s">
        <v>420</v>
      </c>
      <c r="N36" s="66" t="s">
        <v>417</v>
      </c>
      <c r="O36" s="66" t="s">
        <v>421</v>
      </c>
    </row>
    <row r="37" spans="1:15">
      <c r="J37" s="367" t="s">
        <v>197</v>
      </c>
      <c r="K37" s="65" t="s">
        <v>422</v>
      </c>
      <c r="L37" s="63"/>
      <c r="M37" s="63"/>
      <c r="N37" s="63"/>
      <c r="O37" s="63"/>
    </row>
    <row r="38" spans="1:15">
      <c r="J38" s="367"/>
      <c r="K38" s="65" t="s">
        <v>423</v>
      </c>
      <c r="L38" s="63"/>
      <c r="M38" s="63"/>
      <c r="N38" s="63"/>
      <c r="O38" s="63"/>
    </row>
    <row r="39" spans="1:15">
      <c r="J39" s="367"/>
      <c r="K39" s="65" t="s">
        <v>424</v>
      </c>
      <c r="L39" s="63"/>
      <c r="M39" s="63"/>
      <c r="N39" s="63"/>
      <c r="O39" s="63"/>
    </row>
    <row r="40" spans="1:15">
      <c r="J40" s="367"/>
      <c r="K40" s="65" t="s">
        <v>426</v>
      </c>
      <c r="L40" s="63"/>
      <c r="M40" s="63"/>
      <c r="N40" s="63"/>
      <c r="O40" s="63"/>
    </row>
    <row r="41" spans="1:15">
      <c r="J41" s="367"/>
      <c r="K41" s="65" t="s">
        <v>428</v>
      </c>
      <c r="L41" s="63"/>
      <c r="M41" s="63"/>
      <c r="N41" s="63"/>
      <c r="O41" s="63"/>
    </row>
    <row r="42" spans="1:15">
      <c r="J42" s="367"/>
      <c r="K42" s="65" t="s">
        <v>429</v>
      </c>
      <c r="L42" s="63"/>
      <c r="M42" s="63"/>
      <c r="N42" s="63"/>
      <c r="O42" s="63"/>
    </row>
    <row r="43" spans="1:15">
      <c r="J43" s="367"/>
      <c r="K43" s="65" t="s">
        <v>430</v>
      </c>
      <c r="L43" s="63"/>
      <c r="M43" s="63"/>
      <c r="N43" s="63"/>
      <c r="O43" s="63"/>
    </row>
    <row r="44" spans="1:15">
      <c r="J44" s="367"/>
      <c r="K44" s="65" t="s">
        <v>432</v>
      </c>
      <c r="L44" s="63"/>
      <c r="M44" s="63"/>
      <c r="N44" s="63"/>
      <c r="O44" s="63"/>
    </row>
    <row r="45" spans="1:15">
      <c r="J45" s="367"/>
      <c r="K45" s="65" t="s">
        <v>433</v>
      </c>
      <c r="L45" s="63"/>
      <c r="M45" s="63"/>
      <c r="N45" s="63"/>
      <c r="O45" s="63"/>
    </row>
    <row r="46" spans="1:15">
      <c r="J46" s="367"/>
      <c r="K46" s="65" t="s">
        <v>434</v>
      </c>
      <c r="L46" s="63"/>
      <c r="M46" s="63"/>
      <c r="N46" s="63"/>
      <c r="O46" s="63"/>
    </row>
    <row r="47" spans="1:15">
      <c r="J47" s="367"/>
      <c r="K47" s="65" t="s">
        <v>435</v>
      </c>
      <c r="L47" s="63"/>
      <c r="M47" s="63"/>
      <c r="N47" s="63"/>
      <c r="O47" s="63"/>
    </row>
    <row r="48" spans="1:15">
      <c r="A48" s="379" t="s">
        <v>325</v>
      </c>
      <c r="B48" s="380"/>
      <c r="C48" s="380"/>
      <c r="D48" s="380"/>
      <c r="E48" s="380"/>
      <c r="F48" s="380"/>
      <c r="G48" s="381"/>
      <c r="J48" s="367"/>
      <c r="K48" s="65" t="s">
        <v>436</v>
      </c>
      <c r="L48" s="63"/>
      <c r="M48" s="63"/>
      <c r="N48" s="63"/>
      <c r="O48" s="63"/>
    </row>
    <row r="49" spans="1:15">
      <c r="A49" s="370"/>
      <c r="B49" s="371"/>
      <c r="C49" s="371"/>
      <c r="D49" s="371"/>
      <c r="E49" s="371"/>
      <c r="F49" s="371"/>
      <c r="G49" s="372"/>
      <c r="J49" s="367"/>
      <c r="K49" s="61" t="s">
        <v>437</v>
      </c>
      <c r="L49" s="61" t="e">
        <f>AVERAGE(L37:L48)</f>
        <v>#DIV/0!</v>
      </c>
      <c r="M49" s="61">
        <f>MAX(M37:M48)</f>
        <v>0</v>
      </c>
      <c r="N49" s="61" t="e">
        <f>AVERAGE(N37:N48)</f>
        <v>#DIV/0!</v>
      </c>
      <c r="O49" s="61">
        <f>MAX(O37:O48)</f>
        <v>0</v>
      </c>
    </row>
    <row r="50" spans="1:15">
      <c r="A50" s="373"/>
      <c r="B50" s="374"/>
      <c r="C50" s="374"/>
      <c r="D50" s="374"/>
      <c r="E50" s="374"/>
      <c r="F50" s="374"/>
      <c r="G50" s="375"/>
    </row>
    <row r="51" spans="1:15" ht="41.45">
      <c r="A51" s="373"/>
      <c r="B51" s="374"/>
      <c r="C51" s="374"/>
      <c r="D51" s="374"/>
      <c r="E51" s="374"/>
      <c r="F51" s="374"/>
      <c r="G51" s="375"/>
      <c r="J51" s="60">
        <f>+A6</f>
        <v>2022</v>
      </c>
      <c r="K51" s="60" t="s">
        <v>419</v>
      </c>
      <c r="L51" s="66" t="s">
        <v>414</v>
      </c>
      <c r="M51" s="66" t="s">
        <v>420</v>
      </c>
      <c r="N51" s="66" t="s">
        <v>417</v>
      </c>
      <c r="O51" s="66" t="s">
        <v>421</v>
      </c>
    </row>
    <row r="52" spans="1:15">
      <c r="A52" s="376"/>
      <c r="B52" s="377"/>
      <c r="C52" s="377"/>
      <c r="D52" s="377"/>
      <c r="E52" s="377"/>
      <c r="F52" s="377"/>
      <c r="G52" s="378"/>
      <c r="J52" s="367" t="s">
        <v>198</v>
      </c>
      <c r="K52" s="65" t="s">
        <v>422</v>
      </c>
      <c r="L52" s="63"/>
      <c r="M52" s="63"/>
      <c r="N52" s="63"/>
      <c r="O52" s="63"/>
    </row>
    <row r="53" spans="1:15">
      <c r="J53" s="367"/>
      <c r="K53" s="65" t="s">
        <v>423</v>
      </c>
      <c r="L53" s="63"/>
      <c r="M53" s="63"/>
      <c r="N53" s="63"/>
      <c r="O53" s="63"/>
    </row>
    <row r="54" spans="1:15">
      <c r="J54" s="367"/>
      <c r="K54" s="65" t="s">
        <v>424</v>
      </c>
      <c r="L54" s="63"/>
      <c r="M54" s="63"/>
      <c r="N54" s="63"/>
      <c r="O54" s="63"/>
    </row>
    <row r="55" spans="1:15">
      <c r="J55" s="367"/>
      <c r="K55" s="65" t="s">
        <v>426</v>
      </c>
      <c r="L55" s="63"/>
      <c r="M55" s="63"/>
      <c r="N55" s="63"/>
      <c r="O55" s="63"/>
    </row>
    <row r="56" spans="1:15">
      <c r="J56" s="367"/>
      <c r="K56" s="65" t="s">
        <v>428</v>
      </c>
      <c r="L56" s="63"/>
      <c r="M56" s="63"/>
      <c r="N56" s="63"/>
      <c r="O56" s="63"/>
    </row>
    <row r="57" spans="1:15">
      <c r="J57" s="367"/>
      <c r="K57" s="65" t="s">
        <v>429</v>
      </c>
      <c r="L57" s="63"/>
      <c r="M57" s="63"/>
      <c r="N57" s="63"/>
      <c r="O57" s="63"/>
    </row>
    <row r="58" spans="1:15">
      <c r="J58" s="367"/>
      <c r="K58" s="65" t="s">
        <v>430</v>
      </c>
      <c r="L58" s="63"/>
      <c r="M58" s="63"/>
      <c r="N58" s="63"/>
      <c r="O58" s="63"/>
    </row>
    <row r="59" spans="1:15">
      <c r="J59" s="367"/>
      <c r="K59" s="65" t="s">
        <v>432</v>
      </c>
      <c r="L59" s="63"/>
      <c r="M59" s="63"/>
      <c r="N59" s="63"/>
      <c r="O59" s="63"/>
    </row>
    <row r="60" spans="1:15">
      <c r="J60" s="367"/>
      <c r="K60" s="65" t="s">
        <v>433</v>
      </c>
      <c r="L60" s="63"/>
      <c r="M60" s="63"/>
      <c r="N60" s="63"/>
      <c r="O60" s="63"/>
    </row>
    <row r="61" spans="1:15">
      <c r="J61" s="367"/>
      <c r="K61" s="65" t="s">
        <v>434</v>
      </c>
      <c r="L61" s="63"/>
      <c r="M61" s="63"/>
      <c r="N61" s="63"/>
      <c r="O61" s="63"/>
    </row>
    <row r="62" spans="1:15">
      <c r="J62" s="367"/>
      <c r="K62" s="65" t="s">
        <v>435</v>
      </c>
      <c r="L62" s="63"/>
      <c r="M62" s="63"/>
      <c r="N62" s="63"/>
      <c r="O62" s="63"/>
    </row>
    <row r="63" spans="1:15">
      <c r="J63" s="367"/>
      <c r="K63" s="65" t="s">
        <v>436</v>
      </c>
      <c r="L63" s="63"/>
      <c r="M63" s="63"/>
      <c r="N63" s="63"/>
      <c r="O63" s="63"/>
    </row>
    <row r="64" spans="1:15">
      <c r="J64" s="367"/>
      <c r="K64" s="61" t="s">
        <v>437</v>
      </c>
      <c r="L64" s="61" t="e">
        <f>AVERAGE(L52:L63)</f>
        <v>#DIV/0!</v>
      </c>
      <c r="M64" s="61">
        <f>MAX(M52:M63)</f>
        <v>0</v>
      </c>
      <c r="N64" s="61" t="e">
        <f>AVERAGE(N52:N63)</f>
        <v>#DIV/0!</v>
      </c>
      <c r="O64" s="61">
        <f>MAX(O52:O63)</f>
        <v>0</v>
      </c>
    </row>
    <row r="66" spans="10:15" ht="41.45">
      <c r="J66" s="60">
        <f>+A6</f>
        <v>2022</v>
      </c>
      <c r="K66" s="60" t="s">
        <v>419</v>
      </c>
      <c r="L66" s="66" t="s">
        <v>414</v>
      </c>
      <c r="M66" s="66" t="s">
        <v>420</v>
      </c>
      <c r="N66" s="66" t="s">
        <v>417</v>
      </c>
      <c r="O66" s="66" t="s">
        <v>421</v>
      </c>
    </row>
    <row r="67" spans="10:15">
      <c r="J67" s="367" t="s">
        <v>199</v>
      </c>
      <c r="K67" s="65" t="s">
        <v>422</v>
      </c>
      <c r="L67" s="63"/>
      <c r="M67" s="63"/>
      <c r="N67" s="63"/>
      <c r="O67" s="63"/>
    </row>
    <row r="68" spans="10:15">
      <c r="J68" s="367"/>
      <c r="K68" s="65" t="s">
        <v>423</v>
      </c>
      <c r="L68" s="63"/>
      <c r="M68" s="63"/>
      <c r="N68" s="63"/>
      <c r="O68" s="63"/>
    </row>
    <row r="69" spans="10:15">
      <c r="J69" s="367"/>
      <c r="K69" s="65" t="s">
        <v>424</v>
      </c>
      <c r="L69" s="63"/>
      <c r="M69" s="63"/>
      <c r="N69" s="63"/>
      <c r="O69" s="63"/>
    </row>
    <row r="70" spans="10:15">
      <c r="J70" s="367"/>
      <c r="K70" s="65" t="s">
        <v>426</v>
      </c>
      <c r="L70" s="63"/>
      <c r="M70" s="63"/>
      <c r="N70" s="63"/>
      <c r="O70" s="63"/>
    </row>
    <row r="71" spans="10:15">
      <c r="J71" s="367"/>
      <c r="K71" s="65" t="s">
        <v>428</v>
      </c>
      <c r="L71" s="63"/>
      <c r="M71" s="63"/>
      <c r="N71" s="63"/>
      <c r="O71" s="63"/>
    </row>
    <row r="72" spans="10:15">
      <c r="J72" s="367"/>
      <c r="K72" s="65" t="s">
        <v>429</v>
      </c>
      <c r="L72" s="63"/>
      <c r="M72" s="63"/>
      <c r="N72" s="63"/>
      <c r="O72" s="63"/>
    </row>
    <row r="73" spans="10:15">
      <c r="J73" s="367"/>
      <c r="K73" s="65" t="s">
        <v>430</v>
      </c>
      <c r="L73" s="63"/>
      <c r="M73" s="63"/>
      <c r="N73" s="63"/>
      <c r="O73" s="63"/>
    </row>
    <row r="74" spans="10:15">
      <c r="J74" s="367"/>
      <c r="K74" s="65" t="s">
        <v>432</v>
      </c>
      <c r="L74" s="63"/>
      <c r="M74" s="63"/>
      <c r="N74" s="63"/>
      <c r="O74" s="63"/>
    </row>
    <row r="75" spans="10:15">
      <c r="J75" s="367"/>
      <c r="K75" s="65" t="s">
        <v>433</v>
      </c>
      <c r="L75" s="63"/>
      <c r="M75" s="63"/>
      <c r="N75" s="63"/>
      <c r="O75" s="63"/>
    </row>
    <row r="76" spans="10:15">
      <c r="J76" s="367"/>
      <c r="K76" s="65" t="s">
        <v>434</v>
      </c>
      <c r="L76" s="63"/>
      <c r="M76" s="63"/>
      <c r="N76" s="63"/>
      <c r="O76" s="63"/>
    </row>
    <row r="77" spans="10:15">
      <c r="J77" s="367"/>
      <c r="K77" s="65" t="s">
        <v>435</v>
      </c>
      <c r="L77" s="63"/>
      <c r="M77" s="63"/>
      <c r="N77" s="63"/>
      <c r="O77" s="63"/>
    </row>
    <row r="78" spans="10:15">
      <c r="J78" s="367"/>
      <c r="K78" s="65" t="s">
        <v>436</v>
      </c>
      <c r="L78" s="63"/>
      <c r="M78" s="63"/>
      <c r="N78" s="63"/>
      <c r="O78" s="63"/>
    </row>
    <row r="79" spans="10:15">
      <c r="J79" s="367"/>
      <c r="K79" s="61" t="s">
        <v>437</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view="pageBreakPreview" zoomScale="115" zoomScaleNormal="100" zoomScaleSheetLayoutView="115" workbookViewId="0">
      <selection activeCell="N7" sqref="N7"/>
    </sheetView>
  </sheetViews>
  <sheetFormatPr defaultRowHeight="13.9"/>
  <cols>
    <col min="1" max="1" width="14" style="3" customWidth="1"/>
    <col min="2" max="4" width="17" style="34" customWidth="1"/>
    <col min="5" max="5" width="14.7109375" style="34" customWidth="1"/>
    <col min="6" max="7" width="17" style="34"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Charlton Lane Eco Park</v>
      </c>
      <c r="F1" s="92"/>
    </row>
    <row r="3" spans="1:19" ht="14.45">
      <c r="A3" s="59" t="s">
        <v>441</v>
      </c>
      <c r="D3" s="75" t="s">
        <v>406</v>
      </c>
      <c r="G3" s="79" t="s">
        <v>407</v>
      </c>
      <c r="J3" s="9" t="str">
        <f>+A3</f>
        <v>Monitoring of Oxides of Nitrogen emissions</v>
      </c>
      <c r="L3" s="9"/>
      <c r="N3" s="9" t="s">
        <v>408</v>
      </c>
      <c r="Q3" s="78" t="s">
        <v>3</v>
      </c>
      <c r="R3" s="73"/>
      <c r="S3" s="73"/>
    </row>
    <row r="4" spans="1:19" ht="13.9" customHeight="1">
      <c r="Q4" s="358" t="s">
        <v>409</v>
      </c>
      <c r="R4" s="358"/>
      <c r="S4" s="358"/>
    </row>
    <row r="5" spans="1:19" ht="16.149999999999999">
      <c r="A5" s="67" t="s">
        <v>410</v>
      </c>
      <c r="B5" s="369" t="s">
        <v>411</v>
      </c>
      <c r="C5" s="369"/>
      <c r="D5" s="369"/>
      <c r="E5" s="369" t="s">
        <v>412</v>
      </c>
      <c r="F5" s="369"/>
      <c r="G5" s="369"/>
      <c r="J5" s="368"/>
      <c r="K5" s="368"/>
      <c r="L5" s="368"/>
      <c r="M5" s="368"/>
      <c r="N5" s="368"/>
      <c r="O5" s="368"/>
      <c r="Q5" s="358"/>
      <c r="R5" s="358"/>
      <c r="S5" s="358"/>
    </row>
    <row r="6" spans="1:19" s="57" customFormat="1" ht="37.5" customHeight="1">
      <c r="A6" s="64">
        <f>+'Cover Page'!C39</f>
        <v>2022</v>
      </c>
      <c r="B6" s="54" t="s">
        <v>442</v>
      </c>
      <c r="C6" s="54" t="s">
        <v>414</v>
      </c>
      <c r="D6" s="54" t="s">
        <v>415</v>
      </c>
      <c r="E6" s="54" t="s">
        <v>443</v>
      </c>
      <c r="F6" s="54" t="s">
        <v>417</v>
      </c>
      <c r="G6" s="54" t="s">
        <v>418</v>
      </c>
      <c r="H6" s="58"/>
      <c r="J6" s="60">
        <f>+A6</f>
        <v>2022</v>
      </c>
      <c r="K6" s="60" t="s">
        <v>419</v>
      </c>
      <c r="L6" s="66" t="s">
        <v>414</v>
      </c>
      <c r="M6" s="66" t="s">
        <v>420</v>
      </c>
      <c r="N6" s="66" t="s">
        <v>417</v>
      </c>
      <c r="O6" s="66" t="s">
        <v>421</v>
      </c>
      <c r="Q6" s="358"/>
      <c r="R6" s="358"/>
      <c r="S6" s="358"/>
    </row>
    <row r="7" spans="1:19">
      <c r="A7" s="65" t="s">
        <v>422</v>
      </c>
      <c r="B7" s="62">
        <v>400</v>
      </c>
      <c r="C7" s="63">
        <f t="shared" ref="C7:C18" si="0">L7</f>
        <v>76</v>
      </c>
      <c r="D7" s="63">
        <f t="shared" ref="D7:D18" si="1">M7</f>
        <v>175</v>
      </c>
      <c r="E7" s="62">
        <v>100</v>
      </c>
      <c r="F7" s="63">
        <f t="shared" ref="F7:F18" si="2">N7</f>
        <v>76</v>
      </c>
      <c r="G7" s="63">
        <f t="shared" ref="G7:G18" si="3">O7</f>
        <v>80</v>
      </c>
      <c r="J7" s="367" t="s">
        <v>195</v>
      </c>
      <c r="K7" s="65" t="s">
        <v>422</v>
      </c>
      <c r="L7" s="63">
        <v>76</v>
      </c>
      <c r="M7" s="63">
        <v>175</v>
      </c>
      <c r="N7" s="63">
        <v>76</v>
      </c>
      <c r="O7" s="63">
        <v>80</v>
      </c>
      <c r="Q7" s="358"/>
      <c r="R7" s="358"/>
      <c r="S7" s="358"/>
    </row>
    <row r="8" spans="1:19">
      <c r="A8" s="65" t="s">
        <v>423</v>
      </c>
      <c r="B8" s="62">
        <v>400</v>
      </c>
      <c r="C8" s="63">
        <f t="shared" si="0"/>
        <v>80</v>
      </c>
      <c r="D8" s="63">
        <f t="shared" si="1"/>
        <v>346</v>
      </c>
      <c r="E8" s="62">
        <v>100</v>
      </c>
      <c r="F8" s="63">
        <f t="shared" si="2"/>
        <v>80</v>
      </c>
      <c r="G8" s="63">
        <f t="shared" si="3"/>
        <v>89</v>
      </c>
      <c r="J8" s="367"/>
      <c r="K8" s="65" t="s">
        <v>423</v>
      </c>
      <c r="L8" s="63">
        <v>80</v>
      </c>
      <c r="M8" s="63">
        <v>346</v>
      </c>
      <c r="N8" s="63">
        <v>80</v>
      </c>
      <c r="O8" s="63">
        <v>89</v>
      </c>
      <c r="Q8" s="358"/>
      <c r="R8" s="358"/>
      <c r="S8" s="358"/>
    </row>
    <row r="9" spans="1:19">
      <c r="A9" s="65" t="s">
        <v>424</v>
      </c>
      <c r="B9" s="62">
        <v>400</v>
      </c>
      <c r="C9" s="63">
        <f t="shared" si="0"/>
        <v>77</v>
      </c>
      <c r="D9" s="63">
        <f t="shared" si="1"/>
        <v>280</v>
      </c>
      <c r="E9" s="62">
        <v>100</v>
      </c>
      <c r="F9" s="63">
        <f t="shared" si="2"/>
        <v>77</v>
      </c>
      <c r="G9" s="63">
        <f t="shared" si="3"/>
        <v>89</v>
      </c>
      <c r="J9" s="367"/>
      <c r="K9" s="65" t="s">
        <v>424</v>
      </c>
      <c r="L9" s="63">
        <v>77</v>
      </c>
      <c r="M9" s="63">
        <v>280</v>
      </c>
      <c r="N9" s="63">
        <v>77</v>
      </c>
      <c r="O9" s="63">
        <v>89</v>
      </c>
      <c r="Q9" s="77" t="s">
        <v>425</v>
      </c>
    </row>
    <row r="10" spans="1:19" ht="14.25" customHeight="1">
      <c r="A10" s="65" t="s">
        <v>426</v>
      </c>
      <c r="B10" s="62">
        <v>400</v>
      </c>
      <c r="C10" s="63">
        <f t="shared" si="0"/>
        <v>76</v>
      </c>
      <c r="D10" s="63">
        <f t="shared" si="1"/>
        <v>183</v>
      </c>
      <c r="E10" s="62">
        <v>100</v>
      </c>
      <c r="F10" s="63">
        <f t="shared" si="2"/>
        <v>76</v>
      </c>
      <c r="G10" s="63">
        <f t="shared" si="3"/>
        <v>109</v>
      </c>
      <c r="J10" s="367"/>
      <c r="K10" s="65" t="s">
        <v>426</v>
      </c>
      <c r="L10" s="63">
        <v>76</v>
      </c>
      <c r="M10" s="63">
        <v>183</v>
      </c>
      <c r="N10" s="63">
        <v>76</v>
      </c>
      <c r="O10" s="63">
        <v>109</v>
      </c>
      <c r="Q10" s="366" t="s">
        <v>427</v>
      </c>
      <c r="R10" s="366"/>
      <c r="S10" s="366"/>
    </row>
    <row r="11" spans="1:19">
      <c r="A11" s="65" t="s">
        <v>428</v>
      </c>
      <c r="B11" s="62">
        <v>400</v>
      </c>
      <c r="C11" s="63">
        <f t="shared" si="0"/>
        <v>80</v>
      </c>
      <c r="D11" s="63">
        <f t="shared" si="1"/>
        <v>139</v>
      </c>
      <c r="E11" s="62">
        <v>100</v>
      </c>
      <c r="F11" s="63">
        <f t="shared" si="2"/>
        <v>80</v>
      </c>
      <c r="G11" s="63">
        <f t="shared" si="3"/>
        <v>90</v>
      </c>
      <c r="J11" s="367"/>
      <c r="K11" s="65" t="s">
        <v>428</v>
      </c>
      <c r="L11" s="63">
        <v>80</v>
      </c>
      <c r="M11" s="63">
        <v>139</v>
      </c>
      <c r="N11" s="63">
        <v>80</v>
      </c>
      <c r="O11" s="63">
        <v>90</v>
      </c>
      <c r="Q11" s="366"/>
      <c r="R11" s="366"/>
      <c r="S11" s="366"/>
    </row>
    <row r="12" spans="1:19">
      <c r="A12" s="65" t="s">
        <v>429</v>
      </c>
      <c r="B12" s="62">
        <v>400</v>
      </c>
      <c r="C12" s="63">
        <f t="shared" si="0"/>
        <v>78</v>
      </c>
      <c r="D12" s="63">
        <f t="shared" si="1"/>
        <v>151</v>
      </c>
      <c r="E12" s="62">
        <v>100</v>
      </c>
      <c r="F12" s="63">
        <f t="shared" si="2"/>
        <v>78</v>
      </c>
      <c r="G12" s="63">
        <f t="shared" si="3"/>
        <v>87</v>
      </c>
      <c r="J12" s="367"/>
      <c r="K12" s="65" t="s">
        <v>429</v>
      </c>
      <c r="L12" s="63">
        <v>78</v>
      </c>
      <c r="M12" s="63">
        <v>151</v>
      </c>
      <c r="N12" s="63">
        <v>78</v>
      </c>
      <c r="O12" s="63">
        <v>87</v>
      </c>
      <c r="Q12" s="366"/>
      <c r="R12" s="366"/>
      <c r="S12" s="366"/>
    </row>
    <row r="13" spans="1:19" ht="14.25" customHeight="1">
      <c r="A13" s="65" t="s">
        <v>430</v>
      </c>
      <c r="B13" s="62">
        <v>400</v>
      </c>
      <c r="C13" s="63">
        <f t="shared" si="0"/>
        <v>0</v>
      </c>
      <c r="D13" s="63">
        <f t="shared" si="1"/>
        <v>0</v>
      </c>
      <c r="E13" s="62">
        <v>100</v>
      </c>
      <c r="F13" s="63">
        <f t="shared" si="2"/>
        <v>0</v>
      </c>
      <c r="G13" s="63">
        <f t="shared" si="3"/>
        <v>0</v>
      </c>
      <c r="J13" s="367"/>
      <c r="K13" s="65" t="s">
        <v>430</v>
      </c>
      <c r="L13" s="63">
        <v>0</v>
      </c>
      <c r="M13" s="63">
        <v>0</v>
      </c>
      <c r="N13" s="63">
        <v>0</v>
      </c>
      <c r="O13" s="63">
        <v>0</v>
      </c>
      <c r="Q13" s="366" t="s">
        <v>431</v>
      </c>
      <c r="R13" s="366"/>
      <c r="S13" s="366"/>
    </row>
    <row r="14" spans="1:19">
      <c r="A14" s="65" t="s">
        <v>432</v>
      </c>
      <c r="B14" s="62">
        <v>400</v>
      </c>
      <c r="C14" s="63">
        <f t="shared" si="0"/>
        <v>80</v>
      </c>
      <c r="D14" s="63">
        <f t="shared" si="1"/>
        <v>199</v>
      </c>
      <c r="E14" s="62">
        <v>100</v>
      </c>
      <c r="F14" s="63">
        <f t="shared" si="2"/>
        <v>80</v>
      </c>
      <c r="G14" s="63">
        <f t="shared" si="3"/>
        <v>84</v>
      </c>
      <c r="J14" s="367"/>
      <c r="K14" s="65" t="s">
        <v>432</v>
      </c>
      <c r="L14" s="63">
        <v>80</v>
      </c>
      <c r="M14" s="63">
        <v>199</v>
      </c>
      <c r="N14" s="63">
        <v>80</v>
      </c>
      <c r="O14" s="63">
        <v>84</v>
      </c>
      <c r="Q14" s="366"/>
      <c r="R14" s="366"/>
      <c r="S14" s="366"/>
    </row>
    <row r="15" spans="1:19">
      <c r="A15" s="65" t="s">
        <v>433</v>
      </c>
      <c r="B15" s="62">
        <v>400</v>
      </c>
      <c r="C15" s="63">
        <f t="shared" si="0"/>
        <v>80</v>
      </c>
      <c r="D15" s="63">
        <f t="shared" si="1"/>
        <v>293</v>
      </c>
      <c r="E15" s="62">
        <v>100</v>
      </c>
      <c r="F15" s="63">
        <f t="shared" si="2"/>
        <v>80</v>
      </c>
      <c r="G15" s="63">
        <f t="shared" si="3"/>
        <v>90</v>
      </c>
      <c r="J15" s="367"/>
      <c r="K15" s="65" t="s">
        <v>433</v>
      </c>
      <c r="L15" s="63">
        <v>80</v>
      </c>
      <c r="M15" s="63">
        <v>293</v>
      </c>
      <c r="N15" s="63">
        <v>80</v>
      </c>
      <c r="O15" s="63">
        <v>90</v>
      </c>
      <c r="Q15" s="366"/>
      <c r="R15" s="366"/>
      <c r="S15" s="366"/>
    </row>
    <row r="16" spans="1:19">
      <c r="A16" s="65" t="s">
        <v>434</v>
      </c>
      <c r="B16" s="62">
        <v>400</v>
      </c>
      <c r="C16" s="63">
        <f t="shared" si="0"/>
        <v>84</v>
      </c>
      <c r="D16" s="63">
        <f t="shared" si="1"/>
        <v>225</v>
      </c>
      <c r="E16" s="62">
        <v>100</v>
      </c>
      <c r="F16" s="63">
        <f t="shared" si="2"/>
        <v>84</v>
      </c>
      <c r="G16" s="63">
        <f t="shared" si="3"/>
        <v>91</v>
      </c>
      <c r="J16" s="367"/>
      <c r="K16" s="65" t="s">
        <v>434</v>
      </c>
      <c r="L16" s="63">
        <v>84</v>
      </c>
      <c r="M16" s="63">
        <v>225</v>
      </c>
      <c r="N16" s="63">
        <v>84</v>
      </c>
      <c r="O16" s="63">
        <v>91</v>
      </c>
      <c r="Q16" s="366"/>
      <c r="R16" s="366"/>
      <c r="S16" s="366"/>
    </row>
    <row r="17" spans="1:15">
      <c r="A17" s="65" t="s">
        <v>435</v>
      </c>
      <c r="B17" s="62">
        <v>400</v>
      </c>
      <c r="C17" s="63">
        <f t="shared" si="0"/>
        <v>80</v>
      </c>
      <c r="D17" s="63">
        <f t="shared" si="1"/>
        <v>310</v>
      </c>
      <c r="E17" s="62">
        <v>100</v>
      </c>
      <c r="F17" s="63">
        <f t="shared" si="2"/>
        <v>80</v>
      </c>
      <c r="G17" s="63">
        <f t="shared" si="3"/>
        <v>91</v>
      </c>
      <c r="J17" s="367"/>
      <c r="K17" s="65" t="s">
        <v>435</v>
      </c>
      <c r="L17" s="63">
        <v>80</v>
      </c>
      <c r="M17" s="63">
        <v>310</v>
      </c>
      <c r="N17" s="63">
        <v>80</v>
      </c>
      <c r="O17" s="63">
        <v>91</v>
      </c>
    </row>
    <row r="18" spans="1:15">
      <c r="A18" s="65" t="s">
        <v>436</v>
      </c>
      <c r="B18" s="62">
        <v>400</v>
      </c>
      <c r="C18" s="63">
        <f t="shared" si="0"/>
        <v>82.7</v>
      </c>
      <c r="D18" s="63">
        <f t="shared" si="1"/>
        <v>208</v>
      </c>
      <c r="E18" s="62">
        <v>100</v>
      </c>
      <c r="F18" s="63">
        <f t="shared" si="2"/>
        <v>86</v>
      </c>
      <c r="G18" s="63">
        <f t="shared" si="3"/>
        <v>86</v>
      </c>
      <c r="J18" s="367"/>
      <c r="K18" s="65" t="s">
        <v>436</v>
      </c>
      <c r="L18" s="63">
        <v>82.7</v>
      </c>
      <c r="M18" s="63">
        <v>208</v>
      </c>
      <c r="N18" s="63">
        <v>86</v>
      </c>
      <c r="O18" s="63">
        <v>86</v>
      </c>
    </row>
    <row r="19" spans="1:15">
      <c r="J19" s="367"/>
      <c r="K19" s="61" t="s">
        <v>437</v>
      </c>
      <c r="L19" s="61">
        <f>AVERAGE(L7:L18)</f>
        <v>72.808333333333337</v>
      </c>
      <c r="M19" s="61">
        <f>MAX(M7:M18)</f>
        <v>346</v>
      </c>
      <c r="N19" s="61">
        <f>AVERAGE(N7:N18)</f>
        <v>73.083333333333329</v>
      </c>
      <c r="O19" s="61">
        <f>MAX(O7:O18)</f>
        <v>109</v>
      </c>
    </row>
    <row r="21" spans="1:15" ht="41.45">
      <c r="J21" s="60">
        <f>+A6</f>
        <v>2022</v>
      </c>
      <c r="K21" s="60" t="s">
        <v>419</v>
      </c>
      <c r="L21" s="66" t="s">
        <v>414</v>
      </c>
      <c r="M21" s="66" t="s">
        <v>420</v>
      </c>
      <c r="N21" s="66" t="s">
        <v>417</v>
      </c>
      <c r="O21" s="66" t="s">
        <v>421</v>
      </c>
    </row>
    <row r="22" spans="1:15">
      <c r="J22" s="367" t="s">
        <v>196</v>
      </c>
      <c r="K22" s="65" t="s">
        <v>422</v>
      </c>
      <c r="L22" s="63"/>
      <c r="M22" s="63"/>
      <c r="N22" s="63"/>
      <c r="O22" s="63"/>
    </row>
    <row r="23" spans="1:15">
      <c r="J23" s="367"/>
      <c r="K23" s="65" t="s">
        <v>423</v>
      </c>
      <c r="L23" s="63"/>
      <c r="M23" s="63"/>
      <c r="N23" s="63"/>
      <c r="O23" s="63"/>
    </row>
    <row r="24" spans="1:15">
      <c r="J24" s="367"/>
      <c r="K24" s="65" t="s">
        <v>424</v>
      </c>
      <c r="L24" s="63"/>
      <c r="M24" s="63"/>
      <c r="N24" s="63"/>
      <c r="O24" s="63"/>
    </row>
    <row r="25" spans="1:15">
      <c r="J25" s="367"/>
      <c r="K25" s="65" t="s">
        <v>426</v>
      </c>
      <c r="L25" s="63"/>
      <c r="M25" s="63"/>
      <c r="N25" s="63"/>
      <c r="O25" s="63"/>
    </row>
    <row r="26" spans="1:15">
      <c r="J26" s="367"/>
      <c r="K26" s="65" t="s">
        <v>428</v>
      </c>
      <c r="L26" s="63"/>
      <c r="M26" s="63"/>
      <c r="N26" s="63"/>
      <c r="O26" s="63"/>
    </row>
    <row r="27" spans="1:15">
      <c r="J27" s="367"/>
      <c r="K27" s="65" t="s">
        <v>429</v>
      </c>
      <c r="L27" s="63"/>
      <c r="M27" s="63"/>
      <c r="N27" s="63"/>
      <c r="O27" s="63"/>
    </row>
    <row r="28" spans="1:15">
      <c r="J28" s="367"/>
      <c r="K28" s="65" t="s">
        <v>430</v>
      </c>
      <c r="L28" s="63"/>
      <c r="M28" s="63"/>
      <c r="N28" s="63"/>
      <c r="O28" s="63"/>
    </row>
    <row r="29" spans="1:15">
      <c r="J29" s="367"/>
      <c r="K29" s="65" t="s">
        <v>432</v>
      </c>
      <c r="L29" s="63"/>
      <c r="M29" s="63"/>
      <c r="N29" s="63"/>
      <c r="O29" s="63"/>
    </row>
    <row r="30" spans="1:15">
      <c r="J30" s="367"/>
      <c r="K30" s="65" t="s">
        <v>433</v>
      </c>
      <c r="L30" s="63"/>
      <c r="M30" s="63"/>
      <c r="N30" s="63"/>
      <c r="O30" s="63"/>
    </row>
    <row r="31" spans="1:15">
      <c r="J31" s="367"/>
      <c r="K31" s="65" t="s">
        <v>434</v>
      </c>
      <c r="L31" s="63"/>
      <c r="M31" s="63"/>
      <c r="N31" s="63"/>
      <c r="O31" s="63"/>
    </row>
    <row r="32" spans="1:15">
      <c r="J32" s="367"/>
      <c r="K32" s="65" t="s">
        <v>435</v>
      </c>
      <c r="L32" s="63"/>
      <c r="M32" s="63"/>
      <c r="N32" s="63"/>
      <c r="O32" s="63"/>
    </row>
    <row r="33" spans="1:15">
      <c r="J33" s="367"/>
      <c r="K33" s="65" t="s">
        <v>436</v>
      </c>
      <c r="L33" s="63"/>
      <c r="M33" s="63"/>
      <c r="N33" s="63"/>
      <c r="O33" s="63"/>
    </row>
    <row r="34" spans="1:15">
      <c r="J34" s="367"/>
      <c r="K34" s="61" t="s">
        <v>437</v>
      </c>
      <c r="L34" s="61" t="e">
        <f>AVERAGE(L22:L33)</f>
        <v>#DIV/0!</v>
      </c>
      <c r="M34" s="61">
        <f>MAX(M22:M33)</f>
        <v>0</v>
      </c>
      <c r="N34" s="61" t="e">
        <f>AVERAGE(N22:N33)</f>
        <v>#DIV/0!</v>
      </c>
      <c r="O34" s="61">
        <f>MAX(O22:O33)</f>
        <v>0</v>
      </c>
    </row>
    <row r="36" spans="1:15" ht="41.45">
      <c r="J36" s="60">
        <f>+A6</f>
        <v>2022</v>
      </c>
      <c r="K36" s="60" t="s">
        <v>419</v>
      </c>
      <c r="L36" s="66" t="s">
        <v>414</v>
      </c>
      <c r="M36" s="66" t="s">
        <v>420</v>
      </c>
      <c r="N36" s="66" t="s">
        <v>417</v>
      </c>
      <c r="O36" s="66" t="s">
        <v>421</v>
      </c>
    </row>
    <row r="37" spans="1:15">
      <c r="J37" s="367" t="s">
        <v>197</v>
      </c>
      <c r="K37" s="65" t="s">
        <v>422</v>
      </c>
      <c r="L37" s="63"/>
      <c r="M37" s="63"/>
      <c r="N37" s="63"/>
      <c r="O37" s="63"/>
    </row>
    <row r="38" spans="1:15">
      <c r="J38" s="367"/>
      <c r="K38" s="65" t="s">
        <v>423</v>
      </c>
      <c r="L38" s="63"/>
      <c r="M38" s="63"/>
      <c r="N38" s="63"/>
      <c r="O38" s="63"/>
    </row>
    <row r="39" spans="1:15">
      <c r="J39" s="367"/>
      <c r="K39" s="65" t="s">
        <v>424</v>
      </c>
      <c r="L39" s="63"/>
      <c r="M39" s="63"/>
      <c r="N39" s="63"/>
      <c r="O39" s="63"/>
    </row>
    <row r="40" spans="1:15">
      <c r="J40" s="367"/>
      <c r="K40" s="65" t="s">
        <v>426</v>
      </c>
      <c r="L40" s="63"/>
      <c r="M40" s="63"/>
      <c r="N40" s="63"/>
      <c r="O40" s="63"/>
    </row>
    <row r="41" spans="1:15">
      <c r="J41" s="367"/>
      <c r="K41" s="65" t="s">
        <v>428</v>
      </c>
      <c r="L41" s="63"/>
      <c r="M41" s="63"/>
      <c r="N41" s="63"/>
      <c r="O41" s="63"/>
    </row>
    <row r="42" spans="1:15">
      <c r="J42" s="367"/>
      <c r="K42" s="65" t="s">
        <v>429</v>
      </c>
      <c r="L42" s="63"/>
      <c r="M42" s="63"/>
      <c r="N42" s="63"/>
      <c r="O42" s="63"/>
    </row>
    <row r="43" spans="1:15">
      <c r="J43" s="367"/>
      <c r="K43" s="65" t="s">
        <v>430</v>
      </c>
      <c r="L43" s="63"/>
      <c r="M43" s="63"/>
      <c r="N43" s="63"/>
      <c r="O43" s="63"/>
    </row>
    <row r="44" spans="1:15">
      <c r="J44" s="367"/>
      <c r="K44" s="65" t="s">
        <v>432</v>
      </c>
      <c r="L44" s="63"/>
      <c r="M44" s="63"/>
      <c r="N44" s="63"/>
      <c r="O44" s="63"/>
    </row>
    <row r="45" spans="1:15">
      <c r="J45" s="367"/>
      <c r="K45" s="65" t="s">
        <v>433</v>
      </c>
      <c r="L45" s="63"/>
      <c r="M45" s="63"/>
      <c r="N45" s="63"/>
      <c r="O45" s="63"/>
    </row>
    <row r="46" spans="1:15">
      <c r="J46" s="367"/>
      <c r="K46" s="65" t="s">
        <v>434</v>
      </c>
      <c r="L46" s="63"/>
      <c r="M46" s="63"/>
      <c r="N46" s="63"/>
      <c r="O46" s="63"/>
    </row>
    <row r="47" spans="1:15">
      <c r="J47" s="367"/>
      <c r="K47" s="65" t="s">
        <v>435</v>
      </c>
      <c r="L47" s="63"/>
      <c r="M47" s="63"/>
      <c r="N47" s="63"/>
      <c r="O47" s="63"/>
    </row>
    <row r="48" spans="1:15">
      <c r="A48" s="379" t="s">
        <v>325</v>
      </c>
      <c r="B48" s="380"/>
      <c r="C48" s="380"/>
      <c r="D48" s="380"/>
      <c r="E48" s="380"/>
      <c r="F48" s="380"/>
      <c r="G48" s="381"/>
      <c r="J48" s="367"/>
      <c r="K48" s="65" t="s">
        <v>436</v>
      </c>
      <c r="L48" s="63"/>
      <c r="M48" s="63"/>
      <c r="N48" s="63"/>
      <c r="O48" s="63"/>
    </row>
    <row r="49" spans="1:15">
      <c r="A49" s="370"/>
      <c r="B49" s="371"/>
      <c r="C49" s="371"/>
      <c r="D49" s="371"/>
      <c r="E49" s="371"/>
      <c r="F49" s="371"/>
      <c r="G49" s="372"/>
      <c r="J49" s="367"/>
      <c r="K49" s="61" t="s">
        <v>437</v>
      </c>
      <c r="L49" s="61" t="e">
        <f>AVERAGE(L37:L48)</f>
        <v>#DIV/0!</v>
      </c>
      <c r="M49" s="61">
        <f>MAX(M37:M48)</f>
        <v>0</v>
      </c>
      <c r="N49" s="61" t="e">
        <f>AVERAGE(N37:N48)</f>
        <v>#DIV/0!</v>
      </c>
      <c r="O49" s="61">
        <f>MAX(O37:O48)</f>
        <v>0</v>
      </c>
    </row>
    <row r="50" spans="1:15">
      <c r="A50" s="373"/>
      <c r="B50" s="374"/>
      <c r="C50" s="374"/>
      <c r="D50" s="374"/>
      <c r="E50" s="374"/>
      <c r="F50" s="374"/>
      <c r="G50" s="375"/>
    </row>
    <row r="51" spans="1:15" ht="41.45">
      <c r="A51" s="373"/>
      <c r="B51" s="374"/>
      <c r="C51" s="374"/>
      <c r="D51" s="374"/>
      <c r="E51" s="374"/>
      <c r="F51" s="374"/>
      <c r="G51" s="375"/>
      <c r="J51" s="60">
        <f>+A6</f>
        <v>2022</v>
      </c>
      <c r="K51" s="60" t="s">
        <v>419</v>
      </c>
      <c r="L51" s="66" t="s">
        <v>414</v>
      </c>
      <c r="M51" s="66" t="s">
        <v>420</v>
      </c>
      <c r="N51" s="66" t="s">
        <v>417</v>
      </c>
      <c r="O51" s="66" t="s">
        <v>421</v>
      </c>
    </row>
    <row r="52" spans="1:15">
      <c r="A52" s="376"/>
      <c r="B52" s="377"/>
      <c r="C52" s="377"/>
      <c r="D52" s="377"/>
      <c r="E52" s="377"/>
      <c r="F52" s="377"/>
      <c r="G52" s="378"/>
      <c r="J52" s="367" t="s">
        <v>198</v>
      </c>
      <c r="K52" s="65" t="s">
        <v>422</v>
      </c>
      <c r="L52" s="63"/>
      <c r="M52" s="63"/>
      <c r="N52" s="63"/>
      <c r="O52" s="63"/>
    </row>
    <row r="53" spans="1:15">
      <c r="J53" s="367"/>
      <c r="K53" s="65" t="s">
        <v>423</v>
      </c>
      <c r="L53" s="63"/>
      <c r="M53" s="63"/>
      <c r="N53" s="63"/>
      <c r="O53" s="63"/>
    </row>
    <row r="54" spans="1:15">
      <c r="J54" s="367"/>
      <c r="K54" s="65" t="s">
        <v>424</v>
      </c>
      <c r="L54" s="63"/>
      <c r="M54" s="63"/>
      <c r="N54" s="63"/>
      <c r="O54" s="63"/>
    </row>
    <row r="55" spans="1:15">
      <c r="J55" s="367"/>
      <c r="K55" s="65" t="s">
        <v>426</v>
      </c>
      <c r="L55" s="63"/>
      <c r="M55" s="63"/>
      <c r="N55" s="63"/>
      <c r="O55" s="63"/>
    </row>
    <row r="56" spans="1:15">
      <c r="J56" s="367"/>
      <c r="K56" s="65" t="s">
        <v>428</v>
      </c>
      <c r="L56" s="63"/>
      <c r="M56" s="63"/>
      <c r="N56" s="63"/>
      <c r="O56" s="63"/>
    </row>
    <row r="57" spans="1:15">
      <c r="J57" s="367"/>
      <c r="K57" s="65" t="s">
        <v>429</v>
      </c>
      <c r="L57" s="63"/>
      <c r="M57" s="63"/>
      <c r="N57" s="63"/>
      <c r="O57" s="63"/>
    </row>
    <row r="58" spans="1:15">
      <c r="J58" s="367"/>
      <c r="K58" s="65" t="s">
        <v>430</v>
      </c>
      <c r="L58" s="63"/>
      <c r="M58" s="63"/>
      <c r="N58" s="63"/>
      <c r="O58" s="63"/>
    </row>
    <row r="59" spans="1:15">
      <c r="J59" s="367"/>
      <c r="K59" s="65" t="s">
        <v>432</v>
      </c>
      <c r="L59" s="63"/>
      <c r="M59" s="63"/>
      <c r="N59" s="63"/>
      <c r="O59" s="63"/>
    </row>
    <row r="60" spans="1:15">
      <c r="J60" s="367"/>
      <c r="K60" s="65" t="s">
        <v>433</v>
      </c>
      <c r="L60" s="63"/>
      <c r="M60" s="63"/>
      <c r="N60" s="63"/>
      <c r="O60" s="63"/>
    </row>
    <row r="61" spans="1:15">
      <c r="J61" s="367"/>
      <c r="K61" s="65" t="s">
        <v>434</v>
      </c>
      <c r="L61" s="63"/>
      <c r="M61" s="63"/>
      <c r="N61" s="63"/>
      <c r="O61" s="63"/>
    </row>
    <row r="62" spans="1:15">
      <c r="J62" s="367"/>
      <c r="K62" s="65" t="s">
        <v>435</v>
      </c>
      <c r="L62" s="63"/>
      <c r="M62" s="63"/>
      <c r="N62" s="63"/>
      <c r="O62" s="63"/>
    </row>
    <row r="63" spans="1:15">
      <c r="J63" s="367"/>
      <c r="K63" s="65" t="s">
        <v>436</v>
      </c>
      <c r="L63" s="63"/>
      <c r="M63" s="63"/>
      <c r="N63" s="63"/>
      <c r="O63" s="63"/>
    </row>
    <row r="64" spans="1:15">
      <c r="J64" s="367"/>
      <c r="K64" s="61" t="s">
        <v>437</v>
      </c>
      <c r="L64" s="61" t="e">
        <f>AVERAGE(L52:L63)</f>
        <v>#DIV/0!</v>
      </c>
      <c r="M64" s="61">
        <f>MAX(M52:M63)</f>
        <v>0</v>
      </c>
      <c r="N64" s="61" t="e">
        <f>AVERAGE(N52:N63)</f>
        <v>#DIV/0!</v>
      </c>
      <c r="O64" s="61">
        <f>MAX(O52:O63)</f>
        <v>0</v>
      </c>
    </row>
    <row r="66" spans="10:15" ht="41.45">
      <c r="J66" s="60">
        <f>+A6</f>
        <v>2022</v>
      </c>
      <c r="K66" s="60" t="s">
        <v>419</v>
      </c>
      <c r="L66" s="66" t="s">
        <v>414</v>
      </c>
      <c r="M66" s="66" t="s">
        <v>420</v>
      </c>
      <c r="N66" s="66" t="s">
        <v>417</v>
      </c>
      <c r="O66" s="66" t="s">
        <v>421</v>
      </c>
    </row>
    <row r="67" spans="10:15">
      <c r="J67" s="367" t="s">
        <v>199</v>
      </c>
      <c r="K67" s="65" t="s">
        <v>422</v>
      </c>
      <c r="L67" s="63"/>
      <c r="M67" s="63"/>
      <c r="N67" s="63"/>
      <c r="O67" s="63"/>
    </row>
    <row r="68" spans="10:15">
      <c r="J68" s="367"/>
      <c r="K68" s="65" t="s">
        <v>423</v>
      </c>
      <c r="L68" s="63"/>
      <c r="M68" s="63"/>
      <c r="N68" s="63"/>
      <c r="O68" s="63"/>
    </row>
    <row r="69" spans="10:15">
      <c r="J69" s="367"/>
      <c r="K69" s="65" t="s">
        <v>424</v>
      </c>
      <c r="L69" s="63"/>
      <c r="M69" s="63"/>
      <c r="N69" s="63"/>
      <c r="O69" s="63"/>
    </row>
    <row r="70" spans="10:15">
      <c r="J70" s="367"/>
      <c r="K70" s="65" t="s">
        <v>426</v>
      </c>
      <c r="L70" s="63"/>
      <c r="M70" s="63"/>
      <c r="N70" s="63"/>
      <c r="O70" s="63"/>
    </row>
    <row r="71" spans="10:15">
      <c r="J71" s="367"/>
      <c r="K71" s="65" t="s">
        <v>428</v>
      </c>
      <c r="L71" s="63"/>
      <c r="M71" s="63"/>
      <c r="N71" s="63"/>
      <c r="O71" s="63"/>
    </row>
    <row r="72" spans="10:15">
      <c r="J72" s="367"/>
      <c r="K72" s="65" t="s">
        <v>429</v>
      </c>
      <c r="L72" s="63"/>
      <c r="M72" s="63"/>
      <c r="N72" s="63"/>
      <c r="O72" s="63"/>
    </row>
    <row r="73" spans="10:15">
      <c r="J73" s="367"/>
      <c r="K73" s="65" t="s">
        <v>430</v>
      </c>
      <c r="L73" s="63"/>
      <c r="M73" s="63"/>
      <c r="N73" s="63"/>
      <c r="O73" s="63"/>
    </row>
    <row r="74" spans="10:15">
      <c r="J74" s="367"/>
      <c r="K74" s="65" t="s">
        <v>432</v>
      </c>
      <c r="L74" s="63"/>
      <c r="M74" s="63"/>
      <c r="N74" s="63"/>
      <c r="O74" s="63"/>
    </row>
    <row r="75" spans="10:15">
      <c r="J75" s="367"/>
      <c r="K75" s="65" t="s">
        <v>433</v>
      </c>
      <c r="L75" s="63"/>
      <c r="M75" s="63"/>
      <c r="N75" s="63"/>
      <c r="O75" s="63"/>
    </row>
    <row r="76" spans="10:15">
      <c r="J76" s="367"/>
      <c r="K76" s="65" t="s">
        <v>434</v>
      </c>
      <c r="L76" s="63"/>
      <c r="M76" s="63"/>
      <c r="N76" s="63"/>
      <c r="O76" s="63"/>
    </row>
    <row r="77" spans="10:15">
      <c r="J77" s="367"/>
      <c r="K77" s="65" t="s">
        <v>435</v>
      </c>
      <c r="L77" s="63"/>
      <c r="M77" s="63"/>
      <c r="N77" s="63"/>
      <c r="O77" s="63"/>
    </row>
    <row r="78" spans="10:15">
      <c r="J78" s="367"/>
      <c r="K78" s="65" t="s">
        <v>436</v>
      </c>
      <c r="L78" s="63"/>
      <c r="M78" s="63"/>
      <c r="N78" s="63"/>
      <c r="O78" s="63"/>
    </row>
    <row r="79" spans="10:15">
      <c r="J79" s="367"/>
      <c r="K79" s="61" t="s">
        <v>437</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view="pageBreakPreview" zoomScale="115" zoomScaleNormal="100" zoomScaleSheetLayoutView="115" workbookViewId="0">
      <selection activeCell="N7" sqref="N7"/>
    </sheetView>
  </sheetViews>
  <sheetFormatPr defaultRowHeight="13.9"/>
  <cols>
    <col min="1" max="1" width="14" style="3" customWidth="1"/>
    <col min="2" max="4" width="17" style="34" customWidth="1"/>
    <col min="5" max="5" width="14.7109375" style="34" customWidth="1"/>
    <col min="6" max="7" width="17" style="34"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Charlton Lane Eco Park</v>
      </c>
    </row>
    <row r="3" spans="1:19" ht="14.45">
      <c r="A3" s="59" t="s">
        <v>444</v>
      </c>
      <c r="D3" s="75" t="s">
        <v>406</v>
      </c>
      <c r="G3" s="79" t="s">
        <v>407</v>
      </c>
      <c r="J3" s="9" t="str">
        <f>+A3</f>
        <v>Monitoring of Total organic carbon emissions</v>
      </c>
      <c r="L3" s="9"/>
      <c r="N3" s="9" t="s">
        <v>408</v>
      </c>
      <c r="Q3" s="78" t="s">
        <v>3</v>
      </c>
      <c r="R3" s="73"/>
      <c r="S3" s="73"/>
    </row>
    <row r="4" spans="1:19" ht="13.9" customHeight="1">
      <c r="Q4" s="358" t="s">
        <v>409</v>
      </c>
      <c r="R4" s="358"/>
      <c r="S4" s="358"/>
    </row>
    <row r="5" spans="1:19" ht="16.149999999999999">
      <c r="A5" s="67" t="s">
        <v>410</v>
      </c>
      <c r="B5" s="369" t="s">
        <v>411</v>
      </c>
      <c r="C5" s="369"/>
      <c r="D5" s="369"/>
      <c r="E5" s="369" t="s">
        <v>412</v>
      </c>
      <c r="F5" s="369"/>
      <c r="G5" s="369"/>
      <c r="J5" s="368"/>
      <c r="K5" s="368"/>
      <c r="L5" s="368"/>
      <c r="M5" s="368"/>
      <c r="N5" s="368"/>
      <c r="O5" s="368"/>
      <c r="Q5" s="358"/>
      <c r="R5" s="358"/>
      <c r="S5" s="358"/>
    </row>
    <row r="6" spans="1:19" s="57" customFormat="1" ht="37.5" customHeight="1">
      <c r="A6" s="64">
        <f>+'Cover Page'!C39</f>
        <v>2022</v>
      </c>
      <c r="B6" s="54" t="s">
        <v>445</v>
      </c>
      <c r="C6" s="54" t="s">
        <v>414</v>
      </c>
      <c r="D6" s="54" t="s">
        <v>415</v>
      </c>
      <c r="E6" s="54" t="s">
        <v>446</v>
      </c>
      <c r="F6" s="54" t="s">
        <v>417</v>
      </c>
      <c r="G6" s="54" t="s">
        <v>418</v>
      </c>
      <c r="H6" s="58"/>
      <c r="J6" s="60">
        <f>+A6</f>
        <v>2022</v>
      </c>
      <c r="K6" s="60" t="s">
        <v>419</v>
      </c>
      <c r="L6" s="66" t="s">
        <v>414</v>
      </c>
      <c r="M6" s="66" t="s">
        <v>420</v>
      </c>
      <c r="N6" s="66" t="s">
        <v>417</v>
      </c>
      <c r="O6" s="66" t="s">
        <v>421</v>
      </c>
      <c r="Q6" s="358"/>
      <c r="R6" s="358"/>
      <c r="S6" s="358"/>
    </row>
    <row r="7" spans="1:19">
      <c r="A7" s="65" t="s">
        <v>422</v>
      </c>
      <c r="B7" s="62">
        <v>20</v>
      </c>
      <c r="C7" s="63">
        <f t="shared" ref="C7:C18" si="0">L7</f>
        <v>0.8</v>
      </c>
      <c r="D7" s="63">
        <f t="shared" ref="D7:D18" si="1">M7</f>
        <v>11.4</v>
      </c>
      <c r="E7" s="62">
        <v>10</v>
      </c>
      <c r="F7" s="63">
        <f t="shared" ref="F7:F18" si="2">N7</f>
        <v>0.8</v>
      </c>
      <c r="G7" s="63">
        <f t="shared" ref="G7:G18" si="3">O7</f>
        <v>1.1000000000000001</v>
      </c>
      <c r="J7" s="367" t="s">
        <v>195</v>
      </c>
      <c r="K7" s="65" t="s">
        <v>422</v>
      </c>
      <c r="L7" s="63">
        <v>0.8</v>
      </c>
      <c r="M7" s="63">
        <v>11.4</v>
      </c>
      <c r="N7" s="63">
        <v>0.8</v>
      </c>
      <c r="O7" s="63">
        <v>1.1000000000000001</v>
      </c>
      <c r="Q7" s="358"/>
      <c r="R7" s="358"/>
      <c r="S7" s="358"/>
    </row>
    <row r="8" spans="1:19">
      <c r="A8" s="65" t="s">
        <v>423</v>
      </c>
      <c r="B8" s="62">
        <v>20</v>
      </c>
      <c r="C8" s="63">
        <f t="shared" si="0"/>
        <v>0.7</v>
      </c>
      <c r="D8" s="63">
        <f t="shared" si="1"/>
        <v>20.399999999999999</v>
      </c>
      <c r="E8" s="62">
        <v>10</v>
      </c>
      <c r="F8" s="63">
        <f t="shared" si="2"/>
        <v>0.7</v>
      </c>
      <c r="G8" s="63">
        <f t="shared" si="3"/>
        <v>1.2</v>
      </c>
      <c r="J8" s="367"/>
      <c r="K8" s="65" t="s">
        <v>423</v>
      </c>
      <c r="L8" s="63">
        <v>0.7</v>
      </c>
      <c r="M8" s="63">
        <v>20.399999999999999</v>
      </c>
      <c r="N8" s="63">
        <v>0.7</v>
      </c>
      <c r="O8" s="63">
        <v>1.2</v>
      </c>
      <c r="Q8" s="358"/>
      <c r="R8" s="358"/>
      <c r="S8" s="358"/>
    </row>
    <row r="9" spans="1:19">
      <c r="A9" s="65" t="s">
        <v>424</v>
      </c>
      <c r="B9" s="62">
        <v>20</v>
      </c>
      <c r="C9" s="63">
        <f t="shared" si="0"/>
        <v>0.6</v>
      </c>
      <c r="D9" s="63">
        <f t="shared" si="1"/>
        <v>2.6</v>
      </c>
      <c r="E9" s="62">
        <v>10</v>
      </c>
      <c r="F9" s="63">
        <f t="shared" si="2"/>
        <v>0.6</v>
      </c>
      <c r="G9" s="63">
        <f t="shared" si="3"/>
        <v>0.8</v>
      </c>
      <c r="J9" s="367"/>
      <c r="K9" s="65" t="s">
        <v>424</v>
      </c>
      <c r="L9" s="63">
        <v>0.6</v>
      </c>
      <c r="M9" s="63">
        <v>2.6</v>
      </c>
      <c r="N9" s="63">
        <v>0.6</v>
      </c>
      <c r="O9" s="63">
        <v>0.8</v>
      </c>
      <c r="Q9" s="77" t="s">
        <v>425</v>
      </c>
    </row>
    <row r="10" spans="1:19" ht="14.25" customHeight="1">
      <c r="A10" s="65" t="s">
        <v>426</v>
      </c>
      <c r="B10" s="62">
        <v>20</v>
      </c>
      <c r="C10" s="63">
        <f t="shared" si="0"/>
        <v>1</v>
      </c>
      <c r="D10" s="63">
        <f t="shared" si="1"/>
        <v>4</v>
      </c>
      <c r="E10" s="62">
        <v>10</v>
      </c>
      <c r="F10" s="63">
        <f t="shared" si="2"/>
        <v>1</v>
      </c>
      <c r="G10" s="63">
        <f t="shared" si="3"/>
        <v>1</v>
      </c>
      <c r="J10" s="367"/>
      <c r="K10" s="65" t="s">
        <v>426</v>
      </c>
      <c r="L10" s="63">
        <v>1</v>
      </c>
      <c r="M10" s="63">
        <v>4</v>
      </c>
      <c r="N10" s="63">
        <v>1</v>
      </c>
      <c r="O10" s="63">
        <v>1</v>
      </c>
      <c r="Q10" s="366" t="s">
        <v>427</v>
      </c>
      <c r="R10" s="366"/>
      <c r="S10" s="366"/>
    </row>
    <row r="11" spans="1:19">
      <c r="A11" s="65" t="s">
        <v>428</v>
      </c>
      <c r="B11" s="62">
        <v>20</v>
      </c>
      <c r="C11" s="63">
        <f t="shared" si="0"/>
        <v>1</v>
      </c>
      <c r="D11" s="63">
        <f t="shared" si="1"/>
        <v>5</v>
      </c>
      <c r="E11" s="62">
        <v>10</v>
      </c>
      <c r="F11" s="63">
        <f t="shared" si="2"/>
        <v>1</v>
      </c>
      <c r="G11" s="63">
        <f t="shared" si="3"/>
        <v>1</v>
      </c>
      <c r="J11" s="367"/>
      <c r="K11" s="65" t="s">
        <v>428</v>
      </c>
      <c r="L11" s="63">
        <v>1</v>
      </c>
      <c r="M11" s="63">
        <v>5</v>
      </c>
      <c r="N11" s="63">
        <v>1</v>
      </c>
      <c r="O11" s="63">
        <v>1</v>
      </c>
      <c r="Q11" s="366"/>
      <c r="R11" s="366"/>
      <c r="S11" s="366"/>
    </row>
    <row r="12" spans="1:19">
      <c r="A12" s="65" t="s">
        <v>429</v>
      </c>
      <c r="B12" s="62">
        <v>20</v>
      </c>
      <c r="C12" s="63">
        <f t="shared" si="0"/>
        <v>1</v>
      </c>
      <c r="D12" s="63">
        <f t="shared" si="1"/>
        <v>5</v>
      </c>
      <c r="E12" s="62">
        <v>10</v>
      </c>
      <c r="F12" s="63">
        <f t="shared" si="2"/>
        <v>1</v>
      </c>
      <c r="G12" s="63">
        <f t="shared" si="3"/>
        <v>1</v>
      </c>
      <c r="J12" s="367"/>
      <c r="K12" s="65" t="s">
        <v>429</v>
      </c>
      <c r="L12" s="63">
        <v>1</v>
      </c>
      <c r="M12" s="63">
        <v>5</v>
      </c>
      <c r="N12" s="63">
        <v>1</v>
      </c>
      <c r="O12" s="63">
        <v>1</v>
      </c>
      <c r="Q12" s="366"/>
      <c r="R12" s="366"/>
      <c r="S12" s="366"/>
    </row>
    <row r="13" spans="1:19" ht="14.25" customHeight="1">
      <c r="A13" s="65" t="s">
        <v>430</v>
      </c>
      <c r="B13" s="62">
        <v>20</v>
      </c>
      <c r="C13" s="63">
        <f t="shared" si="0"/>
        <v>0</v>
      </c>
      <c r="D13" s="63">
        <f t="shared" si="1"/>
        <v>0</v>
      </c>
      <c r="E13" s="62">
        <v>10</v>
      </c>
      <c r="F13" s="63">
        <f t="shared" si="2"/>
        <v>0</v>
      </c>
      <c r="G13" s="63">
        <f t="shared" si="3"/>
        <v>0</v>
      </c>
      <c r="J13" s="367"/>
      <c r="K13" s="65" t="s">
        <v>430</v>
      </c>
      <c r="L13" s="63">
        <v>0</v>
      </c>
      <c r="M13" s="63">
        <v>0</v>
      </c>
      <c r="N13" s="63">
        <v>0</v>
      </c>
      <c r="O13" s="63">
        <v>0</v>
      </c>
      <c r="Q13" s="366" t="s">
        <v>431</v>
      </c>
      <c r="R13" s="366"/>
      <c r="S13" s="366"/>
    </row>
    <row r="14" spans="1:19">
      <c r="A14" s="65" t="s">
        <v>432</v>
      </c>
      <c r="B14" s="62">
        <v>20</v>
      </c>
      <c r="C14" s="63">
        <f t="shared" si="0"/>
        <v>0</v>
      </c>
      <c r="D14" s="63">
        <f t="shared" si="1"/>
        <v>4</v>
      </c>
      <c r="E14" s="62">
        <v>10</v>
      </c>
      <c r="F14" s="63">
        <f t="shared" si="2"/>
        <v>0</v>
      </c>
      <c r="G14" s="63">
        <f t="shared" si="3"/>
        <v>1</v>
      </c>
      <c r="J14" s="367"/>
      <c r="K14" s="65" t="s">
        <v>432</v>
      </c>
      <c r="L14" s="63">
        <v>0</v>
      </c>
      <c r="M14" s="63">
        <v>4</v>
      </c>
      <c r="N14" s="63">
        <v>0</v>
      </c>
      <c r="O14" s="63">
        <v>1</v>
      </c>
      <c r="Q14" s="366"/>
      <c r="R14" s="366"/>
      <c r="S14" s="366"/>
    </row>
    <row r="15" spans="1:19">
      <c r="A15" s="65" t="s">
        <v>433</v>
      </c>
      <c r="B15" s="62">
        <v>20</v>
      </c>
      <c r="C15" s="63">
        <f t="shared" si="0"/>
        <v>1</v>
      </c>
      <c r="D15" s="63">
        <f t="shared" si="1"/>
        <v>9</v>
      </c>
      <c r="E15" s="62">
        <v>10</v>
      </c>
      <c r="F15" s="63">
        <f t="shared" si="2"/>
        <v>1</v>
      </c>
      <c r="G15" s="63">
        <f t="shared" si="3"/>
        <v>1</v>
      </c>
      <c r="J15" s="367"/>
      <c r="K15" s="65" t="s">
        <v>433</v>
      </c>
      <c r="L15" s="63">
        <v>1</v>
      </c>
      <c r="M15" s="63">
        <v>9</v>
      </c>
      <c r="N15" s="63">
        <v>1</v>
      </c>
      <c r="O15" s="63">
        <v>1</v>
      </c>
      <c r="Q15" s="366"/>
      <c r="R15" s="366"/>
      <c r="S15" s="366"/>
    </row>
    <row r="16" spans="1:19">
      <c r="A16" s="65" t="s">
        <v>434</v>
      </c>
      <c r="B16" s="62">
        <v>20</v>
      </c>
      <c r="C16" s="63">
        <f t="shared" si="0"/>
        <v>1</v>
      </c>
      <c r="D16" s="63">
        <f t="shared" si="1"/>
        <v>7</v>
      </c>
      <c r="E16" s="62">
        <v>10</v>
      </c>
      <c r="F16" s="63">
        <f t="shared" si="2"/>
        <v>1</v>
      </c>
      <c r="G16" s="63">
        <f t="shared" si="3"/>
        <v>1</v>
      </c>
      <c r="J16" s="367"/>
      <c r="K16" s="65" t="s">
        <v>434</v>
      </c>
      <c r="L16" s="63">
        <v>1</v>
      </c>
      <c r="M16" s="63">
        <v>7</v>
      </c>
      <c r="N16" s="63">
        <v>1</v>
      </c>
      <c r="O16" s="63">
        <v>1</v>
      </c>
      <c r="Q16" s="366"/>
      <c r="R16" s="366"/>
      <c r="S16" s="366"/>
    </row>
    <row r="17" spans="1:15">
      <c r="A17" s="65" t="s">
        <v>435</v>
      </c>
      <c r="B17" s="62">
        <v>20</v>
      </c>
      <c r="C17" s="63">
        <f t="shared" si="0"/>
        <v>1</v>
      </c>
      <c r="D17" s="63">
        <f t="shared" si="1"/>
        <v>13</v>
      </c>
      <c r="E17" s="62">
        <v>10</v>
      </c>
      <c r="F17" s="63">
        <f t="shared" si="2"/>
        <v>1</v>
      </c>
      <c r="G17" s="63">
        <f t="shared" si="3"/>
        <v>1</v>
      </c>
      <c r="J17" s="367"/>
      <c r="K17" s="65" t="s">
        <v>435</v>
      </c>
      <c r="L17" s="63">
        <v>1</v>
      </c>
      <c r="M17" s="63">
        <v>13</v>
      </c>
      <c r="N17" s="63">
        <v>1</v>
      </c>
      <c r="O17" s="63">
        <v>1</v>
      </c>
    </row>
    <row r="18" spans="1:15">
      <c r="A18" s="65" t="s">
        <v>436</v>
      </c>
      <c r="B18" s="62">
        <v>20</v>
      </c>
      <c r="C18" s="63">
        <f t="shared" si="0"/>
        <v>1</v>
      </c>
      <c r="D18" s="63">
        <f t="shared" si="1"/>
        <v>6</v>
      </c>
      <c r="E18" s="62">
        <v>10</v>
      </c>
      <c r="F18" s="63">
        <f t="shared" si="2"/>
        <v>1</v>
      </c>
      <c r="G18" s="63">
        <f t="shared" si="3"/>
        <v>1</v>
      </c>
      <c r="J18" s="367"/>
      <c r="K18" s="65" t="s">
        <v>436</v>
      </c>
      <c r="L18" s="63">
        <v>1</v>
      </c>
      <c r="M18" s="63">
        <v>6</v>
      </c>
      <c r="N18" s="63">
        <v>1</v>
      </c>
      <c r="O18" s="63">
        <v>1</v>
      </c>
    </row>
    <row r="19" spans="1:15">
      <c r="J19" s="367"/>
      <c r="K19" s="61" t="s">
        <v>437</v>
      </c>
      <c r="L19" s="61">
        <f>AVERAGE(L7:L18)</f>
        <v>0.7583333333333333</v>
      </c>
      <c r="M19" s="61">
        <f>MAX(M7:M18)</f>
        <v>20.399999999999999</v>
      </c>
      <c r="N19" s="61">
        <f>AVERAGE(N7:N18)</f>
        <v>0.7583333333333333</v>
      </c>
      <c r="O19" s="61">
        <f>MAX(O7:O18)</f>
        <v>1.2</v>
      </c>
    </row>
    <row r="21" spans="1:15" ht="41.45">
      <c r="J21" s="60">
        <f>+A6</f>
        <v>2022</v>
      </c>
      <c r="K21" s="60" t="s">
        <v>419</v>
      </c>
      <c r="L21" s="66" t="s">
        <v>414</v>
      </c>
      <c r="M21" s="66" t="s">
        <v>420</v>
      </c>
      <c r="N21" s="66" t="s">
        <v>417</v>
      </c>
      <c r="O21" s="66" t="s">
        <v>421</v>
      </c>
    </row>
    <row r="22" spans="1:15">
      <c r="J22" s="367" t="s">
        <v>196</v>
      </c>
      <c r="K22" s="65" t="s">
        <v>422</v>
      </c>
      <c r="L22" s="63"/>
      <c r="M22" s="63"/>
      <c r="N22" s="63"/>
      <c r="O22" s="63"/>
    </row>
    <row r="23" spans="1:15">
      <c r="J23" s="367"/>
      <c r="K23" s="65" t="s">
        <v>423</v>
      </c>
      <c r="L23" s="63"/>
      <c r="M23" s="63"/>
      <c r="N23" s="63"/>
      <c r="O23" s="63"/>
    </row>
    <row r="24" spans="1:15">
      <c r="J24" s="367"/>
      <c r="K24" s="65" t="s">
        <v>424</v>
      </c>
      <c r="L24" s="63"/>
      <c r="M24" s="63"/>
      <c r="N24" s="63"/>
      <c r="O24" s="63"/>
    </row>
    <row r="25" spans="1:15">
      <c r="J25" s="367"/>
      <c r="K25" s="65" t="s">
        <v>426</v>
      </c>
      <c r="L25" s="63"/>
      <c r="M25" s="63"/>
      <c r="N25" s="63"/>
      <c r="O25" s="63"/>
    </row>
    <row r="26" spans="1:15">
      <c r="J26" s="367"/>
      <c r="K26" s="65" t="s">
        <v>428</v>
      </c>
      <c r="L26" s="63"/>
      <c r="M26" s="63"/>
      <c r="N26" s="63"/>
      <c r="O26" s="63"/>
    </row>
    <row r="27" spans="1:15">
      <c r="J27" s="367"/>
      <c r="K27" s="65" t="s">
        <v>429</v>
      </c>
      <c r="L27" s="63"/>
      <c r="M27" s="63"/>
      <c r="N27" s="63"/>
      <c r="O27" s="63"/>
    </row>
    <row r="28" spans="1:15">
      <c r="J28" s="367"/>
      <c r="K28" s="65" t="s">
        <v>430</v>
      </c>
      <c r="L28" s="63"/>
      <c r="M28" s="63"/>
      <c r="N28" s="63"/>
      <c r="O28" s="63"/>
    </row>
    <row r="29" spans="1:15">
      <c r="J29" s="367"/>
      <c r="K29" s="65" t="s">
        <v>432</v>
      </c>
      <c r="L29" s="63"/>
      <c r="M29" s="63"/>
      <c r="N29" s="63"/>
      <c r="O29" s="63"/>
    </row>
    <row r="30" spans="1:15">
      <c r="J30" s="367"/>
      <c r="K30" s="65" t="s">
        <v>433</v>
      </c>
      <c r="L30" s="63"/>
      <c r="M30" s="63"/>
      <c r="N30" s="63"/>
      <c r="O30" s="63"/>
    </row>
    <row r="31" spans="1:15">
      <c r="J31" s="367"/>
      <c r="K31" s="65" t="s">
        <v>434</v>
      </c>
      <c r="L31" s="63"/>
      <c r="M31" s="63"/>
      <c r="N31" s="63"/>
      <c r="O31" s="63"/>
    </row>
    <row r="32" spans="1:15">
      <c r="J32" s="367"/>
      <c r="K32" s="65" t="s">
        <v>435</v>
      </c>
      <c r="L32" s="63"/>
      <c r="M32" s="63"/>
      <c r="N32" s="63"/>
      <c r="O32" s="63"/>
    </row>
    <row r="33" spans="1:15">
      <c r="J33" s="367"/>
      <c r="K33" s="65" t="s">
        <v>436</v>
      </c>
      <c r="L33" s="63"/>
      <c r="M33" s="63"/>
      <c r="N33" s="63"/>
      <c r="O33" s="63"/>
    </row>
    <row r="34" spans="1:15">
      <c r="J34" s="367"/>
      <c r="K34" s="61" t="s">
        <v>437</v>
      </c>
      <c r="L34" s="61" t="e">
        <f>AVERAGE(L22:L33)</f>
        <v>#DIV/0!</v>
      </c>
      <c r="M34" s="61">
        <f>MAX(M22:M33)</f>
        <v>0</v>
      </c>
      <c r="N34" s="61" t="e">
        <f>AVERAGE(N22:N33)</f>
        <v>#DIV/0!</v>
      </c>
      <c r="O34" s="61">
        <f>MAX(O22:O33)</f>
        <v>0</v>
      </c>
    </row>
    <row r="36" spans="1:15" ht="41.45">
      <c r="J36" s="60">
        <f>+A6</f>
        <v>2022</v>
      </c>
      <c r="K36" s="60" t="s">
        <v>419</v>
      </c>
      <c r="L36" s="66" t="s">
        <v>414</v>
      </c>
      <c r="M36" s="66" t="s">
        <v>420</v>
      </c>
      <c r="N36" s="66" t="s">
        <v>417</v>
      </c>
      <c r="O36" s="66" t="s">
        <v>421</v>
      </c>
    </row>
    <row r="37" spans="1:15">
      <c r="J37" s="367" t="s">
        <v>197</v>
      </c>
      <c r="K37" s="65" t="s">
        <v>422</v>
      </c>
      <c r="L37" s="63"/>
      <c r="M37" s="63"/>
      <c r="N37" s="63"/>
      <c r="O37" s="63"/>
    </row>
    <row r="38" spans="1:15">
      <c r="J38" s="367"/>
      <c r="K38" s="65" t="s">
        <v>423</v>
      </c>
      <c r="L38" s="63"/>
      <c r="M38" s="63"/>
      <c r="N38" s="63"/>
      <c r="O38" s="63"/>
    </row>
    <row r="39" spans="1:15">
      <c r="J39" s="367"/>
      <c r="K39" s="65" t="s">
        <v>424</v>
      </c>
      <c r="L39" s="63"/>
      <c r="M39" s="63"/>
      <c r="N39" s="63"/>
      <c r="O39" s="63"/>
    </row>
    <row r="40" spans="1:15">
      <c r="J40" s="367"/>
      <c r="K40" s="65" t="s">
        <v>426</v>
      </c>
      <c r="L40" s="63"/>
      <c r="M40" s="63"/>
      <c r="N40" s="63"/>
      <c r="O40" s="63"/>
    </row>
    <row r="41" spans="1:15">
      <c r="J41" s="367"/>
      <c r="K41" s="65" t="s">
        <v>428</v>
      </c>
      <c r="L41" s="63"/>
      <c r="M41" s="63"/>
      <c r="N41" s="63"/>
      <c r="O41" s="63"/>
    </row>
    <row r="42" spans="1:15">
      <c r="J42" s="367"/>
      <c r="K42" s="65" t="s">
        <v>429</v>
      </c>
      <c r="L42" s="63"/>
      <c r="M42" s="63"/>
      <c r="N42" s="63"/>
      <c r="O42" s="63"/>
    </row>
    <row r="43" spans="1:15">
      <c r="J43" s="367"/>
      <c r="K43" s="65" t="s">
        <v>430</v>
      </c>
      <c r="L43" s="63"/>
      <c r="M43" s="63"/>
      <c r="N43" s="63"/>
      <c r="O43" s="63"/>
    </row>
    <row r="44" spans="1:15">
      <c r="J44" s="367"/>
      <c r="K44" s="65" t="s">
        <v>432</v>
      </c>
      <c r="L44" s="63"/>
      <c r="M44" s="63"/>
      <c r="N44" s="63"/>
      <c r="O44" s="63"/>
    </row>
    <row r="45" spans="1:15">
      <c r="J45" s="367"/>
      <c r="K45" s="65" t="s">
        <v>433</v>
      </c>
      <c r="L45" s="63"/>
      <c r="M45" s="63"/>
      <c r="N45" s="63"/>
      <c r="O45" s="63"/>
    </row>
    <row r="46" spans="1:15">
      <c r="J46" s="367"/>
      <c r="K46" s="65" t="s">
        <v>434</v>
      </c>
      <c r="L46" s="63"/>
      <c r="M46" s="63"/>
      <c r="N46" s="63"/>
      <c r="O46" s="63"/>
    </row>
    <row r="47" spans="1:15">
      <c r="J47" s="367"/>
      <c r="K47" s="65" t="s">
        <v>435</v>
      </c>
      <c r="L47" s="63"/>
      <c r="M47" s="63"/>
      <c r="N47" s="63"/>
      <c r="O47" s="63"/>
    </row>
    <row r="48" spans="1:15">
      <c r="A48" s="379" t="s">
        <v>325</v>
      </c>
      <c r="B48" s="380"/>
      <c r="C48" s="380"/>
      <c r="D48" s="380"/>
      <c r="E48" s="380"/>
      <c r="F48" s="380"/>
      <c r="G48" s="381"/>
      <c r="J48" s="367"/>
      <c r="K48" s="65" t="s">
        <v>436</v>
      </c>
      <c r="L48" s="63"/>
      <c r="M48" s="63"/>
      <c r="N48" s="63"/>
      <c r="O48" s="63"/>
    </row>
    <row r="49" spans="1:15">
      <c r="A49" s="370"/>
      <c r="B49" s="371"/>
      <c r="C49" s="371"/>
      <c r="D49" s="371"/>
      <c r="E49" s="371"/>
      <c r="F49" s="371"/>
      <c r="G49" s="372"/>
      <c r="J49" s="367"/>
      <c r="K49" s="61" t="s">
        <v>437</v>
      </c>
      <c r="L49" s="61" t="e">
        <f>AVERAGE(L37:L48)</f>
        <v>#DIV/0!</v>
      </c>
      <c r="M49" s="61">
        <f>MAX(M37:M48)</f>
        <v>0</v>
      </c>
      <c r="N49" s="61" t="e">
        <f>AVERAGE(N37:N48)</f>
        <v>#DIV/0!</v>
      </c>
      <c r="O49" s="61">
        <f>MAX(O37:O48)</f>
        <v>0</v>
      </c>
    </row>
    <row r="50" spans="1:15">
      <c r="A50" s="373"/>
      <c r="B50" s="374"/>
      <c r="C50" s="374"/>
      <c r="D50" s="374"/>
      <c r="E50" s="374"/>
      <c r="F50" s="374"/>
      <c r="G50" s="375"/>
    </row>
    <row r="51" spans="1:15" ht="41.45">
      <c r="A51" s="373"/>
      <c r="B51" s="374"/>
      <c r="C51" s="374"/>
      <c r="D51" s="374"/>
      <c r="E51" s="374"/>
      <c r="F51" s="374"/>
      <c r="G51" s="375"/>
      <c r="J51" s="60">
        <f>+A6</f>
        <v>2022</v>
      </c>
      <c r="K51" s="60" t="s">
        <v>419</v>
      </c>
      <c r="L51" s="66" t="s">
        <v>414</v>
      </c>
      <c r="M51" s="66" t="s">
        <v>420</v>
      </c>
      <c r="N51" s="66" t="s">
        <v>417</v>
      </c>
      <c r="O51" s="66" t="s">
        <v>421</v>
      </c>
    </row>
    <row r="52" spans="1:15">
      <c r="A52" s="376"/>
      <c r="B52" s="377"/>
      <c r="C52" s="377"/>
      <c r="D52" s="377"/>
      <c r="E52" s="377"/>
      <c r="F52" s="377"/>
      <c r="G52" s="378"/>
      <c r="J52" s="367" t="s">
        <v>198</v>
      </c>
      <c r="K52" s="65" t="s">
        <v>422</v>
      </c>
      <c r="L52" s="63"/>
      <c r="M52" s="63"/>
      <c r="N52" s="63"/>
      <c r="O52" s="63"/>
    </row>
    <row r="53" spans="1:15">
      <c r="J53" s="367"/>
      <c r="K53" s="65" t="s">
        <v>423</v>
      </c>
      <c r="L53" s="63"/>
      <c r="M53" s="63"/>
      <c r="N53" s="63"/>
      <c r="O53" s="63"/>
    </row>
    <row r="54" spans="1:15">
      <c r="J54" s="367"/>
      <c r="K54" s="65" t="s">
        <v>424</v>
      </c>
      <c r="L54" s="63"/>
      <c r="M54" s="63"/>
      <c r="N54" s="63"/>
      <c r="O54" s="63"/>
    </row>
    <row r="55" spans="1:15">
      <c r="J55" s="367"/>
      <c r="K55" s="65" t="s">
        <v>426</v>
      </c>
      <c r="L55" s="63"/>
      <c r="M55" s="63"/>
      <c r="N55" s="63"/>
      <c r="O55" s="63"/>
    </row>
    <row r="56" spans="1:15">
      <c r="J56" s="367"/>
      <c r="K56" s="65" t="s">
        <v>428</v>
      </c>
      <c r="L56" s="63"/>
      <c r="M56" s="63"/>
      <c r="N56" s="63"/>
      <c r="O56" s="63"/>
    </row>
    <row r="57" spans="1:15">
      <c r="J57" s="367"/>
      <c r="K57" s="65" t="s">
        <v>429</v>
      </c>
      <c r="L57" s="63"/>
      <c r="M57" s="63"/>
      <c r="N57" s="63"/>
      <c r="O57" s="63"/>
    </row>
    <row r="58" spans="1:15">
      <c r="J58" s="367"/>
      <c r="K58" s="65" t="s">
        <v>430</v>
      </c>
      <c r="L58" s="63"/>
      <c r="M58" s="63"/>
      <c r="N58" s="63"/>
      <c r="O58" s="63"/>
    </row>
    <row r="59" spans="1:15">
      <c r="J59" s="367"/>
      <c r="K59" s="65" t="s">
        <v>432</v>
      </c>
      <c r="L59" s="63"/>
      <c r="M59" s="63"/>
      <c r="N59" s="63"/>
      <c r="O59" s="63"/>
    </row>
    <row r="60" spans="1:15">
      <c r="J60" s="367"/>
      <c r="K60" s="65" t="s">
        <v>433</v>
      </c>
      <c r="L60" s="63"/>
      <c r="M60" s="63"/>
      <c r="N60" s="63"/>
      <c r="O60" s="63"/>
    </row>
    <row r="61" spans="1:15">
      <c r="J61" s="367"/>
      <c r="K61" s="65" t="s">
        <v>434</v>
      </c>
      <c r="L61" s="63"/>
      <c r="M61" s="63"/>
      <c r="N61" s="63"/>
      <c r="O61" s="63"/>
    </row>
    <row r="62" spans="1:15">
      <c r="J62" s="367"/>
      <c r="K62" s="65" t="s">
        <v>435</v>
      </c>
      <c r="L62" s="63"/>
      <c r="M62" s="63"/>
      <c r="N62" s="63"/>
      <c r="O62" s="63"/>
    </row>
    <row r="63" spans="1:15">
      <c r="J63" s="367"/>
      <c r="K63" s="65" t="s">
        <v>436</v>
      </c>
      <c r="L63" s="63"/>
      <c r="M63" s="63"/>
      <c r="N63" s="63"/>
      <c r="O63" s="63"/>
    </row>
    <row r="64" spans="1:15">
      <c r="J64" s="367"/>
      <c r="K64" s="61" t="s">
        <v>437</v>
      </c>
      <c r="L64" s="61" t="e">
        <f>AVERAGE(L52:L63)</f>
        <v>#DIV/0!</v>
      </c>
      <c r="M64" s="61">
        <f>MAX(M52:M63)</f>
        <v>0</v>
      </c>
      <c r="N64" s="61" t="e">
        <f>AVERAGE(N52:N63)</f>
        <v>#DIV/0!</v>
      </c>
      <c r="O64" s="61">
        <f>MAX(O52:O63)</f>
        <v>0</v>
      </c>
    </row>
    <row r="66" spans="10:15" ht="41.45">
      <c r="J66" s="60">
        <f>+A6</f>
        <v>2022</v>
      </c>
      <c r="K66" s="60" t="s">
        <v>419</v>
      </c>
      <c r="L66" s="66" t="s">
        <v>414</v>
      </c>
      <c r="M66" s="66" t="s">
        <v>420</v>
      </c>
      <c r="N66" s="66" t="s">
        <v>417</v>
      </c>
      <c r="O66" s="66" t="s">
        <v>421</v>
      </c>
    </row>
    <row r="67" spans="10:15">
      <c r="J67" s="367" t="s">
        <v>199</v>
      </c>
      <c r="K67" s="65" t="s">
        <v>422</v>
      </c>
      <c r="L67" s="63"/>
      <c r="M67" s="63"/>
      <c r="N67" s="63"/>
      <c r="O67" s="63"/>
    </row>
    <row r="68" spans="10:15">
      <c r="J68" s="367"/>
      <c r="K68" s="65" t="s">
        <v>423</v>
      </c>
      <c r="L68" s="63"/>
      <c r="M68" s="63"/>
      <c r="N68" s="63"/>
      <c r="O68" s="63"/>
    </row>
    <row r="69" spans="10:15">
      <c r="J69" s="367"/>
      <c r="K69" s="65" t="s">
        <v>424</v>
      </c>
      <c r="L69" s="63"/>
      <c r="M69" s="63"/>
      <c r="N69" s="63"/>
      <c r="O69" s="63"/>
    </row>
    <row r="70" spans="10:15">
      <c r="J70" s="367"/>
      <c r="K70" s="65" t="s">
        <v>426</v>
      </c>
      <c r="L70" s="63"/>
      <c r="M70" s="63"/>
      <c r="N70" s="63"/>
      <c r="O70" s="63"/>
    </row>
    <row r="71" spans="10:15">
      <c r="J71" s="367"/>
      <c r="K71" s="65" t="s">
        <v>428</v>
      </c>
      <c r="L71" s="63"/>
      <c r="M71" s="63"/>
      <c r="N71" s="63"/>
      <c r="O71" s="63"/>
    </row>
    <row r="72" spans="10:15">
      <c r="J72" s="367"/>
      <c r="K72" s="65" t="s">
        <v>429</v>
      </c>
      <c r="L72" s="63"/>
      <c r="M72" s="63"/>
      <c r="N72" s="63"/>
      <c r="O72" s="63"/>
    </row>
    <row r="73" spans="10:15">
      <c r="J73" s="367"/>
      <c r="K73" s="65" t="s">
        <v>430</v>
      </c>
      <c r="L73" s="63"/>
      <c r="M73" s="63"/>
      <c r="N73" s="63"/>
      <c r="O73" s="63"/>
    </row>
    <row r="74" spans="10:15">
      <c r="J74" s="367"/>
      <c r="K74" s="65" t="s">
        <v>432</v>
      </c>
      <c r="L74" s="63"/>
      <c r="M74" s="63"/>
      <c r="N74" s="63"/>
      <c r="O74" s="63"/>
    </row>
    <row r="75" spans="10:15">
      <c r="J75" s="367"/>
      <c r="K75" s="65" t="s">
        <v>433</v>
      </c>
      <c r="L75" s="63"/>
      <c r="M75" s="63"/>
      <c r="N75" s="63"/>
      <c r="O75" s="63"/>
    </row>
    <row r="76" spans="10:15">
      <c r="J76" s="367"/>
      <c r="K76" s="65" t="s">
        <v>434</v>
      </c>
      <c r="L76" s="63"/>
      <c r="M76" s="63"/>
      <c r="N76" s="63"/>
      <c r="O76" s="63"/>
    </row>
    <row r="77" spans="10:15">
      <c r="J77" s="367"/>
      <c r="K77" s="65" t="s">
        <v>435</v>
      </c>
      <c r="L77" s="63"/>
      <c r="M77" s="63"/>
      <c r="N77" s="63"/>
      <c r="O77" s="63"/>
    </row>
    <row r="78" spans="10:15">
      <c r="J78" s="367"/>
      <c r="K78" s="65" t="s">
        <v>436</v>
      </c>
      <c r="L78" s="63"/>
      <c r="M78" s="63"/>
      <c r="N78" s="63"/>
      <c r="O78" s="63"/>
    </row>
    <row r="79" spans="10:15">
      <c r="J79" s="367"/>
      <c r="K79" s="61" t="s">
        <v>437</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view="pageBreakPreview" zoomScale="115" zoomScaleNormal="100" zoomScaleSheetLayoutView="115" workbookViewId="0">
      <selection activeCell="N7" sqref="N7"/>
    </sheetView>
  </sheetViews>
  <sheetFormatPr defaultRowHeight="13.9"/>
  <cols>
    <col min="1" max="1" width="14" style="3" customWidth="1"/>
    <col min="2" max="4" width="17" style="34" customWidth="1"/>
    <col min="5" max="5" width="14.7109375" style="34" customWidth="1"/>
    <col min="6" max="7" width="17" style="34"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Charlton Lane Eco Park</v>
      </c>
    </row>
    <row r="3" spans="1:19" ht="14.45">
      <c r="A3" s="59" t="s">
        <v>447</v>
      </c>
      <c r="D3" s="75" t="s">
        <v>406</v>
      </c>
      <c r="G3" s="79" t="s">
        <v>407</v>
      </c>
      <c r="J3" s="9" t="str">
        <f>+A3</f>
        <v>Monitoring of Particulate matter emissions</v>
      </c>
      <c r="L3" s="9"/>
      <c r="N3" s="9" t="s">
        <v>408</v>
      </c>
      <c r="Q3" s="78" t="s">
        <v>3</v>
      </c>
      <c r="R3" s="73"/>
      <c r="S3" s="73"/>
    </row>
    <row r="4" spans="1:19" ht="13.9" customHeight="1">
      <c r="Q4" s="358" t="s">
        <v>409</v>
      </c>
      <c r="R4" s="358"/>
      <c r="S4" s="358"/>
    </row>
    <row r="5" spans="1:19" ht="16.149999999999999">
      <c r="A5" s="67" t="s">
        <v>410</v>
      </c>
      <c r="B5" s="369" t="s">
        <v>411</v>
      </c>
      <c r="C5" s="369"/>
      <c r="D5" s="369"/>
      <c r="E5" s="369" t="s">
        <v>412</v>
      </c>
      <c r="F5" s="369"/>
      <c r="G5" s="369"/>
      <c r="J5" s="368"/>
      <c r="K5" s="368"/>
      <c r="L5" s="368"/>
      <c r="M5" s="368"/>
      <c r="N5" s="368"/>
      <c r="O5" s="368"/>
      <c r="Q5" s="358"/>
      <c r="R5" s="358"/>
      <c r="S5" s="358"/>
    </row>
    <row r="6" spans="1:19" s="57" customFormat="1" ht="37.5" customHeight="1">
      <c r="A6" s="64">
        <f>+'Cover Page'!C39</f>
        <v>2022</v>
      </c>
      <c r="B6" s="54" t="s">
        <v>448</v>
      </c>
      <c r="C6" s="54" t="s">
        <v>414</v>
      </c>
      <c r="D6" s="54" t="s">
        <v>415</v>
      </c>
      <c r="E6" s="54" t="s">
        <v>449</v>
      </c>
      <c r="F6" s="54" t="s">
        <v>417</v>
      </c>
      <c r="G6" s="54" t="s">
        <v>418</v>
      </c>
      <c r="H6" s="58"/>
      <c r="J6" s="60">
        <f>+A6</f>
        <v>2022</v>
      </c>
      <c r="K6" s="60" t="s">
        <v>419</v>
      </c>
      <c r="L6" s="66" t="s">
        <v>414</v>
      </c>
      <c r="M6" s="66" t="s">
        <v>420</v>
      </c>
      <c r="N6" s="66" t="s">
        <v>417</v>
      </c>
      <c r="O6" s="66" t="s">
        <v>421</v>
      </c>
      <c r="Q6" s="358"/>
      <c r="R6" s="358"/>
      <c r="S6" s="358"/>
    </row>
    <row r="7" spans="1:19">
      <c r="A7" s="65" t="s">
        <v>422</v>
      </c>
      <c r="B7" s="62">
        <v>30</v>
      </c>
      <c r="C7" s="63">
        <f t="shared" ref="C7:C18" si="0">L7</f>
        <v>0.2</v>
      </c>
      <c r="D7" s="63">
        <f t="shared" ref="D7:D18" si="1">M7</f>
        <v>0.8</v>
      </c>
      <c r="E7" s="62">
        <v>10</v>
      </c>
      <c r="F7" s="63">
        <f t="shared" ref="F7:F18" si="2">N7</f>
        <v>0.2</v>
      </c>
      <c r="G7" s="63">
        <f t="shared" ref="G7:G18" si="3">O7</f>
        <v>0.2</v>
      </c>
      <c r="J7" s="367" t="s">
        <v>195</v>
      </c>
      <c r="K7" s="65" t="s">
        <v>422</v>
      </c>
      <c r="L7" s="63">
        <v>0.2</v>
      </c>
      <c r="M7" s="63">
        <v>0.8</v>
      </c>
      <c r="N7" s="63">
        <v>0.2</v>
      </c>
      <c r="O7" s="63">
        <v>0.2</v>
      </c>
      <c r="Q7" s="358"/>
      <c r="R7" s="358"/>
      <c r="S7" s="358"/>
    </row>
    <row r="8" spans="1:19">
      <c r="A8" s="65" t="s">
        <v>423</v>
      </c>
      <c r="B8" s="62">
        <v>30</v>
      </c>
      <c r="C8" s="63">
        <f t="shared" si="0"/>
        <v>0.1</v>
      </c>
      <c r="D8" s="63">
        <f t="shared" si="1"/>
        <v>1</v>
      </c>
      <c r="E8" s="62">
        <v>10</v>
      </c>
      <c r="F8" s="63">
        <f t="shared" si="2"/>
        <v>0.1</v>
      </c>
      <c r="G8" s="63">
        <f t="shared" si="3"/>
        <v>0.2</v>
      </c>
      <c r="J8" s="367"/>
      <c r="K8" s="65" t="s">
        <v>423</v>
      </c>
      <c r="L8" s="63">
        <v>0.1</v>
      </c>
      <c r="M8" s="63">
        <v>1</v>
      </c>
      <c r="N8" s="63">
        <v>0.1</v>
      </c>
      <c r="O8" s="63">
        <v>0.2</v>
      </c>
      <c r="Q8" s="358"/>
      <c r="R8" s="358"/>
      <c r="S8" s="358"/>
    </row>
    <row r="9" spans="1:19">
      <c r="A9" s="65" t="s">
        <v>424</v>
      </c>
      <c r="B9" s="62">
        <v>30</v>
      </c>
      <c r="C9" s="63">
        <f t="shared" si="0"/>
        <v>0.1</v>
      </c>
      <c r="D9" s="63">
        <f t="shared" si="1"/>
        <v>0.6</v>
      </c>
      <c r="E9" s="62">
        <v>10</v>
      </c>
      <c r="F9" s="63">
        <f t="shared" si="2"/>
        <v>0.1</v>
      </c>
      <c r="G9" s="63">
        <f t="shared" si="3"/>
        <v>0.1</v>
      </c>
      <c r="J9" s="367"/>
      <c r="K9" s="65" t="s">
        <v>424</v>
      </c>
      <c r="L9" s="63">
        <v>0.1</v>
      </c>
      <c r="M9" s="63">
        <v>0.6</v>
      </c>
      <c r="N9" s="63">
        <v>0.1</v>
      </c>
      <c r="O9" s="63">
        <v>0.1</v>
      </c>
      <c r="Q9" s="77" t="s">
        <v>425</v>
      </c>
    </row>
    <row r="10" spans="1:19" ht="14.25" customHeight="1">
      <c r="A10" s="65" t="s">
        <v>426</v>
      </c>
      <c r="B10" s="62">
        <v>30</v>
      </c>
      <c r="C10" s="63">
        <f t="shared" si="0"/>
        <v>0</v>
      </c>
      <c r="D10" s="63">
        <f t="shared" si="1"/>
        <v>0</v>
      </c>
      <c r="E10" s="62">
        <v>10</v>
      </c>
      <c r="F10" s="63">
        <f t="shared" si="2"/>
        <v>0</v>
      </c>
      <c r="G10" s="63">
        <f t="shared" si="3"/>
        <v>0</v>
      </c>
      <c r="J10" s="367"/>
      <c r="K10" s="65" t="s">
        <v>426</v>
      </c>
      <c r="L10" s="63">
        <v>0</v>
      </c>
      <c r="M10" s="63">
        <v>0</v>
      </c>
      <c r="N10" s="63">
        <v>0</v>
      </c>
      <c r="O10" s="63">
        <v>0</v>
      </c>
      <c r="Q10" s="366" t="s">
        <v>427</v>
      </c>
      <c r="R10" s="366"/>
      <c r="S10" s="366"/>
    </row>
    <row r="11" spans="1:19">
      <c r="A11" s="65" t="s">
        <v>428</v>
      </c>
      <c r="B11" s="62">
        <v>30</v>
      </c>
      <c r="C11" s="63">
        <f t="shared" si="0"/>
        <v>0</v>
      </c>
      <c r="D11" s="63">
        <f t="shared" si="1"/>
        <v>18</v>
      </c>
      <c r="E11" s="62">
        <v>10</v>
      </c>
      <c r="F11" s="63">
        <f t="shared" si="2"/>
        <v>0</v>
      </c>
      <c r="G11" s="63">
        <f t="shared" si="3"/>
        <v>1</v>
      </c>
      <c r="J11" s="367"/>
      <c r="K11" s="65" t="s">
        <v>428</v>
      </c>
      <c r="L11" s="63">
        <v>0</v>
      </c>
      <c r="M11" s="63">
        <v>18</v>
      </c>
      <c r="N11" s="63">
        <v>0</v>
      </c>
      <c r="O11" s="63">
        <v>1</v>
      </c>
      <c r="Q11" s="366"/>
      <c r="R11" s="366"/>
      <c r="S11" s="366"/>
    </row>
    <row r="12" spans="1:19">
      <c r="A12" s="65" t="s">
        <v>429</v>
      </c>
      <c r="B12" s="62">
        <v>30</v>
      </c>
      <c r="C12" s="63">
        <f t="shared" si="0"/>
        <v>0</v>
      </c>
      <c r="D12" s="63">
        <f t="shared" si="1"/>
        <v>0</v>
      </c>
      <c r="E12" s="62">
        <v>10</v>
      </c>
      <c r="F12" s="63">
        <f t="shared" si="2"/>
        <v>0</v>
      </c>
      <c r="G12" s="63">
        <f t="shared" si="3"/>
        <v>0</v>
      </c>
      <c r="J12" s="367"/>
      <c r="K12" s="65" t="s">
        <v>429</v>
      </c>
      <c r="L12" s="63">
        <v>0</v>
      </c>
      <c r="M12" s="63">
        <v>0</v>
      </c>
      <c r="N12" s="63">
        <v>0</v>
      </c>
      <c r="O12" s="63">
        <v>0</v>
      </c>
      <c r="Q12" s="366"/>
      <c r="R12" s="366"/>
      <c r="S12" s="366"/>
    </row>
    <row r="13" spans="1:19" ht="14.25" customHeight="1">
      <c r="A13" s="65" t="s">
        <v>430</v>
      </c>
      <c r="B13" s="62">
        <v>30</v>
      </c>
      <c r="C13" s="63">
        <f t="shared" si="0"/>
        <v>0</v>
      </c>
      <c r="D13" s="63">
        <f t="shared" si="1"/>
        <v>0</v>
      </c>
      <c r="E13" s="62">
        <v>10</v>
      </c>
      <c r="F13" s="63">
        <f t="shared" si="2"/>
        <v>0</v>
      </c>
      <c r="G13" s="63">
        <f t="shared" si="3"/>
        <v>0</v>
      </c>
      <c r="J13" s="367"/>
      <c r="K13" s="65" t="s">
        <v>430</v>
      </c>
      <c r="L13" s="63">
        <v>0</v>
      </c>
      <c r="M13" s="63">
        <v>0</v>
      </c>
      <c r="N13" s="63">
        <v>0</v>
      </c>
      <c r="O13" s="63">
        <v>0</v>
      </c>
      <c r="Q13" s="366" t="s">
        <v>431</v>
      </c>
      <c r="R13" s="366"/>
      <c r="S13" s="366"/>
    </row>
    <row r="14" spans="1:19">
      <c r="A14" s="65" t="s">
        <v>432</v>
      </c>
      <c r="B14" s="62">
        <v>30</v>
      </c>
      <c r="C14" s="63">
        <f t="shared" si="0"/>
        <v>0</v>
      </c>
      <c r="D14" s="63">
        <f t="shared" si="1"/>
        <v>1</v>
      </c>
      <c r="E14" s="62">
        <v>10</v>
      </c>
      <c r="F14" s="63">
        <f t="shared" si="2"/>
        <v>0</v>
      </c>
      <c r="G14" s="63">
        <f t="shared" si="3"/>
        <v>0</v>
      </c>
      <c r="J14" s="367"/>
      <c r="K14" s="65" t="s">
        <v>432</v>
      </c>
      <c r="L14" s="63">
        <v>0</v>
      </c>
      <c r="M14" s="63">
        <v>1</v>
      </c>
      <c r="N14" s="63">
        <v>0</v>
      </c>
      <c r="O14" s="63">
        <v>0</v>
      </c>
      <c r="Q14" s="366"/>
      <c r="R14" s="366"/>
      <c r="S14" s="366"/>
    </row>
    <row r="15" spans="1:19">
      <c r="A15" s="65" t="s">
        <v>433</v>
      </c>
      <c r="B15" s="62">
        <v>30</v>
      </c>
      <c r="C15" s="63">
        <f t="shared" si="0"/>
        <v>0</v>
      </c>
      <c r="D15" s="63">
        <f t="shared" si="1"/>
        <v>1</v>
      </c>
      <c r="E15" s="62">
        <v>10</v>
      </c>
      <c r="F15" s="63">
        <f t="shared" si="2"/>
        <v>0</v>
      </c>
      <c r="G15" s="63">
        <f t="shared" si="3"/>
        <v>0</v>
      </c>
      <c r="J15" s="367"/>
      <c r="K15" s="65" t="s">
        <v>433</v>
      </c>
      <c r="L15" s="63">
        <v>0</v>
      </c>
      <c r="M15" s="63">
        <v>1</v>
      </c>
      <c r="N15" s="63">
        <v>0</v>
      </c>
      <c r="O15" s="63">
        <v>0</v>
      </c>
      <c r="Q15" s="366"/>
      <c r="R15" s="366"/>
      <c r="S15" s="366"/>
    </row>
    <row r="16" spans="1:19">
      <c r="A16" s="65" t="s">
        <v>434</v>
      </c>
      <c r="B16" s="62">
        <v>30</v>
      </c>
      <c r="C16" s="63">
        <f t="shared" si="0"/>
        <v>0</v>
      </c>
      <c r="D16" s="63">
        <f t="shared" si="1"/>
        <v>1</v>
      </c>
      <c r="E16" s="62">
        <v>10</v>
      </c>
      <c r="F16" s="63">
        <f t="shared" si="2"/>
        <v>0</v>
      </c>
      <c r="G16" s="63">
        <f t="shared" si="3"/>
        <v>0</v>
      </c>
      <c r="J16" s="367"/>
      <c r="K16" s="65" t="s">
        <v>434</v>
      </c>
      <c r="L16" s="63">
        <v>0</v>
      </c>
      <c r="M16" s="63">
        <v>1</v>
      </c>
      <c r="N16" s="63">
        <v>0</v>
      </c>
      <c r="O16" s="63">
        <v>0</v>
      </c>
      <c r="Q16" s="366"/>
      <c r="R16" s="366"/>
      <c r="S16" s="366"/>
    </row>
    <row r="17" spans="1:15">
      <c r="A17" s="65" t="s">
        <v>435</v>
      </c>
      <c r="B17" s="62">
        <v>30</v>
      </c>
      <c r="C17" s="63">
        <f t="shared" si="0"/>
        <v>0</v>
      </c>
      <c r="D17" s="63">
        <f t="shared" si="1"/>
        <v>4</v>
      </c>
      <c r="E17" s="62">
        <v>10</v>
      </c>
      <c r="F17" s="63">
        <f t="shared" si="2"/>
        <v>0</v>
      </c>
      <c r="G17" s="63">
        <f t="shared" si="3"/>
        <v>1</v>
      </c>
      <c r="J17" s="367"/>
      <c r="K17" s="65" t="s">
        <v>435</v>
      </c>
      <c r="L17" s="63">
        <v>0</v>
      </c>
      <c r="M17" s="63">
        <v>4</v>
      </c>
      <c r="N17" s="63">
        <v>0</v>
      </c>
      <c r="O17" s="63">
        <v>1</v>
      </c>
    </row>
    <row r="18" spans="1:15">
      <c r="A18" s="65" t="s">
        <v>436</v>
      </c>
      <c r="B18" s="62">
        <v>30</v>
      </c>
      <c r="C18" s="63">
        <f t="shared" si="0"/>
        <v>0</v>
      </c>
      <c r="D18" s="63">
        <f t="shared" si="1"/>
        <v>1</v>
      </c>
      <c r="E18" s="62">
        <v>10</v>
      </c>
      <c r="F18" s="63">
        <f t="shared" si="2"/>
        <v>0</v>
      </c>
      <c r="G18" s="63">
        <f t="shared" si="3"/>
        <v>0</v>
      </c>
      <c r="J18" s="367"/>
      <c r="K18" s="65" t="s">
        <v>436</v>
      </c>
      <c r="L18" s="63">
        <v>0</v>
      </c>
      <c r="M18" s="63">
        <v>1</v>
      </c>
      <c r="N18" s="63">
        <v>0</v>
      </c>
      <c r="O18" s="63">
        <v>0</v>
      </c>
    </row>
    <row r="19" spans="1:15">
      <c r="J19" s="367"/>
      <c r="K19" s="61" t="s">
        <v>437</v>
      </c>
      <c r="L19" s="61">
        <f>AVERAGE(L7:L18)</f>
        <v>3.3333333333333333E-2</v>
      </c>
      <c r="M19" s="61">
        <f>MAX(M7:M18)</f>
        <v>18</v>
      </c>
      <c r="N19" s="61">
        <f>AVERAGE(N7:N18)</f>
        <v>3.3333333333333333E-2</v>
      </c>
      <c r="O19" s="61">
        <f>MAX(O7:O18)</f>
        <v>1</v>
      </c>
    </row>
    <row r="21" spans="1:15" ht="41.45">
      <c r="J21" s="60">
        <f>+A6</f>
        <v>2022</v>
      </c>
      <c r="K21" s="60" t="s">
        <v>419</v>
      </c>
      <c r="L21" s="66" t="s">
        <v>414</v>
      </c>
      <c r="M21" s="66" t="s">
        <v>420</v>
      </c>
      <c r="N21" s="66" t="s">
        <v>417</v>
      </c>
      <c r="O21" s="66" t="s">
        <v>421</v>
      </c>
    </row>
    <row r="22" spans="1:15">
      <c r="J22" s="367" t="s">
        <v>196</v>
      </c>
      <c r="K22" s="65" t="s">
        <v>422</v>
      </c>
      <c r="L22" s="63"/>
      <c r="M22" s="63"/>
      <c r="N22" s="63"/>
      <c r="O22" s="63"/>
    </row>
    <row r="23" spans="1:15">
      <c r="J23" s="367"/>
      <c r="K23" s="65" t="s">
        <v>423</v>
      </c>
      <c r="L23" s="63"/>
      <c r="M23" s="63"/>
      <c r="N23" s="63"/>
      <c r="O23" s="63"/>
    </row>
    <row r="24" spans="1:15">
      <c r="J24" s="367"/>
      <c r="K24" s="65" t="s">
        <v>424</v>
      </c>
      <c r="L24" s="63"/>
      <c r="M24" s="63"/>
      <c r="N24" s="63"/>
      <c r="O24" s="63"/>
    </row>
    <row r="25" spans="1:15">
      <c r="J25" s="367"/>
      <c r="K25" s="65" t="s">
        <v>426</v>
      </c>
      <c r="L25" s="63"/>
      <c r="M25" s="63"/>
      <c r="N25" s="63"/>
      <c r="O25" s="63"/>
    </row>
    <row r="26" spans="1:15">
      <c r="J26" s="367"/>
      <c r="K26" s="65" t="s">
        <v>428</v>
      </c>
      <c r="L26" s="63"/>
      <c r="M26" s="63"/>
      <c r="N26" s="63"/>
      <c r="O26" s="63"/>
    </row>
    <row r="27" spans="1:15">
      <c r="J27" s="367"/>
      <c r="K27" s="65" t="s">
        <v>429</v>
      </c>
      <c r="L27" s="63"/>
      <c r="M27" s="63"/>
      <c r="N27" s="63"/>
      <c r="O27" s="63"/>
    </row>
    <row r="28" spans="1:15">
      <c r="J28" s="367"/>
      <c r="K28" s="65" t="s">
        <v>430</v>
      </c>
      <c r="L28" s="63"/>
      <c r="M28" s="63"/>
      <c r="N28" s="63"/>
      <c r="O28" s="63"/>
    </row>
    <row r="29" spans="1:15">
      <c r="J29" s="367"/>
      <c r="K29" s="65" t="s">
        <v>432</v>
      </c>
      <c r="L29" s="63"/>
      <c r="M29" s="63"/>
      <c r="N29" s="63"/>
      <c r="O29" s="63"/>
    </row>
    <row r="30" spans="1:15">
      <c r="J30" s="367"/>
      <c r="K30" s="65" t="s">
        <v>433</v>
      </c>
      <c r="L30" s="63"/>
      <c r="M30" s="63"/>
      <c r="N30" s="63"/>
      <c r="O30" s="63"/>
    </row>
    <row r="31" spans="1:15">
      <c r="J31" s="367"/>
      <c r="K31" s="65" t="s">
        <v>434</v>
      </c>
      <c r="L31" s="63"/>
      <c r="M31" s="63"/>
      <c r="N31" s="63"/>
      <c r="O31" s="63"/>
    </row>
    <row r="32" spans="1:15">
      <c r="J32" s="367"/>
      <c r="K32" s="65" t="s">
        <v>435</v>
      </c>
      <c r="L32" s="63"/>
      <c r="M32" s="63"/>
      <c r="N32" s="63"/>
      <c r="O32" s="63"/>
    </row>
    <row r="33" spans="1:15">
      <c r="J33" s="367"/>
      <c r="K33" s="65" t="s">
        <v>436</v>
      </c>
      <c r="L33" s="63"/>
      <c r="M33" s="63"/>
      <c r="N33" s="63"/>
      <c r="O33" s="63"/>
    </row>
    <row r="34" spans="1:15">
      <c r="J34" s="367"/>
      <c r="K34" s="61" t="s">
        <v>437</v>
      </c>
      <c r="L34" s="61" t="e">
        <f>AVERAGE(L22:L33)</f>
        <v>#DIV/0!</v>
      </c>
      <c r="M34" s="61">
        <f>MAX(M22:M33)</f>
        <v>0</v>
      </c>
      <c r="N34" s="61" t="e">
        <f>AVERAGE(N22:N33)</f>
        <v>#DIV/0!</v>
      </c>
      <c r="O34" s="61">
        <f>MAX(O22:O33)</f>
        <v>0</v>
      </c>
    </row>
    <row r="36" spans="1:15" ht="41.45">
      <c r="J36" s="60">
        <f>+A6</f>
        <v>2022</v>
      </c>
      <c r="K36" s="60" t="s">
        <v>419</v>
      </c>
      <c r="L36" s="66" t="s">
        <v>414</v>
      </c>
      <c r="M36" s="66" t="s">
        <v>420</v>
      </c>
      <c r="N36" s="66" t="s">
        <v>417</v>
      </c>
      <c r="O36" s="66" t="s">
        <v>421</v>
      </c>
    </row>
    <row r="37" spans="1:15">
      <c r="J37" s="367" t="s">
        <v>197</v>
      </c>
      <c r="K37" s="65" t="s">
        <v>422</v>
      </c>
      <c r="L37" s="63"/>
      <c r="M37" s="63"/>
      <c r="N37" s="63"/>
      <c r="O37" s="63"/>
    </row>
    <row r="38" spans="1:15">
      <c r="J38" s="367"/>
      <c r="K38" s="65" t="s">
        <v>423</v>
      </c>
      <c r="L38" s="63"/>
      <c r="M38" s="63"/>
      <c r="N38" s="63"/>
      <c r="O38" s="63"/>
    </row>
    <row r="39" spans="1:15">
      <c r="J39" s="367"/>
      <c r="K39" s="65" t="s">
        <v>424</v>
      </c>
      <c r="L39" s="63"/>
      <c r="M39" s="63"/>
      <c r="N39" s="63"/>
      <c r="O39" s="63"/>
    </row>
    <row r="40" spans="1:15">
      <c r="J40" s="367"/>
      <c r="K40" s="65" t="s">
        <v>426</v>
      </c>
      <c r="L40" s="63"/>
      <c r="M40" s="63"/>
      <c r="N40" s="63"/>
      <c r="O40" s="63"/>
    </row>
    <row r="41" spans="1:15">
      <c r="J41" s="367"/>
      <c r="K41" s="65" t="s">
        <v>428</v>
      </c>
      <c r="L41" s="63"/>
      <c r="M41" s="63"/>
      <c r="N41" s="63"/>
      <c r="O41" s="63"/>
    </row>
    <row r="42" spans="1:15">
      <c r="J42" s="367"/>
      <c r="K42" s="65" t="s">
        <v>429</v>
      </c>
      <c r="L42" s="63"/>
      <c r="M42" s="63"/>
      <c r="N42" s="63"/>
      <c r="O42" s="63"/>
    </row>
    <row r="43" spans="1:15">
      <c r="J43" s="367"/>
      <c r="K43" s="65" t="s">
        <v>430</v>
      </c>
      <c r="L43" s="63"/>
      <c r="M43" s="63"/>
      <c r="N43" s="63"/>
      <c r="O43" s="63"/>
    </row>
    <row r="44" spans="1:15">
      <c r="J44" s="367"/>
      <c r="K44" s="65" t="s">
        <v>432</v>
      </c>
      <c r="L44" s="63"/>
      <c r="M44" s="63"/>
      <c r="N44" s="63"/>
      <c r="O44" s="63"/>
    </row>
    <row r="45" spans="1:15">
      <c r="J45" s="367"/>
      <c r="K45" s="65" t="s">
        <v>433</v>
      </c>
      <c r="L45" s="63"/>
      <c r="M45" s="63"/>
      <c r="N45" s="63"/>
      <c r="O45" s="63"/>
    </row>
    <row r="46" spans="1:15">
      <c r="J46" s="367"/>
      <c r="K46" s="65" t="s">
        <v>434</v>
      </c>
      <c r="L46" s="63"/>
      <c r="M46" s="63"/>
      <c r="N46" s="63"/>
      <c r="O46" s="63"/>
    </row>
    <row r="47" spans="1:15">
      <c r="J47" s="367"/>
      <c r="K47" s="65" t="s">
        <v>435</v>
      </c>
      <c r="L47" s="63"/>
      <c r="M47" s="63"/>
      <c r="N47" s="63"/>
      <c r="O47" s="63"/>
    </row>
    <row r="48" spans="1:15">
      <c r="A48" s="379" t="s">
        <v>325</v>
      </c>
      <c r="B48" s="380"/>
      <c r="C48" s="380"/>
      <c r="D48" s="380"/>
      <c r="E48" s="380"/>
      <c r="F48" s="380"/>
      <c r="G48" s="381"/>
      <c r="J48" s="367"/>
      <c r="K48" s="65" t="s">
        <v>436</v>
      </c>
      <c r="L48" s="63"/>
      <c r="M48" s="63"/>
      <c r="N48" s="63"/>
      <c r="O48" s="63"/>
    </row>
    <row r="49" spans="1:15">
      <c r="A49" s="370"/>
      <c r="B49" s="371"/>
      <c r="C49" s="371"/>
      <c r="D49" s="371"/>
      <c r="E49" s="371"/>
      <c r="F49" s="371"/>
      <c r="G49" s="372"/>
      <c r="J49" s="367"/>
      <c r="K49" s="61" t="s">
        <v>437</v>
      </c>
      <c r="L49" s="61" t="e">
        <f>AVERAGE(L37:L48)</f>
        <v>#DIV/0!</v>
      </c>
      <c r="M49" s="61">
        <f>MAX(M37:M48)</f>
        <v>0</v>
      </c>
      <c r="N49" s="61" t="e">
        <f>AVERAGE(N37:N48)</f>
        <v>#DIV/0!</v>
      </c>
      <c r="O49" s="61">
        <f>MAX(O37:O48)</f>
        <v>0</v>
      </c>
    </row>
    <row r="50" spans="1:15">
      <c r="A50" s="373"/>
      <c r="B50" s="374"/>
      <c r="C50" s="374"/>
      <c r="D50" s="374"/>
      <c r="E50" s="374"/>
      <c r="F50" s="374"/>
      <c r="G50" s="375"/>
    </row>
    <row r="51" spans="1:15" ht="41.45">
      <c r="A51" s="373"/>
      <c r="B51" s="374"/>
      <c r="C51" s="374"/>
      <c r="D51" s="374"/>
      <c r="E51" s="374"/>
      <c r="F51" s="374"/>
      <c r="G51" s="375"/>
      <c r="J51" s="60">
        <f>+A6</f>
        <v>2022</v>
      </c>
      <c r="K51" s="60" t="s">
        <v>419</v>
      </c>
      <c r="L51" s="66" t="s">
        <v>414</v>
      </c>
      <c r="M51" s="66" t="s">
        <v>420</v>
      </c>
      <c r="N51" s="66" t="s">
        <v>417</v>
      </c>
      <c r="O51" s="66" t="s">
        <v>421</v>
      </c>
    </row>
    <row r="52" spans="1:15">
      <c r="A52" s="376"/>
      <c r="B52" s="377"/>
      <c r="C52" s="377"/>
      <c r="D52" s="377"/>
      <c r="E52" s="377"/>
      <c r="F52" s="377"/>
      <c r="G52" s="378"/>
      <c r="J52" s="367" t="s">
        <v>198</v>
      </c>
      <c r="K52" s="65" t="s">
        <v>422</v>
      </c>
      <c r="L52" s="63"/>
      <c r="M52" s="63"/>
      <c r="N52" s="63"/>
      <c r="O52" s="63"/>
    </row>
    <row r="53" spans="1:15">
      <c r="J53" s="367"/>
      <c r="K53" s="65" t="s">
        <v>423</v>
      </c>
      <c r="L53" s="63"/>
      <c r="M53" s="63"/>
      <c r="N53" s="63"/>
      <c r="O53" s="63"/>
    </row>
    <row r="54" spans="1:15">
      <c r="J54" s="367"/>
      <c r="K54" s="65" t="s">
        <v>424</v>
      </c>
      <c r="L54" s="63"/>
      <c r="M54" s="63"/>
      <c r="N54" s="63"/>
      <c r="O54" s="63"/>
    </row>
    <row r="55" spans="1:15">
      <c r="J55" s="367"/>
      <c r="K55" s="65" t="s">
        <v>426</v>
      </c>
      <c r="L55" s="63"/>
      <c r="M55" s="63"/>
      <c r="N55" s="63"/>
      <c r="O55" s="63"/>
    </row>
    <row r="56" spans="1:15">
      <c r="J56" s="367"/>
      <c r="K56" s="65" t="s">
        <v>428</v>
      </c>
      <c r="L56" s="63"/>
      <c r="M56" s="63"/>
      <c r="N56" s="63"/>
      <c r="O56" s="63"/>
    </row>
    <row r="57" spans="1:15">
      <c r="J57" s="367"/>
      <c r="K57" s="65" t="s">
        <v>429</v>
      </c>
      <c r="L57" s="63"/>
      <c r="M57" s="63"/>
      <c r="N57" s="63"/>
      <c r="O57" s="63"/>
    </row>
    <row r="58" spans="1:15">
      <c r="J58" s="367"/>
      <c r="K58" s="65" t="s">
        <v>430</v>
      </c>
      <c r="L58" s="63"/>
      <c r="M58" s="63"/>
      <c r="N58" s="63"/>
      <c r="O58" s="63"/>
    </row>
    <row r="59" spans="1:15">
      <c r="J59" s="367"/>
      <c r="K59" s="65" t="s">
        <v>432</v>
      </c>
      <c r="L59" s="63"/>
      <c r="M59" s="63"/>
      <c r="N59" s="63"/>
      <c r="O59" s="63"/>
    </row>
    <row r="60" spans="1:15">
      <c r="J60" s="367"/>
      <c r="K60" s="65" t="s">
        <v>433</v>
      </c>
      <c r="L60" s="63"/>
      <c r="M60" s="63"/>
      <c r="N60" s="63"/>
      <c r="O60" s="63"/>
    </row>
    <row r="61" spans="1:15">
      <c r="J61" s="367"/>
      <c r="K61" s="65" t="s">
        <v>434</v>
      </c>
      <c r="L61" s="63"/>
      <c r="M61" s="63"/>
      <c r="N61" s="63"/>
      <c r="O61" s="63"/>
    </row>
    <row r="62" spans="1:15">
      <c r="J62" s="367"/>
      <c r="K62" s="65" t="s">
        <v>435</v>
      </c>
      <c r="L62" s="63"/>
      <c r="M62" s="63"/>
      <c r="N62" s="63"/>
      <c r="O62" s="63"/>
    </row>
    <row r="63" spans="1:15">
      <c r="J63" s="367"/>
      <c r="K63" s="65" t="s">
        <v>436</v>
      </c>
      <c r="L63" s="63"/>
      <c r="M63" s="63"/>
      <c r="N63" s="63"/>
      <c r="O63" s="63"/>
    </row>
    <row r="64" spans="1:15">
      <c r="J64" s="367"/>
      <c r="K64" s="61" t="s">
        <v>437</v>
      </c>
      <c r="L64" s="61" t="e">
        <f>AVERAGE(L52:L63)</f>
        <v>#DIV/0!</v>
      </c>
      <c r="M64" s="61">
        <f>MAX(M52:M63)</f>
        <v>0</v>
      </c>
      <c r="N64" s="61" t="e">
        <f>AVERAGE(N52:N63)</f>
        <v>#DIV/0!</v>
      </c>
      <c r="O64" s="61">
        <f>MAX(O52:O63)</f>
        <v>0</v>
      </c>
    </row>
    <row r="66" spans="10:15" ht="41.45">
      <c r="J66" s="60">
        <f>+A6</f>
        <v>2022</v>
      </c>
      <c r="K66" s="60" t="s">
        <v>419</v>
      </c>
      <c r="L66" s="66" t="s">
        <v>414</v>
      </c>
      <c r="M66" s="66" t="s">
        <v>420</v>
      </c>
      <c r="N66" s="66" t="s">
        <v>417</v>
      </c>
      <c r="O66" s="66" t="s">
        <v>421</v>
      </c>
    </row>
    <row r="67" spans="10:15">
      <c r="J67" s="367" t="s">
        <v>199</v>
      </c>
      <c r="K67" s="65" t="s">
        <v>422</v>
      </c>
      <c r="L67" s="63"/>
      <c r="M67" s="63"/>
      <c r="N67" s="63"/>
      <c r="O67" s="63"/>
    </row>
    <row r="68" spans="10:15">
      <c r="J68" s="367"/>
      <c r="K68" s="65" t="s">
        <v>423</v>
      </c>
      <c r="L68" s="63"/>
      <c r="M68" s="63"/>
      <c r="N68" s="63"/>
      <c r="O68" s="63"/>
    </row>
    <row r="69" spans="10:15">
      <c r="J69" s="367"/>
      <c r="K69" s="65" t="s">
        <v>424</v>
      </c>
      <c r="L69" s="63"/>
      <c r="M69" s="63"/>
      <c r="N69" s="63"/>
      <c r="O69" s="63"/>
    </row>
    <row r="70" spans="10:15">
      <c r="J70" s="367"/>
      <c r="K70" s="65" t="s">
        <v>426</v>
      </c>
      <c r="L70" s="63"/>
      <c r="M70" s="63"/>
      <c r="N70" s="63"/>
      <c r="O70" s="63"/>
    </row>
    <row r="71" spans="10:15">
      <c r="J71" s="367"/>
      <c r="K71" s="65" t="s">
        <v>428</v>
      </c>
      <c r="L71" s="63"/>
      <c r="M71" s="63"/>
      <c r="N71" s="63"/>
      <c r="O71" s="63"/>
    </row>
    <row r="72" spans="10:15">
      <c r="J72" s="367"/>
      <c r="K72" s="65" t="s">
        <v>429</v>
      </c>
      <c r="L72" s="63"/>
      <c r="M72" s="63"/>
      <c r="N72" s="63"/>
      <c r="O72" s="63"/>
    </row>
    <row r="73" spans="10:15">
      <c r="J73" s="367"/>
      <c r="K73" s="65" t="s">
        <v>430</v>
      </c>
      <c r="L73" s="63"/>
      <c r="M73" s="63"/>
      <c r="N73" s="63"/>
      <c r="O73" s="63"/>
    </row>
    <row r="74" spans="10:15">
      <c r="J74" s="367"/>
      <c r="K74" s="65" t="s">
        <v>432</v>
      </c>
      <c r="L74" s="63"/>
      <c r="M74" s="63"/>
      <c r="N74" s="63"/>
      <c r="O74" s="63"/>
    </row>
    <row r="75" spans="10:15">
      <c r="J75" s="367"/>
      <c r="K75" s="65" t="s">
        <v>433</v>
      </c>
      <c r="L75" s="63"/>
      <c r="M75" s="63"/>
      <c r="N75" s="63"/>
      <c r="O75" s="63"/>
    </row>
    <row r="76" spans="10:15">
      <c r="J76" s="367"/>
      <c r="K76" s="65" t="s">
        <v>434</v>
      </c>
      <c r="L76" s="63"/>
      <c r="M76" s="63"/>
      <c r="N76" s="63"/>
      <c r="O76" s="63"/>
    </row>
    <row r="77" spans="10:15">
      <c r="J77" s="367"/>
      <c r="K77" s="65" t="s">
        <v>435</v>
      </c>
      <c r="L77" s="63"/>
      <c r="M77" s="63"/>
      <c r="N77" s="63"/>
      <c r="O77" s="63"/>
    </row>
    <row r="78" spans="10:15">
      <c r="J78" s="367"/>
      <c r="K78" s="65" t="s">
        <v>436</v>
      </c>
      <c r="L78" s="63"/>
      <c r="M78" s="63"/>
      <c r="N78" s="63"/>
      <c r="O78" s="63"/>
    </row>
    <row r="79" spans="10:15">
      <c r="J79" s="367"/>
      <c r="K79" s="61" t="s">
        <v>437</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view="pageBreakPreview" zoomScale="130" zoomScaleNormal="100" zoomScaleSheetLayoutView="130" workbookViewId="0">
      <selection activeCell="P7" sqref="P7"/>
    </sheetView>
  </sheetViews>
  <sheetFormatPr defaultRowHeight="13.9"/>
  <cols>
    <col min="1" max="1" width="14" style="3" customWidth="1"/>
    <col min="2" max="2" width="12.7109375" style="34" customWidth="1"/>
    <col min="3" max="3" width="15.28515625" style="34" customWidth="1"/>
    <col min="4" max="4" width="17.7109375" style="34" customWidth="1"/>
    <col min="5" max="5" width="14.7109375" style="34" customWidth="1"/>
    <col min="6" max="6" width="11.5703125" style="34" customWidth="1"/>
    <col min="7" max="7" width="15" style="34" customWidth="1"/>
    <col min="8" max="8" width="14.7109375" style="34"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2" t="str">
        <f>+'Cover Page'!$B$29</f>
        <v>Annual Performance Report 2022</v>
      </c>
      <c r="B1" s="92"/>
      <c r="C1" s="92"/>
      <c r="D1" s="92"/>
      <c r="E1" s="92" t="str">
        <f>+'Cover Page'!$B$33</f>
        <v>Charlton Lane Eco Park</v>
      </c>
    </row>
    <row r="3" spans="1:21" ht="14.45">
      <c r="A3" s="59" t="s">
        <v>450</v>
      </c>
      <c r="E3" s="75" t="s">
        <v>406</v>
      </c>
      <c r="H3" s="79" t="s">
        <v>451</v>
      </c>
      <c r="J3" s="9" t="str">
        <f>+A3</f>
        <v>Monitoring of Carbon Monoxide (10-minute avg)</v>
      </c>
      <c r="L3" s="9"/>
      <c r="O3" s="9" t="s">
        <v>408</v>
      </c>
      <c r="Q3" s="76" t="s">
        <v>3</v>
      </c>
      <c r="S3" s="78" t="s">
        <v>3</v>
      </c>
      <c r="T3" s="73"/>
      <c r="U3" s="73"/>
    </row>
    <row r="4" spans="1:21" ht="13.9" customHeight="1">
      <c r="S4" s="358" t="s">
        <v>452</v>
      </c>
      <c r="T4" s="358"/>
      <c r="U4" s="358"/>
    </row>
    <row r="5" spans="1:21" ht="16.149999999999999">
      <c r="A5" s="67" t="s">
        <v>410</v>
      </c>
      <c r="B5" s="369" t="s">
        <v>453</v>
      </c>
      <c r="C5" s="369"/>
      <c r="D5" s="369"/>
      <c r="E5" s="369"/>
      <c r="F5" s="369" t="s">
        <v>412</v>
      </c>
      <c r="G5" s="369"/>
      <c r="H5" s="369"/>
      <c r="K5" s="368"/>
      <c r="L5" s="368"/>
      <c r="M5" s="368"/>
      <c r="N5" s="368"/>
      <c r="O5" s="368"/>
      <c r="P5" s="368"/>
      <c r="Q5" s="368"/>
      <c r="S5" s="358"/>
      <c r="T5" s="358"/>
      <c r="U5" s="358"/>
    </row>
    <row r="6" spans="1:21" s="57" customFormat="1" ht="37.5" customHeight="1">
      <c r="A6" s="64">
        <f>+'Cover Page'!C39</f>
        <v>2022</v>
      </c>
      <c r="B6" s="54" t="s">
        <v>454</v>
      </c>
      <c r="C6" s="54" t="s">
        <v>455</v>
      </c>
      <c r="D6" s="54" t="s">
        <v>456</v>
      </c>
      <c r="E6" s="54" t="s">
        <v>457</v>
      </c>
      <c r="F6" s="54" t="s">
        <v>458</v>
      </c>
      <c r="G6" s="54" t="s">
        <v>417</v>
      </c>
      <c r="H6" s="54" t="s">
        <v>418</v>
      </c>
      <c r="I6" s="58"/>
      <c r="K6" s="60">
        <f>+A6</f>
        <v>2022</v>
      </c>
      <c r="L6" s="60" t="s">
        <v>419</v>
      </c>
      <c r="M6" s="54" t="s">
        <v>455</v>
      </c>
      <c r="N6" s="54" t="s">
        <v>456</v>
      </c>
      <c r="O6" s="54" t="s">
        <v>457</v>
      </c>
      <c r="P6" s="66" t="s">
        <v>417</v>
      </c>
      <c r="Q6" s="66" t="s">
        <v>421</v>
      </c>
      <c r="S6" s="358"/>
      <c r="T6" s="358"/>
      <c r="U6" s="358"/>
    </row>
    <row r="7" spans="1:21">
      <c r="A7" s="65" t="s">
        <v>422</v>
      </c>
      <c r="B7" s="68">
        <v>150</v>
      </c>
      <c r="C7" s="63">
        <f t="shared" ref="C7:C18" si="0">M7</f>
        <v>44</v>
      </c>
      <c r="D7" s="63">
        <f t="shared" ref="D7:D18" si="1">N7</f>
        <v>4</v>
      </c>
      <c r="E7" s="63">
        <f t="shared" ref="E7:E18" si="2">O7</f>
        <v>265</v>
      </c>
      <c r="F7" s="68">
        <v>50</v>
      </c>
      <c r="G7" s="63">
        <f t="shared" ref="G7:G18" si="3">P7</f>
        <v>4</v>
      </c>
      <c r="H7" s="63">
        <f t="shared" ref="H7:H18" si="4">Q7</f>
        <v>6</v>
      </c>
      <c r="K7" s="367" t="s">
        <v>195</v>
      </c>
      <c r="L7" s="65" t="s">
        <v>422</v>
      </c>
      <c r="M7" s="63">
        <v>44</v>
      </c>
      <c r="N7" s="63">
        <v>4</v>
      </c>
      <c r="O7" s="63">
        <v>265</v>
      </c>
      <c r="P7" s="63">
        <v>4</v>
      </c>
      <c r="Q7" s="63">
        <v>6</v>
      </c>
      <c r="S7" s="358"/>
      <c r="T7" s="358"/>
      <c r="U7" s="358"/>
    </row>
    <row r="8" spans="1:21">
      <c r="A8" s="65" t="s">
        <v>423</v>
      </c>
      <c r="B8" s="62">
        <f>+B7</f>
        <v>150</v>
      </c>
      <c r="C8" s="63">
        <f t="shared" si="0"/>
        <v>27</v>
      </c>
      <c r="D8" s="63">
        <f t="shared" si="1"/>
        <v>5</v>
      </c>
      <c r="E8" s="63">
        <f t="shared" si="2"/>
        <v>813</v>
      </c>
      <c r="F8" s="62">
        <f>+F7</f>
        <v>50</v>
      </c>
      <c r="G8" s="63">
        <f t="shared" si="3"/>
        <v>5</v>
      </c>
      <c r="H8" s="63">
        <f t="shared" si="4"/>
        <v>7</v>
      </c>
      <c r="K8" s="367"/>
      <c r="L8" s="65" t="s">
        <v>423</v>
      </c>
      <c r="M8" s="63">
        <v>27</v>
      </c>
      <c r="N8" s="63">
        <v>5</v>
      </c>
      <c r="O8" s="63">
        <v>813</v>
      </c>
      <c r="P8" s="63">
        <v>5</v>
      </c>
      <c r="Q8" s="63">
        <v>7</v>
      </c>
      <c r="S8" s="358"/>
      <c r="T8" s="358"/>
      <c r="U8" s="358"/>
    </row>
    <row r="9" spans="1:21">
      <c r="A9" s="65" t="s">
        <v>424</v>
      </c>
      <c r="B9" s="62">
        <f t="shared" ref="B9:B18" si="5">+B8</f>
        <v>150</v>
      </c>
      <c r="C9" s="63">
        <f t="shared" si="0"/>
        <v>33</v>
      </c>
      <c r="D9" s="63">
        <f t="shared" si="1"/>
        <v>6</v>
      </c>
      <c r="E9" s="63">
        <f t="shared" si="2"/>
        <v>514</v>
      </c>
      <c r="F9" s="62">
        <f t="shared" ref="F9:F18" si="6">+F8</f>
        <v>50</v>
      </c>
      <c r="G9" s="63">
        <f t="shared" si="3"/>
        <v>6</v>
      </c>
      <c r="H9" s="63">
        <f t="shared" si="4"/>
        <v>7</v>
      </c>
      <c r="K9" s="367"/>
      <c r="L9" s="65" t="s">
        <v>424</v>
      </c>
      <c r="M9" s="63">
        <v>33</v>
      </c>
      <c r="N9" s="63">
        <v>6</v>
      </c>
      <c r="O9" s="63">
        <v>514</v>
      </c>
      <c r="P9" s="63">
        <v>6</v>
      </c>
      <c r="Q9" s="63">
        <v>7</v>
      </c>
      <c r="S9" s="77" t="s">
        <v>459</v>
      </c>
    </row>
    <row r="10" spans="1:21">
      <c r="A10" s="65" t="s">
        <v>426</v>
      </c>
      <c r="B10" s="62">
        <f t="shared" si="5"/>
        <v>150</v>
      </c>
      <c r="C10" s="63">
        <f t="shared" si="0"/>
        <v>122</v>
      </c>
      <c r="D10" s="63">
        <f t="shared" si="1"/>
        <v>7</v>
      </c>
      <c r="E10" s="63">
        <f t="shared" si="2"/>
        <v>360</v>
      </c>
      <c r="F10" s="62">
        <f t="shared" si="6"/>
        <v>50</v>
      </c>
      <c r="G10" s="63">
        <f t="shared" si="3"/>
        <v>7</v>
      </c>
      <c r="H10" s="63">
        <f t="shared" si="4"/>
        <v>15</v>
      </c>
      <c r="K10" s="367"/>
      <c r="L10" s="65" t="s">
        <v>426</v>
      </c>
      <c r="M10" s="63">
        <v>122</v>
      </c>
      <c r="N10" s="63">
        <v>7</v>
      </c>
      <c r="O10" s="63">
        <v>360</v>
      </c>
      <c r="P10" s="63">
        <v>7</v>
      </c>
      <c r="Q10" s="63">
        <v>15</v>
      </c>
      <c r="S10" s="366" t="s">
        <v>460</v>
      </c>
      <c r="T10" s="366"/>
      <c r="U10" s="366"/>
    </row>
    <row r="11" spans="1:21">
      <c r="A11" s="65" t="s">
        <v>428</v>
      </c>
      <c r="B11" s="62">
        <f t="shared" si="5"/>
        <v>150</v>
      </c>
      <c r="C11" s="63">
        <f t="shared" si="0"/>
        <v>95</v>
      </c>
      <c r="D11" s="63">
        <f t="shared" si="1"/>
        <v>9</v>
      </c>
      <c r="E11" s="63">
        <f t="shared" si="2"/>
        <v>439</v>
      </c>
      <c r="F11" s="62">
        <f t="shared" si="6"/>
        <v>50</v>
      </c>
      <c r="G11" s="63">
        <f t="shared" si="3"/>
        <v>9</v>
      </c>
      <c r="H11" s="63">
        <f t="shared" si="4"/>
        <v>14</v>
      </c>
      <c r="K11" s="367"/>
      <c r="L11" s="65" t="s">
        <v>428</v>
      </c>
      <c r="M11" s="63">
        <v>95</v>
      </c>
      <c r="N11" s="63">
        <v>9</v>
      </c>
      <c r="O11" s="63">
        <v>439</v>
      </c>
      <c r="P11" s="63">
        <v>9</v>
      </c>
      <c r="Q11" s="63">
        <v>14</v>
      </c>
      <c r="S11" s="366"/>
      <c r="T11" s="366"/>
      <c r="U11" s="366"/>
    </row>
    <row r="12" spans="1:21">
      <c r="A12" s="65" t="s">
        <v>429</v>
      </c>
      <c r="B12" s="62">
        <f t="shared" si="5"/>
        <v>150</v>
      </c>
      <c r="C12" s="63">
        <f t="shared" si="0"/>
        <v>69</v>
      </c>
      <c r="D12" s="63">
        <f t="shared" si="1"/>
        <v>8</v>
      </c>
      <c r="E12" s="63">
        <f t="shared" si="2"/>
        <v>565</v>
      </c>
      <c r="F12" s="62">
        <f t="shared" si="6"/>
        <v>50</v>
      </c>
      <c r="G12" s="63">
        <f t="shared" si="3"/>
        <v>8</v>
      </c>
      <c r="H12" s="63">
        <f t="shared" si="4"/>
        <v>11</v>
      </c>
      <c r="K12" s="367"/>
      <c r="L12" s="65" t="s">
        <v>429</v>
      </c>
      <c r="M12" s="63">
        <v>69</v>
      </c>
      <c r="N12" s="63">
        <v>8</v>
      </c>
      <c r="O12" s="63">
        <v>565</v>
      </c>
      <c r="P12" s="63">
        <v>8</v>
      </c>
      <c r="Q12" s="63">
        <v>11</v>
      </c>
      <c r="S12" s="366"/>
      <c r="T12" s="366"/>
      <c r="U12" s="366"/>
    </row>
    <row r="13" spans="1:21">
      <c r="A13" s="65" t="s">
        <v>430</v>
      </c>
      <c r="B13" s="62">
        <f t="shared" si="5"/>
        <v>150</v>
      </c>
      <c r="C13" s="63">
        <f t="shared" si="0"/>
        <v>0</v>
      </c>
      <c r="D13" s="63">
        <f t="shared" si="1"/>
        <v>0</v>
      </c>
      <c r="E13" s="63">
        <f t="shared" si="2"/>
        <v>0</v>
      </c>
      <c r="F13" s="62">
        <f t="shared" si="6"/>
        <v>50</v>
      </c>
      <c r="G13" s="63">
        <f t="shared" si="3"/>
        <v>0</v>
      </c>
      <c r="H13" s="63">
        <f t="shared" si="4"/>
        <v>0</v>
      </c>
      <c r="K13" s="367"/>
      <c r="L13" s="65" t="s">
        <v>430</v>
      </c>
      <c r="M13" s="63">
        <v>0</v>
      </c>
      <c r="N13" s="63">
        <v>0</v>
      </c>
      <c r="O13" s="63">
        <v>0</v>
      </c>
      <c r="P13" s="63">
        <v>0</v>
      </c>
      <c r="Q13" s="63">
        <v>0</v>
      </c>
      <c r="S13" s="366" t="s">
        <v>461</v>
      </c>
      <c r="T13" s="366"/>
      <c r="U13" s="366"/>
    </row>
    <row r="14" spans="1:21">
      <c r="A14" s="65" t="s">
        <v>432</v>
      </c>
      <c r="B14" s="62">
        <f t="shared" si="5"/>
        <v>150</v>
      </c>
      <c r="C14" s="63">
        <f t="shared" si="0"/>
        <v>27</v>
      </c>
      <c r="D14" s="63">
        <f t="shared" si="1"/>
        <v>6</v>
      </c>
      <c r="E14" s="63">
        <f t="shared" si="2"/>
        <v>558</v>
      </c>
      <c r="F14" s="62">
        <f t="shared" si="6"/>
        <v>50</v>
      </c>
      <c r="G14" s="63">
        <f t="shared" si="3"/>
        <v>6</v>
      </c>
      <c r="H14" s="63">
        <f t="shared" si="4"/>
        <v>9</v>
      </c>
      <c r="K14" s="367"/>
      <c r="L14" s="65" t="s">
        <v>432</v>
      </c>
      <c r="M14" s="63">
        <v>27</v>
      </c>
      <c r="N14" s="63">
        <v>6</v>
      </c>
      <c r="O14" s="63">
        <v>558</v>
      </c>
      <c r="P14" s="63">
        <v>6</v>
      </c>
      <c r="Q14" s="63">
        <v>9</v>
      </c>
      <c r="S14" s="366"/>
      <c r="T14" s="366"/>
      <c r="U14" s="366"/>
    </row>
    <row r="15" spans="1:21">
      <c r="A15" s="65" t="s">
        <v>433</v>
      </c>
      <c r="B15" s="62">
        <f t="shared" si="5"/>
        <v>150</v>
      </c>
      <c r="C15" s="63">
        <f t="shared" si="0"/>
        <v>89</v>
      </c>
      <c r="D15" s="63">
        <f t="shared" si="1"/>
        <v>12</v>
      </c>
      <c r="E15" s="63">
        <f t="shared" si="2"/>
        <v>911</v>
      </c>
      <c r="F15" s="62">
        <f t="shared" si="6"/>
        <v>50</v>
      </c>
      <c r="G15" s="63">
        <f t="shared" si="3"/>
        <v>12</v>
      </c>
      <c r="H15" s="63">
        <f t="shared" si="4"/>
        <v>19</v>
      </c>
      <c r="K15" s="367"/>
      <c r="L15" s="65" t="s">
        <v>433</v>
      </c>
      <c r="M15" s="63">
        <v>89</v>
      </c>
      <c r="N15" s="63">
        <v>12</v>
      </c>
      <c r="O15" s="63">
        <v>911</v>
      </c>
      <c r="P15" s="63">
        <v>12</v>
      </c>
      <c r="Q15" s="63">
        <v>19</v>
      </c>
      <c r="S15" s="366"/>
      <c r="T15" s="366"/>
      <c r="U15" s="366"/>
    </row>
    <row r="16" spans="1:21">
      <c r="A16" s="65" t="s">
        <v>434</v>
      </c>
      <c r="B16" s="62">
        <f t="shared" si="5"/>
        <v>150</v>
      </c>
      <c r="C16" s="63">
        <f t="shared" si="0"/>
        <v>36</v>
      </c>
      <c r="D16" s="63">
        <f t="shared" si="1"/>
        <v>3</v>
      </c>
      <c r="E16" s="63">
        <f t="shared" si="2"/>
        <v>791</v>
      </c>
      <c r="F16" s="62">
        <f t="shared" si="6"/>
        <v>50</v>
      </c>
      <c r="G16" s="63">
        <f t="shared" si="3"/>
        <v>3</v>
      </c>
      <c r="H16" s="63">
        <f t="shared" si="4"/>
        <v>6</v>
      </c>
      <c r="K16" s="367"/>
      <c r="L16" s="65" t="s">
        <v>434</v>
      </c>
      <c r="M16" s="63">
        <v>36</v>
      </c>
      <c r="N16" s="63">
        <v>3</v>
      </c>
      <c r="O16" s="63">
        <v>791</v>
      </c>
      <c r="P16" s="63">
        <v>3</v>
      </c>
      <c r="Q16" s="63">
        <v>6</v>
      </c>
      <c r="S16" s="366"/>
      <c r="T16" s="366"/>
      <c r="U16" s="366"/>
    </row>
    <row r="17" spans="1:17">
      <c r="A17" s="65" t="s">
        <v>435</v>
      </c>
      <c r="B17" s="62">
        <f t="shared" si="5"/>
        <v>150</v>
      </c>
      <c r="C17" s="63">
        <f t="shared" si="0"/>
        <v>111</v>
      </c>
      <c r="D17" s="63">
        <f t="shared" si="1"/>
        <v>8</v>
      </c>
      <c r="E17" s="63">
        <f t="shared" si="2"/>
        <v>562</v>
      </c>
      <c r="F17" s="62">
        <f t="shared" si="6"/>
        <v>50</v>
      </c>
      <c r="G17" s="63">
        <f t="shared" si="3"/>
        <v>8</v>
      </c>
      <c r="H17" s="63">
        <f t="shared" si="4"/>
        <v>13</v>
      </c>
      <c r="K17" s="367"/>
      <c r="L17" s="65" t="s">
        <v>435</v>
      </c>
      <c r="M17" s="63">
        <v>111</v>
      </c>
      <c r="N17" s="63">
        <v>8</v>
      </c>
      <c r="O17" s="63">
        <v>562</v>
      </c>
      <c r="P17" s="63">
        <v>8</v>
      </c>
      <c r="Q17" s="63">
        <v>13</v>
      </c>
    </row>
    <row r="18" spans="1:17">
      <c r="A18" s="65" t="s">
        <v>436</v>
      </c>
      <c r="B18" s="62">
        <f t="shared" si="5"/>
        <v>150</v>
      </c>
      <c r="C18" s="63">
        <f t="shared" si="0"/>
        <v>195</v>
      </c>
      <c r="D18" s="63">
        <f t="shared" si="1"/>
        <v>13.5</v>
      </c>
      <c r="E18" s="63">
        <f t="shared" si="2"/>
        <v>300</v>
      </c>
      <c r="F18" s="62">
        <f t="shared" si="6"/>
        <v>50</v>
      </c>
      <c r="G18" s="63">
        <f t="shared" si="3"/>
        <v>13.5</v>
      </c>
      <c r="H18" s="63">
        <f t="shared" si="4"/>
        <v>15</v>
      </c>
      <c r="K18" s="367"/>
      <c r="L18" s="65" t="s">
        <v>436</v>
      </c>
      <c r="M18" s="63">
        <v>195</v>
      </c>
      <c r="N18" s="63">
        <v>13.5</v>
      </c>
      <c r="O18" s="174">
        <v>300</v>
      </c>
      <c r="P18" s="63">
        <v>13.5</v>
      </c>
      <c r="Q18" s="63">
        <v>15</v>
      </c>
    </row>
    <row r="19" spans="1:17">
      <c r="K19" s="367"/>
      <c r="L19" s="61" t="s">
        <v>437</v>
      </c>
      <c r="M19" s="61">
        <f>AVERAGE(M7:M18)</f>
        <v>70.666666666666671</v>
      </c>
      <c r="N19" s="61">
        <f>AVERAGE(N7:N18)</f>
        <v>6.791666666666667</v>
      </c>
      <c r="O19" s="61">
        <f>MAX(O7:O18)</f>
        <v>911</v>
      </c>
      <c r="P19" s="61">
        <f>AVERAGE(P7:P18)</f>
        <v>6.791666666666667</v>
      </c>
      <c r="Q19" s="61">
        <f>MAX(Q7:Q18)</f>
        <v>19</v>
      </c>
    </row>
    <row r="21" spans="1:17" ht="27.6">
      <c r="K21" s="60">
        <f>+A6</f>
        <v>2022</v>
      </c>
      <c r="L21" s="60" t="s">
        <v>419</v>
      </c>
      <c r="M21" s="54" t="s">
        <v>455</v>
      </c>
      <c r="N21" s="54" t="s">
        <v>456</v>
      </c>
      <c r="O21" s="54" t="s">
        <v>457</v>
      </c>
      <c r="P21" s="66" t="s">
        <v>417</v>
      </c>
      <c r="Q21" s="66" t="s">
        <v>421</v>
      </c>
    </row>
    <row r="22" spans="1:17">
      <c r="K22" s="367" t="s">
        <v>196</v>
      </c>
      <c r="L22" s="65" t="s">
        <v>422</v>
      </c>
      <c r="M22" s="63"/>
      <c r="N22" s="63"/>
      <c r="O22" s="63"/>
      <c r="P22" s="63"/>
      <c r="Q22" s="63"/>
    </row>
    <row r="23" spans="1:17">
      <c r="K23" s="367"/>
      <c r="L23" s="65" t="s">
        <v>423</v>
      </c>
      <c r="M23" s="63"/>
      <c r="N23" s="63"/>
      <c r="O23" s="63"/>
      <c r="P23" s="63"/>
      <c r="Q23" s="63"/>
    </row>
    <row r="24" spans="1:17">
      <c r="K24" s="367"/>
      <c r="L24" s="65" t="s">
        <v>424</v>
      </c>
      <c r="M24" s="63"/>
      <c r="N24" s="63"/>
      <c r="O24" s="63"/>
      <c r="P24" s="63"/>
      <c r="Q24" s="63"/>
    </row>
    <row r="25" spans="1:17">
      <c r="K25" s="367"/>
      <c r="L25" s="65" t="s">
        <v>426</v>
      </c>
      <c r="M25" s="63"/>
      <c r="N25" s="63"/>
      <c r="O25" s="63"/>
      <c r="P25" s="63"/>
      <c r="Q25" s="63"/>
    </row>
    <row r="26" spans="1:17">
      <c r="K26" s="367"/>
      <c r="L26" s="65" t="s">
        <v>428</v>
      </c>
      <c r="M26" s="63"/>
      <c r="N26" s="63"/>
      <c r="O26" s="63"/>
      <c r="P26" s="63"/>
      <c r="Q26" s="63"/>
    </row>
    <row r="27" spans="1:17">
      <c r="K27" s="367"/>
      <c r="L27" s="65" t="s">
        <v>429</v>
      </c>
      <c r="M27" s="63"/>
      <c r="N27" s="63"/>
      <c r="O27" s="63"/>
      <c r="P27" s="63"/>
      <c r="Q27" s="63"/>
    </row>
    <row r="28" spans="1:17">
      <c r="K28" s="367"/>
      <c r="L28" s="65" t="s">
        <v>430</v>
      </c>
      <c r="M28" s="63"/>
      <c r="N28" s="63"/>
      <c r="O28" s="63"/>
      <c r="P28" s="63"/>
      <c r="Q28" s="63"/>
    </row>
    <row r="29" spans="1:17">
      <c r="K29" s="367"/>
      <c r="L29" s="65" t="s">
        <v>432</v>
      </c>
      <c r="M29" s="63"/>
      <c r="N29" s="63"/>
      <c r="O29" s="63"/>
      <c r="P29" s="63"/>
      <c r="Q29" s="63"/>
    </row>
    <row r="30" spans="1:17">
      <c r="K30" s="367"/>
      <c r="L30" s="65" t="s">
        <v>433</v>
      </c>
      <c r="M30" s="63"/>
      <c r="N30" s="63"/>
      <c r="O30" s="63"/>
      <c r="P30" s="63"/>
      <c r="Q30" s="63"/>
    </row>
    <row r="31" spans="1:17">
      <c r="K31" s="367"/>
      <c r="L31" s="65" t="s">
        <v>434</v>
      </c>
      <c r="M31" s="63"/>
      <c r="N31" s="63"/>
      <c r="O31" s="63"/>
      <c r="P31" s="63"/>
      <c r="Q31" s="63"/>
    </row>
    <row r="32" spans="1:17">
      <c r="K32" s="367"/>
      <c r="L32" s="65" t="s">
        <v>435</v>
      </c>
      <c r="M32" s="63"/>
      <c r="N32" s="63"/>
      <c r="O32" s="63"/>
      <c r="P32" s="63"/>
      <c r="Q32" s="63"/>
    </row>
    <row r="33" spans="1:17">
      <c r="K33" s="367"/>
      <c r="L33" s="65" t="s">
        <v>436</v>
      </c>
      <c r="M33" s="63"/>
      <c r="N33" s="63"/>
      <c r="O33" s="63"/>
      <c r="P33" s="63"/>
      <c r="Q33" s="63"/>
    </row>
    <row r="34" spans="1:17">
      <c r="K34" s="367"/>
      <c r="L34" s="61" t="s">
        <v>437</v>
      </c>
      <c r="M34" s="61" t="e">
        <f>AVERAGE(M22:M33)</f>
        <v>#DIV/0!</v>
      </c>
      <c r="N34" s="61"/>
      <c r="O34" s="61">
        <f>MAX(O22:O33)</f>
        <v>0</v>
      </c>
      <c r="P34" s="61" t="e">
        <f>AVERAGE(P22:P33)</f>
        <v>#DIV/0!</v>
      </c>
      <c r="Q34" s="61">
        <f>MAX(Q22:Q33)</f>
        <v>0</v>
      </c>
    </row>
    <row r="36" spans="1:17" ht="27.6">
      <c r="K36" s="60">
        <f>+A6</f>
        <v>2022</v>
      </c>
      <c r="L36" s="60" t="s">
        <v>419</v>
      </c>
      <c r="M36" s="54" t="s">
        <v>455</v>
      </c>
      <c r="N36" s="54" t="s">
        <v>456</v>
      </c>
      <c r="O36" s="54" t="s">
        <v>457</v>
      </c>
      <c r="P36" s="66" t="s">
        <v>417</v>
      </c>
      <c r="Q36" s="66" t="s">
        <v>421</v>
      </c>
    </row>
    <row r="37" spans="1:17">
      <c r="K37" s="367" t="s">
        <v>197</v>
      </c>
      <c r="L37" s="65" t="s">
        <v>422</v>
      </c>
      <c r="M37" s="63"/>
      <c r="N37" s="63"/>
      <c r="O37" s="63"/>
      <c r="P37" s="63"/>
      <c r="Q37" s="63"/>
    </row>
    <row r="38" spans="1:17">
      <c r="K38" s="367"/>
      <c r="L38" s="65" t="s">
        <v>423</v>
      </c>
      <c r="M38" s="63"/>
      <c r="N38" s="63"/>
      <c r="O38" s="63"/>
      <c r="P38" s="63"/>
      <c r="Q38" s="63"/>
    </row>
    <row r="39" spans="1:17">
      <c r="K39" s="367"/>
      <c r="L39" s="65" t="s">
        <v>424</v>
      </c>
      <c r="M39" s="63"/>
      <c r="N39" s="63"/>
      <c r="O39" s="63"/>
      <c r="P39" s="63"/>
      <c r="Q39" s="63"/>
    </row>
    <row r="40" spans="1:17">
      <c r="K40" s="367"/>
      <c r="L40" s="65" t="s">
        <v>426</v>
      </c>
      <c r="M40" s="63"/>
      <c r="N40" s="63"/>
      <c r="O40" s="63"/>
      <c r="P40" s="63"/>
      <c r="Q40" s="63"/>
    </row>
    <row r="41" spans="1:17">
      <c r="K41" s="367"/>
      <c r="L41" s="65" t="s">
        <v>428</v>
      </c>
      <c r="M41" s="63"/>
      <c r="N41" s="63"/>
      <c r="O41" s="63"/>
      <c r="P41" s="63"/>
      <c r="Q41" s="63"/>
    </row>
    <row r="42" spans="1:17">
      <c r="K42" s="367"/>
      <c r="L42" s="65" t="s">
        <v>429</v>
      </c>
      <c r="M42" s="63"/>
      <c r="N42" s="63"/>
      <c r="O42" s="63"/>
      <c r="P42" s="63"/>
      <c r="Q42" s="63"/>
    </row>
    <row r="43" spans="1:17">
      <c r="K43" s="367"/>
      <c r="L43" s="65" t="s">
        <v>430</v>
      </c>
      <c r="M43" s="63"/>
      <c r="N43" s="63"/>
      <c r="O43" s="63"/>
      <c r="P43" s="63"/>
      <c r="Q43" s="63"/>
    </row>
    <row r="44" spans="1:17">
      <c r="K44" s="367"/>
      <c r="L44" s="65" t="s">
        <v>432</v>
      </c>
      <c r="M44" s="63"/>
      <c r="N44" s="63"/>
      <c r="O44" s="63"/>
      <c r="P44" s="63"/>
      <c r="Q44" s="63"/>
    </row>
    <row r="45" spans="1:17">
      <c r="K45" s="367"/>
      <c r="L45" s="65" t="s">
        <v>433</v>
      </c>
      <c r="M45" s="63"/>
      <c r="N45" s="63"/>
      <c r="O45" s="63"/>
      <c r="P45" s="63"/>
      <c r="Q45" s="63"/>
    </row>
    <row r="46" spans="1:17">
      <c r="K46" s="367"/>
      <c r="L46" s="65" t="s">
        <v>434</v>
      </c>
      <c r="M46" s="63"/>
      <c r="N46" s="63"/>
      <c r="O46" s="63"/>
      <c r="P46" s="63"/>
      <c r="Q46" s="63"/>
    </row>
    <row r="47" spans="1:17">
      <c r="K47" s="367"/>
      <c r="L47" s="65" t="s">
        <v>435</v>
      </c>
      <c r="M47" s="63"/>
      <c r="N47" s="63"/>
      <c r="O47" s="63"/>
      <c r="P47" s="63"/>
      <c r="Q47" s="63"/>
    </row>
    <row r="48" spans="1:17">
      <c r="A48" s="379" t="s">
        <v>325</v>
      </c>
      <c r="B48" s="380"/>
      <c r="C48" s="380"/>
      <c r="D48" s="380"/>
      <c r="E48" s="380"/>
      <c r="F48" s="380"/>
      <c r="G48" s="380"/>
      <c r="H48" s="381"/>
      <c r="K48" s="367"/>
      <c r="L48" s="65" t="s">
        <v>436</v>
      </c>
      <c r="M48" s="63"/>
      <c r="N48" s="63"/>
      <c r="O48" s="63"/>
      <c r="P48" s="63"/>
      <c r="Q48" s="63"/>
    </row>
    <row r="49" spans="1:17">
      <c r="A49" s="382" t="s">
        <v>462</v>
      </c>
      <c r="B49" s="383"/>
      <c r="C49" s="383"/>
      <c r="D49" s="383"/>
      <c r="E49" s="383"/>
      <c r="F49" s="383"/>
      <c r="G49" s="383"/>
      <c r="H49" s="384"/>
      <c r="K49" s="367"/>
      <c r="L49" s="61" t="s">
        <v>437</v>
      </c>
      <c r="M49" s="61" t="e">
        <f>AVERAGE(M37:M48)</f>
        <v>#DIV/0!</v>
      </c>
      <c r="N49" s="61"/>
      <c r="O49" s="61">
        <f>MAX(O37:O48)</f>
        <v>0</v>
      </c>
      <c r="P49" s="61" t="e">
        <f>AVERAGE(P37:P48)</f>
        <v>#DIV/0!</v>
      </c>
      <c r="Q49" s="61">
        <f>MAX(Q37:Q48)</f>
        <v>0</v>
      </c>
    </row>
    <row r="50" spans="1:17">
      <c r="A50" s="385"/>
      <c r="B50" s="386"/>
      <c r="C50" s="386"/>
      <c r="D50" s="386"/>
      <c r="E50" s="386"/>
      <c r="F50" s="386"/>
      <c r="G50" s="386"/>
      <c r="H50" s="387"/>
    </row>
    <row r="51" spans="1:17" ht="27.6">
      <c r="A51" s="385"/>
      <c r="B51" s="386"/>
      <c r="C51" s="386"/>
      <c r="D51" s="386"/>
      <c r="E51" s="386"/>
      <c r="F51" s="386"/>
      <c r="G51" s="386"/>
      <c r="H51" s="387"/>
      <c r="K51" s="60">
        <f>+A6</f>
        <v>2022</v>
      </c>
      <c r="L51" s="60" t="s">
        <v>419</v>
      </c>
      <c r="M51" s="54" t="s">
        <v>455</v>
      </c>
      <c r="N51" s="54" t="s">
        <v>456</v>
      </c>
      <c r="O51" s="54" t="s">
        <v>457</v>
      </c>
      <c r="P51" s="66" t="s">
        <v>417</v>
      </c>
      <c r="Q51" s="66" t="s">
        <v>421</v>
      </c>
    </row>
    <row r="52" spans="1:17">
      <c r="A52" s="388"/>
      <c r="B52" s="389"/>
      <c r="C52" s="389"/>
      <c r="D52" s="389"/>
      <c r="E52" s="389"/>
      <c r="F52" s="389"/>
      <c r="G52" s="389"/>
      <c r="H52" s="390"/>
      <c r="K52" s="367" t="s">
        <v>198</v>
      </c>
      <c r="L52" s="65" t="s">
        <v>422</v>
      </c>
      <c r="M52" s="63"/>
      <c r="N52" s="63"/>
      <c r="O52" s="63"/>
      <c r="P52" s="63"/>
      <c r="Q52" s="63"/>
    </row>
    <row r="53" spans="1:17">
      <c r="K53" s="367"/>
      <c r="L53" s="65" t="s">
        <v>423</v>
      </c>
      <c r="M53" s="63"/>
      <c r="N53" s="63"/>
      <c r="O53" s="63"/>
      <c r="P53" s="63"/>
      <c r="Q53" s="63"/>
    </row>
    <row r="54" spans="1:17">
      <c r="K54" s="367"/>
      <c r="L54" s="65" t="s">
        <v>424</v>
      </c>
      <c r="M54" s="63"/>
      <c r="N54" s="63"/>
      <c r="O54" s="63"/>
      <c r="P54" s="63"/>
      <c r="Q54" s="63"/>
    </row>
    <row r="55" spans="1:17">
      <c r="K55" s="367"/>
      <c r="L55" s="65" t="s">
        <v>426</v>
      </c>
      <c r="M55" s="63"/>
      <c r="N55" s="63"/>
      <c r="O55" s="63"/>
      <c r="P55" s="63"/>
      <c r="Q55" s="63"/>
    </row>
    <row r="56" spans="1:17">
      <c r="K56" s="367"/>
      <c r="L56" s="65" t="s">
        <v>428</v>
      </c>
      <c r="M56" s="63"/>
      <c r="N56" s="63"/>
      <c r="O56" s="63"/>
      <c r="P56" s="63"/>
      <c r="Q56" s="63"/>
    </row>
    <row r="57" spans="1:17">
      <c r="K57" s="367"/>
      <c r="L57" s="65" t="s">
        <v>429</v>
      </c>
      <c r="M57" s="63"/>
      <c r="N57" s="63"/>
      <c r="O57" s="63"/>
      <c r="P57" s="63"/>
      <c r="Q57" s="63"/>
    </row>
    <row r="58" spans="1:17">
      <c r="K58" s="367"/>
      <c r="L58" s="65" t="s">
        <v>430</v>
      </c>
      <c r="M58" s="63"/>
      <c r="N58" s="63"/>
      <c r="O58" s="63"/>
      <c r="P58" s="63"/>
      <c r="Q58" s="63"/>
    </row>
    <row r="59" spans="1:17">
      <c r="K59" s="367"/>
      <c r="L59" s="65" t="s">
        <v>432</v>
      </c>
      <c r="M59" s="63"/>
      <c r="N59" s="63"/>
      <c r="O59" s="63"/>
      <c r="P59" s="63"/>
      <c r="Q59" s="63"/>
    </row>
    <row r="60" spans="1:17">
      <c r="K60" s="367"/>
      <c r="L60" s="65" t="s">
        <v>433</v>
      </c>
      <c r="M60" s="63"/>
      <c r="N60" s="63"/>
      <c r="O60" s="63"/>
      <c r="P60" s="63"/>
      <c r="Q60" s="63"/>
    </row>
    <row r="61" spans="1:17">
      <c r="K61" s="367"/>
      <c r="L61" s="65" t="s">
        <v>434</v>
      </c>
      <c r="M61" s="63"/>
      <c r="N61" s="63"/>
      <c r="O61" s="63"/>
      <c r="P61" s="63"/>
      <c r="Q61" s="63"/>
    </row>
    <row r="62" spans="1:17">
      <c r="K62" s="367"/>
      <c r="L62" s="65" t="s">
        <v>435</v>
      </c>
      <c r="M62" s="63"/>
      <c r="N62" s="63"/>
      <c r="O62" s="63"/>
      <c r="P62" s="63"/>
      <c r="Q62" s="63"/>
    </row>
    <row r="63" spans="1:17">
      <c r="K63" s="367"/>
      <c r="L63" s="65" t="s">
        <v>436</v>
      </c>
      <c r="M63" s="63"/>
      <c r="N63" s="63"/>
      <c r="O63" s="63"/>
      <c r="P63" s="63"/>
      <c r="Q63" s="63"/>
    </row>
    <row r="64" spans="1:17">
      <c r="K64" s="367"/>
      <c r="L64" s="61" t="s">
        <v>437</v>
      </c>
      <c r="M64" s="61" t="e">
        <f>AVERAGE(M52:M63)</f>
        <v>#DIV/0!</v>
      </c>
      <c r="N64" s="61"/>
      <c r="O64" s="61">
        <f>MAX(O52:O63)</f>
        <v>0</v>
      </c>
      <c r="P64" s="61" t="e">
        <f>AVERAGE(P52:P63)</f>
        <v>#DIV/0!</v>
      </c>
      <c r="Q64" s="61">
        <f>MAX(Q52:Q63)</f>
        <v>0</v>
      </c>
    </row>
    <row r="66" spans="11:17" ht="27.6">
      <c r="K66" s="60">
        <f>+A6</f>
        <v>2022</v>
      </c>
      <c r="L66" s="60" t="s">
        <v>419</v>
      </c>
      <c r="M66" s="54" t="s">
        <v>455</v>
      </c>
      <c r="N66" s="54" t="s">
        <v>456</v>
      </c>
      <c r="O66" s="54" t="s">
        <v>457</v>
      </c>
      <c r="P66" s="66" t="s">
        <v>417</v>
      </c>
      <c r="Q66" s="66" t="s">
        <v>421</v>
      </c>
    </row>
    <row r="67" spans="11:17">
      <c r="K67" s="367" t="s">
        <v>199</v>
      </c>
      <c r="L67" s="65" t="s">
        <v>422</v>
      </c>
      <c r="M67" s="63"/>
      <c r="N67" s="63"/>
      <c r="O67" s="63"/>
      <c r="P67" s="63"/>
      <c r="Q67" s="63"/>
    </row>
    <row r="68" spans="11:17">
      <c r="K68" s="367"/>
      <c r="L68" s="65" t="s">
        <v>423</v>
      </c>
      <c r="M68" s="63"/>
      <c r="N68" s="63"/>
      <c r="O68" s="63"/>
      <c r="P68" s="63"/>
      <c r="Q68" s="63"/>
    </row>
    <row r="69" spans="11:17">
      <c r="K69" s="367"/>
      <c r="L69" s="65" t="s">
        <v>424</v>
      </c>
      <c r="M69" s="63"/>
      <c r="N69" s="63"/>
      <c r="O69" s="63"/>
      <c r="P69" s="63"/>
      <c r="Q69" s="63"/>
    </row>
    <row r="70" spans="11:17">
      <c r="K70" s="367"/>
      <c r="L70" s="65" t="s">
        <v>426</v>
      </c>
      <c r="M70" s="63"/>
      <c r="N70" s="63"/>
      <c r="O70" s="63"/>
      <c r="P70" s="63"/>
      <c r="Q70" s="63"/>
    </row>
    <row r="71" spans="11:17">
      <c r="K71" s="367"/>
      <c r="L71" s="65" t="s">
        <v>428</v>
      </c>
      <c r="M71" s="63"/>
      <c r="N71" s="63"/>
      <c r="O71" s="63"/>
      <c r="P71" s="63"/>
      <c r="Q71" s="63"/>
    </row>
    <row r="72" spans="11:17">
      <c r="K72" s="367"/>
      <c r="L72" s="65" t="s">
        <v>429</v>
      </c>
      <c r="M72" s="63"/>
      <c r="N72" s="63"/>
      <c r="O72" s="63"/>
      <c r="P72" s="63"/>
      <c r="Q72" s="63"/>
    </row>
    <row r="73" spans="11:17">
      <c r="K73" s="367"/>
      <c r="L73" s="65" t="s">
        <v>430</v>
      </c>
      <c r="M73" s="63"/>
      <c r="N73" s="63"/>
      <c r="O73" s="63"/>
      <c r="P73" s="63"/>
      <c r="Q73" s="63"/>
    </row>
    <row r="74" spans="11:17">
      <c r="K74" s="367"/>
      <c r="L74" s="65" t="s">
        <v>432</v>
      </c>
      <c r="M74" s="63"/>
      <c r="N74" s="63"/>
      <c r="O74" s="63"/>
      <c r="P74" s="63"/>
      <c r="Q74" s="63"/>
    </row>
    <row r="75" spans="11:17">
      <c r="K75" s="367"/>
      <c r="L75" s="65" t="s">
        <v>433</v>
      </c>
      <c r="M75" s="63"/>
      <c r="N75" s="63"/>
      <c r="O75" s="63"/>
      <c r="P75" s="63"/>
      <c r="Q75" s="63"/>
    </row>
    <row r="76" spans="11:17">
      <c r="K76" s="367"/>
      <c r="L76" s="65" t="s">
        <v>434</v>
      </c>
      <c r="M76" s="63"/>
      <c r="N76" s="63"/>
      <c r="O76" s="63"/>
      <c r="P76" s="63"/>
      <c r="Q76" s="63"/>
    </row>
    <row r="77" spans="11:17">
      <c r="K77" s="367"/>
      <c r="L77" s="65" t="s">
        <v>435</v>
      </c>
      <c r="M77" s="63"/>
      <c r="N77" s="63"/>
      <c r="O77" s="63"/>
      <c r="P77" s="63"/>
      <c r="Q77" s="63"/>
    </row>
    <row r="78" spans="11:17">
      <c r="K78" s="367"/>
      <c r="L78" s="65" t="s">
        <v>436</v>
      </c>
      <c r="M78" s="63"/>
      <c r="N78" s="63"/>
      <c r="O78" s="63"/>
      <c r="P78" s="63"/>
      <c r="Q78" s="63"/>
    </row>
    <row r="79" spans="11:17">
      <c r="K79" s="367"/>
      <c r="L79" s="61" t="s">
        <v>437</v>
      </c>
      <c r="M79" s="61" t="e">
        <f>AVERAGE(M67:M78)</f>
        <v>#DIV/0!</v>
      </c>
      <c r="N79" s="61"/>
      <c r="O79" s="61">
        <f>MAX(O67:O78)</f>
        <v>0</v>
      </c>
      <c r="P79" s="61" t="e">
        <f>AVERAGE(P67:P78)</f>
        <v>#DIV/0!</v>
      </c>
      <c r="Q79" s="61">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view="pageBreakPreview" topLeftCell="A25" zoomScaleNormal="100" zoomScaleSheetLayoutView="100" workbookViewId="0">
      <selection activeCell="N7" sqref="N7"/>
    </sheetView>
  </sheetViews>
  <sheetFormatPr defaultRowHeight="13.9"/>
  <cols>
    <col min="1" max="1" width="14" style="3" customWidth="1"/>
    <col min="2" max="4" width="17" style="34" customWidth="1"/>
    <col min="5" max="5" width="14.7109375" style="34" customWidth="1"/>
    <col min="6" max="7" width="17" style="34"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Charlton Lane Eco Park</v>
      </c>
    </row>
    <row r="3" spans="1:19" ht="14.45">
      <c r="A3" s="59" t="s">
        <v>463</v>
      </c>
      <c r="D3" s="75" t="s">
        <v>406</v>
      </c>
      <c r="G3" s="79" t="s">
        <v>407</v>
      </c>
      <c r="J3" s="9" t="str">
        <f>+A3</f>
        <v xml:space="preserve">Monitoring of Ammnonia emissions </v>
      </c>
      <c r="L3" s="9"/>
      <c r="N3" s="9" t="s">
        <v>408</v>
      </c>
      <c r="Q3" s="78" t="s">
        <v>3</v>
      </c>
      <c r="R3" s="73"/>
      <c r="S3" s="73"/>
    </row>
    <row r="4" spans="1:19" ht="13.9" customHeight="1">
      <c r="Q4" s="358" t="s">
        <v>409</v>
      </c>
      <c r="R4" s="358"/>
      <c r="S4" s="358"/>
    </row>
    <row r="5" spans="1:19" ht="16.149999999999999">
      <c r="A5" s="67" t="s">
        <v>410</v>
      </c>
      <c r="B5" s="369" t="s">
        <v>411</v>
      </c>
      <c r="C5" s="369"/>
      <c r="D5" s="369"/>
      <c r="E5" s="369" t="s">
        <v>412</v>
      </c>
      <c r="F5" s="369"/>
      <c r="G5" s="369"/>
      <c r="J5" s="368"/>
      <c r="K5" s="368"/>
      <c r="L5" s="368"/>
      <c r="M5" s="368"/>
      <c r="N5" s="368"/>
      <c r="O5" s="368"/>
      <c r="Q5" s="358"/>
      <c r="R5" s="358"/>
      <c r="S5" s="358"/>
    </row>
    <row r="6" spans="1:19" s="57" customFormat="1" ht="37.5" customHeight="1">
      <c r="A6" s="64">
        <f>+'Cover Page'!C39</f>
        <v>2022</v>
      </c>
      <c r="B6" s="54" t="s">
        <v>464</v>
      </c>
      <c r="C6" s="54" t="s">
        <v>414</v>
      </c>
      <c r="D6" s="54" t="s">
        <v>415</v>
      </c>
      <c r="E6" s="54" t="s">
        <v>465</v>
      </c>
      <c r="F6" s="54" t="s">
        <v>417</v>
      </c>
      <c r="G6" s="54" t="s">
        <v>418</v>
      </c>
      <c r="H6" s="58"/>
      <c r="J6" s="60">
        <f>+A6</f>
        <v>2022</v>
      </c>
      <c r="K6" s="60" t="s">
        <v>419</v>
      </c>
      <c r="L6" s="66" t="s">
        <v>414</v>
      </c>
      <c r="M6" s="66" t="s">
        <v>420</v>
      </c>
      <c r="N6" s="66" t="s">
        <v>417</v>
      </c>
      <c r="O6" s="66" t="s">
        <v>421</v>
      </c>
      <c r="Q6" s="358"/>
      <c r="R6" s="358"/>
      <c r="S6" s="358"/>
    </row>
    <row r="7" spans="1:19">
      <c r="A7" s="65" t="s">
        <v>422</v>
      </c>
      <c r="B7" s="68">
        <v>0</v>
      </c>
      <c r="C7" s="63">
        <f t="shared" ref="C7:C18" si="0">L7</f>
        <v>8.9</v>
      </c>
      <c r="D7" s="63">
        <f t="shared" ref="D7:D18" si="1">M7</f>
        <v>34</v>
      </c>
      <c r="E7" s="68">
        <v>10</v>
      </c>
      <c r="F7" s="63">
        <f t="shared" ref="F7:F18" si="2">N7</f>
        <v>8.9</v>
      </c>
      <c r="G7" s="63">
        <f t="shared" ref="G7:G18" si="3">O7</f>
        <v>11</v>
      </c>
      <c r="J7" s="367" t="s">
        <v>195</v>
      </c>
      <c r="K7" s="65" t="s">
        <v>422</v>
      </c>
      <c r="L7" s="63">
        <v>8.9</v>
      </c>
      <c r="M7" s="63">
        <v>34</v>
      </c>
      <c r="N7" s="63">
        <v>8.9</v>
      </c>
      <c r="O7" s="63">
        <v>11</v>
      </c>
      <c r="Q7" s="358"/>
      <c r="R7" s="358"/>
      <c r="S7" s="358"/>
    </row>
    <row r="8" spans="1:19">
      <c r="A8" s="65" t="s">
        <v>423</v>
      </c>
      <c r="B8" s="62">
        <f>+B7</f>
        <v>0</v>
      </c>
      <c r="C8" s="63">
        <f t="shared" si="0"/>
        <v>8.4</v>
      </c>
      <c r="D8" s="63">
        <f t="shared" si="1"/>
        <v>27</v>
      </c>
      <c r="E8" s="62">
        <f>+E7</f>
        <v>10</v>
      </c>
      <c r="F8" s="63">
        <f t="shared" si="2"/>
        <v>8.4</v>
      </c>
      <c r="G8" s="63">
        <f t="shared" si="3"/>
        <v>9.1999999999999993</v>
      </c>
      <c r="J8" s="367"/>
      <c r="K8" s="65" t="s">
        <v>423</v>
      </c>
      <c r="L8" s="63">
        <v>8.4</v>
      </c>
      <c r="M8" s="63">
        <v>27</v>
      </c>
      <c r="N8" s="63">
        <v>8.4</v>
      </c>
      <c r="O8" s="63">
        <v>9.1999999999999993</v>
      </c>
      <c r="Q8" s="358"/>
      <c r="R8" s="358"/>
      <c r="S8" s="358"/>
    </row>
    <row r="9" spans="1:19">
      <c r="A9" s="65" t="s">
        <v>424</v>
      </c>
      <c r="B9" s="62">
        <f t="shared" ref="B9:B18" si="4">+B8</f>
        <v>0</v>
      </c>
      <c r="C9" s="63">
        <f t="shared" si="0"/>
        <v>9.5</v>
      </c>
      <c r="D9" s="63">
        <f t="shared" si="1"/>
        <v>68.8</v>
      </c>
      <c r="E9" s="62">
        <f t="shared" ref="E9:E18" si="5">+E8</f>
        <v>10</v>
      </c>
      <c r="F9" s="63">
        <f t="shared" si="2"/>
        <v>9.5</v>
      </c>
      <c r="G9" s="63">
        <f t="shared" si="3"/>
        <v>10</v>
      </c>
      <c r="J9" s="367"/>
      <c r="K9" s="65" t="s">
        <v>424</v>
      </c>
      <c r="L9" s="63">
        <v>9.5</v>
      </c>
      <c r="M9" s="63">
        <v>68.8</v>
      </c>
      <c r="N9" s="63">
        <v>9.5</v>
      </c>
      <c r="O9" s="63">
        <v>10</v>
      </c>
      <c r="Q9" s="77" t="s">
        <v>425</v>
      </c>
    </row>
    <row r="10" spans="1:19" ht="14.25" customHeight="1">
      <c r="A10" s="65" t="s">
        <v>426</v>
      </c>
      <c r="B10" s="62">
        <f t="shared" si="4"/>
        <v>0</v>
      </c>
      <c r="C10" s="63">
        <f t="shared" si="0"/>
        <v>14</v>
      </c>
      <c r="D10" s="63">
        <f t="shared" si="1"/>
        <v>96</v>
      </c>
      <c r="E10" s="62">
        <f t="shared" si="5"/>
        <v>10</v>
      </c>
      <c r="F10" s="63">
        <f t="shared" si="2"/>
        <v>14</v>
      </c>
      <c r="G10" s="63">
        <f t="shared" si="3"/>
        <v>40</v>
      </c>
      <c r="J10" s="367"/>
      <c r="K10" s="65" t="s">
        <v>426</v>
      </c>
      <c r="L10" s="63">
        <v>14</v>
      </c>
      <c r="M10" s="63">
        <v>96</v>
      </c>
      <c r="N10" s="63">
        <v>14</v>
      </c>
      <c r="O10" s="63">
        <v>40</v>
      </c>
      <c r="Q10" s="366" t="s">
        <v>427</v>
      </c>
      <c r="R10" s="366"/>
      <c r="S10" s="366"/>
    </row>
    <row r="11" spans="1:19">
      <c r="A11" s="65" t="s">
        <v>428</v>
      </c>
      <c r="B11" s="62">
        <f t="shared" si="4"/>
        <v>0</v>
      </c>
      <c r="C11" s="63">
        <f t="shared" si="0"/>
        <v>10</v>
      </c>
      <c r="D11" s="63">
        <f t="shared" si="1"/>
        <v>53</v>
      </c>
      <c r="E11" s="62">
        <f t="shared" si="5"/>
        <v>10</v>
      </c>
      <c r="F11" s="63">
        <f t="shared" si="2"/>
        <v>10</v>
      </c>
      <c r="G11" s="63">
        <f t="shared" si="3"/>
        <v>21</v>
      </c>
      <c r="J11" s="367"/>
      <c r="K11" s="65" t="s">
        <v>428</v>
      </c>
      <c r="L11" s="63">
        <v>10</v>
      </c>
      <c r="M11" s="63">
        <v>53</v>
      </c>
      <c r="N11" s="63">
        <v>10</v>
      </c>
      <c r="O11" s="63">
        <v>21</v>
      </c>
      <c r="Q11" s="366"/>
      <c r="R11" s="366"/>
      <c r="S11" s="366"/>
    </row>
    <row r="12" spans="1:19">
      <c r="A12" s="65" t="s">
        <v>429</v>
      </c>
      <c r="B12" s="62">
        <f t="shared" si="4"/>
        <v>0</v>
      </c>
      <c r="C12" s="63">
        <f t="shared" si="0"/>
        <v>10</v>
      </c>
      <c r="D12" s="63">
        <f t="shared" si="1"/>
        <v>51</v>
      </c>
      <c r="E12" s="62">
        <f t="shared" si="5"/>
        <v>10</v>
      </c>
      <c r="F12" s="63">
        <f t="shared" si="2"/>
        <v>10</v>
      </c>
      <c r="G12" s="63">
        <f t="shared" si="3"/>
        <v>18</v>
      </c>
      <c r="J12" s="367"/>
      <c r="K12" s="65" t="s">
        <v>429</v>
      </c>
      <c r="L12" s="63">
        <v>10</v>
      </c>
      <c r="M12" s="63">
        <v>51</v>
      </c>
      <c r="N12" s="63">
        <v>10</v>
      </c>
      <c r="O12" s="63">
        <v>18</v>
      </c>
      <c r="Q12" s="366"/>
      <c r="R12" s="366"/>
      <c r="S12" s="366"/>
    </row>
    <row r="13" spans="1:19" ht="14.25" customHeight="1">
      <c r="A13" s="65" t="s">
        <v>430</v>
      </c>
      <c r="B13" s="62">
        <f t="shared" si="4"/>
        <v>0</v>
      </c>
      <c r="C13" s="63">
        <f t="shared" si="0"/>
        <v>0</v>
      </c>
      <c r="D13" s="63">
        <f t="shared" si="1"/>
        <v>0</v>
      </c>
      <c r="E13" s="62">
        <f t="shared" si="5"/>
        <v>10</v>
      </c>
      <c r="F13" s="63">
        <f t="shared" si="2"/>
        <v>0</v>
      </c>
      <c r="G13" s="63">
        <f t="shared" si="3"/>
        <v>0</v>
      </c>
      <c r="J13" s="367"/>
      <c r="K13" s="65" t="s">
        <v>430</v>
      </c>
      <c r="L13" s="63">
        <v>0</v>
      </c>
      <c r="M13" s="63">
        <v>0</v>
      </c>
      <c r="N13" s="63">
        <v>0</v>
      </c>
      <c r="O13" s="63">
        <v>0</v>
      </c>
      <c r="Q13" s="366" t="s">
        <v>431</v>
      </c>
      <c r="R13" s="366"/>
      <c r="S13" s="366"/>
    </row>
    <row r="14" spans="1:19">
      <c r="A14" s="65" t="s">
        <v>432</v>
      </c>
      <c r="B14" s="62">
        <f t="shared" si="4"/>
        <v>0</v>
      </c>
      <c r="C14" s="63">
        <f t="shared" si="0"/>
        <v>10</v>
      </c>
      <c r="D14" s="63">
        <f t="shared" si="1"/>
        <v>36</v>
      </c>
      <c r="E14" s="62">
        <f t="shared" si="5"/>
        <v>10</v>
      </c>
      <c r="F14" s="63">
        <f t="shared" si="2"/>
        <v>10</v>
      </c>
      <c r="G14" s="63">
        <f t="shared" si="3"/>
        <v>13</v>
      </c>
      <c r="J14" s="367"/>
      <c r="K14" s="65" t="s">
        <v>432</v>
      </c>
      <c r="L14" s="63">
        <v>10</v>
      </c>
      <c r="M14" s="63">
        <v>36</v>
      </c>
      <c r="N14" s="63">
        <v>10</v>
      </c>
      <c r="O14" s="63">
        <v>13</v>
      </c>
      <c r="Q14" s="366"/>
      <c r="R14" s="366"/>
      <c r="S14" s="366"/>
    </row>
    <row r="15" spans="1:19">
      <c r="A15" s="65" t="s">
        <v>433</v>
      </c>
      <c r="B15" s="62">
        <f t="shared" si="4"/>
        <v>0</v>
      </c>
      <c r="C15" s="63">
        <f t="shared" si="0"/>
        <v>18</v>
      </c>
      <c r="D15" s="63">
        <f t="shared" si="1"/>
        <v>89</v>
      </c>
      <c r="E15" s="62">
        <f t="shared" si="5"/>
        <v>10</v>
      </c>
      <c r="F15" s="63">
        <f t="shared" si="2"/>
        <v>18</v>
      </c>
      <c r="G15" s="63">
        <f t="shared" si="3"/>
        <v>22</v>
      </c>
      <c r="J15" s="367"/>
      <c r="K15" s="65" t="s">
        <v>433</v>
      </c>
      <c r="L15" s="63">
        <v>18</v>
      </c>
      <c r="M15" s="63">
        <v>89</v>
      </c>
      <c r="N15" s="63">
        <v>18</v>
      </c>
      <c r="O15" s="63">
        <v>22</v>
      </c>
      <c r="Q15" s="366"/>
      <c r="R15" s="366"/>
      <c r="S15" s="366"/>
    </row>
    <row r="16" spans="1:19">
      <c r="A16" s="65" t="s">
        <v>434</v>
      </c>
      <c r="B16" s="62">
        <f t="shared" si="4"/>
        <v>0</v>
      </c>
      <c r="C16" s="63">
        <f t="shared" si="0"/>
        <v>17</v>
      </c>
      <c r="D16" s="63">
        <f t="shared" si="1"/>
        <v>62</v>
      </c>
      <c r="E16" s="62">
        <f t="shared" si="5"/>
        <v>10</v>
      </c>
      <c r="F16" s="63">
        <f t="shared" si="2"/>
        <v>17</v>
      </c>
      <c r="G16" s="63">
        <f t="shared" si="3"/>
        <v>25</v>
      </c>
      <c r="J16" s="367"/>
      <c r="K16" s="65" t="s">
        <v>434</v>
      </c>
      <c r="L16" s="63">
        <v>17</v>
      </c>
      <c r="M16" s="63">
        <v>62</v>
      </c>
      <c r="N16" s="63">
        <v>17</v>
      </c>
      <c r="O16" s="63">
        <v>25</v>
      </c>
      <c r="Q16" s="366"/>
      <c r="R16" s="366"/>
      <c r="S16" s="366"/>
    </row>
    <row r="17" spans="1:15">
      <c r="A17" s="65" t="s">
        <v>435</v>
      </c>
      <c r="B17" s="62">
        <f t="shared" si="4"/>
        <v>0</v>
      </c>
      <c r="C17" s="63">
        <f t="shared" si="0"/>
        <v>17</v>
      </c>
      <c r="D17" s="63">
        <f t="shared" si="1"/>
        <v>61</v>
      </c>
      <c r="E17" s="62">
        <f t="shared" si="5"/>
        <v>10</v>
      </c>
      <c r="F17" s="63">
        <f t="shared" si="2"/>
        <v>17</v>
      </c>
      <c r="G17" s="63">
        <f t="shared" si="3"/>
        <v>25</v>
      </c>
      <c r="J17" s="367"/>
      <c r="K17" s="65" t="s">
        <v>435</v>
      </c>
      <c r="L17" s="63">
        <v>17</v>
      </c>
      <c r="M17" s="63">
        <v>61</v>
      </c>
      <c r="N17" s="63">
        <v>17</v>
      </c>
      <c r="O17" s="63">
        <v>25</v>
      </c>
    </row>
    <row r="18" spans="1:15">
      <c r="A18" s="65" t="s">
        <v>436</v>
      </c>
      <c r="B18" s="62">
        <f t="shared" si="4"/>
        <v>0</v>
      </c>
      <c r="C18" s="63">
        <f t="shared" si="0"/>
        <v>21</v>
      </c>
      <c r="D18" s="63">
        <f t="shared" si="1"/>
        <v>128</v>
      </c>
      <c r="E18" s="62">
        <f t="shared" si="5"/>
        <v>10</v>
      </c>
      <c r="F18" s="63">
        <f t="shared" si="2"/>
        <v>17</v>
      </c>
      <c r="G18" s="63">
        <f t="shared" si="3"/>
        <v>17</v>
      </c>
      <c r="J18" s="367"/>
      <c r="K18" s="65" t="s">
        <v>436</v>
      </c>
      <c r="L18" s="63">
        <v>21</v>
      </c>
      <c r="M18" s="63">
        <v>128</v>
      </c>
      <c r="N18" s="63">
        <v>17</v>
      </c>
      <c r="O18" s="63">
        <v>17</v>
      </c>
    </row>
    <row r="19" spans="1:15">
      <c r="J19" s="367"/>
      <c r="K19" s="61" t="s">
        <v>437</v>
      </c>
      <c r="L19" s="61">
        <f>AVERAGE(L7:L18)</f>
        <v>11.983333333333334</v>
      </c>
      <c r="M19" s="61">
        <f>MAX(M7:M18)</f>
        <v>128</v>
      </c>
      <c r="N19" s="61">
        <f>AVERAGE(N7:N18)</f>
        <v>11.65</v>
      </c>
      <c r="O19" s="61">
        <f>MAX(O7:O18)</f>
        <v>40</v>
      </c>
    </row>
    <row r="21" spans="1:15" ht="41.45">
      <c r="J21" s="60">
        <f>+A6</f>
        <v>2022</v>
      </c>
      <c r="K21" s="60" t="s">
        <v>419</v>
      </c>
      <c r="L21" s="66" t="s">
        <v>414</v>
      </c>
      <c r="M21" s="66" t="s">
        <v>420</v>
      </c>
      <c r="N21" s="66" t="s">
        <v>417</v>
      </c>
      <c r="O21" s="66" t="s">
        <v>421</v>
      </c>
    </row>
    <row r="22" spans="1:15">
      <c r="J22" s="367" t="s">
        <v>196</v>
      </c>
      <c r="K22" s="65" t="s">
        <v>422</v>
      </c>
      <c r="L22" s="63"/>
      <c r="M22" s="63"/>
      <c r="N22" s="63"/>
      <c r="O22" s="63"/>
    </row>
    <row r="23" spans="1:15">
      <c r="J23" s="367"/>
      <c r="K23" s="65" t="s">
        <v>423</v>
      </c>
      <c r="L23" s="63"/>
      <c r="M23" s="63"/>
      <c r="N23" s="63"/>
      <c r="O23" s="63"/>
    </row>
    <row r="24" spans="1:15">
      <c r="J24" s="367"/>
      <c r="K24" s="65" t="s">
        <v>424</v>
      </c>
      <c r="L24" s="63"/>
      <c r="M24" s="63"/>
      <c r="N24" s="63"/>
      <c r="O24" s="63"/>
    </row>
    <row r="25" spans="1:15">
      <c r="J25" s="367"/>
      <c r="K25" s="65" t="s">
        <v>426</v>
      </c>
      <c r="L25" s="63"/>
      <c r="M25" s="63"/>
      <c r="N25" s="63"/>
      <c r="O25" s="63"/>
    </row>
    <row r="26" spans="1:15">
      <c r="J26" s="367"/>
      <c r="K26" s="65" t="s">
        <v>428</v>
      </c>
      <c r="L26" s="63"/>
      <c r="M26" s="63"/>
      <c r="N26" s="63"/>
      <c r="O26" s="63"/>
    </row>
    <row r="27" spans="1:15">
      <c r="J27" s="367"/>
      <c r="K27" s="65" t="s">
        <v>429</v>
      </c>
      <c r="L27" s="63"/>
      <c r="M27" s="63"/>
      <c r="N27" s="63"/>
      <c r="O27" s="63"/>
    </row>
    <row r="28" spans="1:15">
      <c r="J28" s="367"/>
      <c r="K28" s="65" t="s">
        <v>430</v>
      </c>
      <c r="L28" s="63"/>
      <c r="M28" s="63"/>
      <c r="N28" s="63"/>
      <c r="O28" s="63"/>
    </row>
    <row r="29" spans="1:15">
      <c r="J29" s="367"/>
      <c r="K29" s="65" t="s">
        <v>432</v>
      </c>
      <c r="L29" s="63"/>
      <c r="M29" s="63"/>
      <c r="N29" s="63"/>
      <c r="O29" s="63"/>
    </row>
    <row r="30" spans="1:15">
      <c r="J30" s="367"/>
      <c r="K30" s="65" t="s">
        <v>433</v>
      </c>
      <c r="L30" s="63"/>
      <c r="M30" s="63"/>
      <c r="N30" s="63"/>
      <c r="O30" s="63"/>
    </row>
    <row r="31" spans="1:15">
      <c r="J31" s="367"/>
      <c r="K31" s="65" t="s">
        <v>434</v>
      </c>
      <c r="L31" s="63"/>
      <c r="M31" s="63"/>
      <c r="N31" s="63"/>
      <c r="O31" s="63"/>
    </row>
    <row r="32" spans="1:15">
      <c r="J32" s="367"/>
      <c r="K32" s="65" t="s">
        <v>435</v>
      </c>
      <c r="L32" s="63"/>
      <c r="M32" s="63"/>
      <c r="N32" s="63"/>
      <c r="O32" s="63"/>
    </row>
    <row r="33" spans="1:15">
      <c r="J33" s="367"/>
      <c r="K33" s="65" t="s">
        <v>436</v>
      </c>
      <c r="L33" s="63"/>
      <c r="M33" s="63"/>
      <c r="N33" s="63"/>
      <c r="O33" s="63"/>
    </row>
    <row r="34" spans="1:15">
      <c r="J34" s="367"/>
      <c r="K34" s="61" t="s">
        <v>437</v>
      </c>
      <c r="L34" s="61" t="e">
        <f>AVERAGE(L22:L33)</f>
        <v>#DIV/0!</v>
      </c>
      <c r="M34" s="61">
        <f>MAX(M22:M33)</f>
        <v>0</v>
      </c>
      <c r="N34" s="61" t="e">
        <f>AVERAGE(N22:N33)</f>
        <v>#DIV/0!</v>
      </c>
      <c r="O34" s="61">
        <f>MAX(O22:O33)</f>
        <v>0</v>
      </c>
    </row>
    <row r="36" spans="1:15" ht="41.45">
      <c r="J36" s="60">
        <f>+A6</f>
        <v>2022</v>
      </c>
      <c r="K36" s="60" t="s">
        <v>419</v>
      </c>
      <c r="L36" s="66" t="s">
        <v>414</v>
      </c>
      <c r="M36" s="66" t="s">
        <v>420</v>
      </c>
      <c r="N36" s="66" t="s">
        <v>417</v>
      </c>
      <c r="O36" s="66" t="s">
        <v>421</v>
      </c>
    </row>
    <row r="37" spans="1:15">
      <c r="J37" s="367" t="s">
        <v>197</v>
      </c>
      <c r="K37" s="65" t="s">
        <v>422</v>
      </c>
      <c r="L37" s="63"/>
      <c r="M37" s="63"/>
      <c r="N37" s="63"/>
      <c r="O37" s="63"/>
    </row>
    <row r="38" spans="1:15">
      <c r="J38" s="367"/>
      <c r="K38" s="65" t="s">
        <v>423</v>
      </c>
      <c r="L38" s="63"/>
      <c r="M38" s="63"/>
      <c r="N38" s="63"/>
      <c r="O38" s="63"/>
    </row>
    <row r="39" spans="1:15">
      <c r="J39" s="367"/>
      <c r="K39" s="65" t="s">
        <v>424</v>
      </c>
      <c r="L39" s="63"/>
      <c r="M39" s="63"/>
      <c r="N39" s="63"/>
      <c r="O39" s="63"/>
    </row>
    <row r="40" spans="1:15">
      <c r="J40" s="367"/>
      <c r="K40" s="65" t="s">
        <v>426</v>
      </c>
      <c r="L40" s="63"/>
      <c r="M40" s="63"/>
      <c r="N40" s="63"/>
      <c r="O40" s="63"/>
    </row>
    <row r="41" spans="1:15">
      <c r="J41" s="367"/>
      <c r="K41" s="65" t="s">
        <v>428</v>
      </c>
      <c r="L41" s="63"/>
      <c r="M41" s="63"/>
      <c r="N41" s="63"/>
      <c r="O41" s="63"/>
    </row>
    <row r="42" spans="1:15">
      <c r="J42" s="367"/>
      <c r="K42" s="65" t="s">
        <v>429</v>
      </c>
      <c r="L42" s="63"/>
      <c r="M42" s="63"/>
      <c r="N42" s="63"/>
      <c r="O42" s="63"/>
    </row>
    <row r="43" spans="1:15">
      <c r="J43" s="367"/>
      <c r="K43" s="65" t="s">
        <v>430</v>
      </c>
      <c r="L43" s="63"/>
      <c r="M43" s="63"/>
      <c r="N43" s="63"/>
      <c r="O43" s="63"/>
    </row>
    <row r="44" spans="1:15">
      <c r="J44" s="367"/>
      <c r="K44" s="65" t="s">
        <v>432</v>
      </c>
      <c r="L44" s="63"/>
      <c r="M44" s="63"/>
      <c r="N44" s="63"/>
      <c r="O44" s="63"/>
    </row>
    <row r="45" spans="1:15">
      <c r="J45" s="367"/>
      <c r="K45" s="65" t="s">
        <v>433</v>
      </c>
      <c r="L45" s="63"/>
      <c r="M45" s="63"/>
      <c r="N45" s="63"/>
      <c r="O45" s="63"/>
    </row>
    <row r="46" spans="1:15">
      <c r="J46" s="367"/>
      <c r="K46" s="65" t="s">
        <v>434</v>
      </c>
      <c r="L46" s="63"/>
      <c r="M46" s="63"/>
      <c r="N46" s="63"/>
      <c r="O46" s="63"/>
    </row>
    <row r="47" spans="1:15">
      <c r="J47" s="367"/>
      <c r="K47" s="65" t="s">
        <v>435</v>
      </c>
      <c r="L47" s="63"/>
      <c r="M47" s="63"/>
      <c r="N47" s="63"/>
      <c r="O47" s="63"/>
    </row>
    <row r="48" spans="1:15">
      <c r="A48" s="379" t="s">
        <v>325</v>
      </c>
      <c r="B48" s="380"/>
      <c r="C48" s="380"/>
      <c r="D48" s="380"/>
      <c r="E48" s="380"/>
      <c r="F48" s="380"/>
      <c r="G48" s="381"/>
      <c r="J48" s="367"/>
      <c r="K48" s="65" t="s">
        <v>436</v>
      </c>
      <c r="L48" s="63"/>
      <c r="M48" s="63"/>
      <c r="N48" s="63"/>
      <c r="O48" s="63"/>
    </row>
    <row r="49" spans="1:15">
      <c r="A49" s="370" t="s">
        <v>466</v>
      </c>
      <c r="B49" s="371"/>
      <c r="C49" s="371"/>
      <c r="D49" s="371"/>
      <c r="E49" s="371"/>
      <c r="F49" s="371"/>
      <c r="G49" s="372"/>
      <c r="J49" s="367"/>
      <c r="K49" s="61" t="s">
        <v>437</v>
      </c>
      <c r="L49" s="61" t="e">
        <f>AVERAGE(L37:L48)</f>
        <v>#DIV/0!</v>
      </c>
      <c r="M49" s="61">
        <f>MAX(M37:M48)</f>
        <v>0</v>
      </c>
      <c r="N49" s="61" t="e">
        <f>AVERAGE(N37:N48)</f>
        <v>#DIV/0!</v>
      </c>
      <c r="O49" s="61">
        <f>MAX(O37:O48)</f>
        <v>0</v>
      </c>
    </row>
    <row r="50" spans="1:15">
      <c r="A50" s="373"/>
      <c r="B50" s="374"/>
      <c r="C50" s="374"/>
      <c r="D50" s="374"/>
      <c r="E50" s="374"/>
      <c r="F50" s="374"/>
      <c r="G50" s="375"/>
    </row>
    <row r="51" spans="1:15" ht="41.45">
      <c r="A51" s="373"/>
      <c r="B51" s="374"/>
      <c r="C51" s="374"/>
      <c r="D51" s="374"/>
      <c r="E51" s="374"/>
      <c r="F51" s="374"/>
      <c r="G51" s="375"/>
      <c r="J51" s="60">
        <f>+A6</f>
        <v>2022</v>
      </c>
      <c r="K51" s="60" t="s">
        <v>419</v>
      </c>
      <c r="L51" s="66" t="s">
        <v>414</v>
      </c>
      <c r="M51" s="66" t="s">
        <v>420</v>
      </c>
      <c r="N51" s="66" t="s">
        <v>417</v>
      </c>
      <c r="O51" s="66" t="s">
        <v>421</v>
      </c>
    </row>
    <row r="52" spans="1:15">
      <c r="A52" s="376"/>
      <c r="B52" s="377"/>
      <c r="C52" s="377"/>
      <c r="D52" s="377"/>
      <c r="E52" s="377"/>
      <c r="F52" s="377"/>
      <c r="G52" s="378"/>
      <c r="J52" s="367" t="s">
        <v>198</v>
      </c>
      <c r="K52" s="65" t="s">
        <v>422</v>
      </c>
      <c r="L52" s="63"/>
      <c r="M52" s="63"/>
      <c r="N52" s="63"/>
      <c r="O52" s="63"/>
    </row>
    <row r="53" spans="1:15">
      <c r="J53" s="367"/>
      <c r="K53" s="65" t="s">
        <v>423</v>
      </c>
      <c r="L53" s="63"/>
      <c r="M53" s="63"/>
      <c r="N53" s="63"/>
      <c r="O53" s="63"/>
    </row>
    <row r="54" spans="1:15">
      <c r="J54" s="367"/>
      <c r="K54" s="65" t="s">
        <v>424</v>
      </c>
      <c r="L54" s="63"/>
      <c r="M54" s="63"/>
      <c r="N54" s="63"/>
      <c r="O54" s="63"/>
    </row>
    <row r="55" spans="1:15">
      <c r="J55" s="367"/>
      <c r="K55" s="65" t="s">
        <v>426</v>
      </c>
      <c r="L55" s="63"/>
      <c r="M55" s="63"/>
      <c r="N55" s="63"/>
      <c r="O55" s="63"/>
    </row>
    <row r="56" spans="1:15">
      <c r="J56" s="367"/>
      <c r="K56" s="65" t="s">
        <v>428</v>
      </c>
      <c r="L56" s="63"/>
      <c r="M56" s="63"/>
      <c r="N56" s="63"/>
      <c r="O56" s="63"/>
    </row>
    <row r="57" spans="1:15">
      <c r="J57" s="367"/>
      <c r="K57" s="65" t="s">
        <v>429</v>
      </c>
      <c r="L57" s="63"/>
      <c r="M57" s="63"/>
      <c r="N57" s="63"/>
      <c r="O57" s="63"/>
    </row>
    <row r="58" spans="1:15">
      <c r="J58" s="367"/>
      <c r="K58" s="65" t="s">
        <v>430</v>
      </c>
      <c r="L58" s="63"/>
      <c r="M58" s="63"/>
      <c r="N58" s="63"/>
      <c r="O58" s="63"/>
    </row>
    <row r="59" spans="1:15">
      <c r="J59" s="367"/>
      <c r="K59" s="65" t="s">
        <v>432</v>
      </c>
      <c r="L59" s="63"/>
      <c r="M59" s="63"/>
      <c r="N59" s="63"/>
      <c r="O59" s="63"/>
    </row>
    <row r="60" spans="1:15">
      <c r="J60" s="367"/>
      <c r="K60" s="65" t="s">
        <v>433</v>
      </c>
      <c r="L60" s="63"/>
      <c r="M60" s="63"/>
      <c r="N60" s="63"/>
      <c r="O60" s="63"/>
    </row>
    <row r="61" spans="1:15">
      <c r="J61" s="367"/>
      <c r="K61" s="65" t="s">
        <v>434</v>
      </c>
      <c r="L61" s="63"/>
      <c r="M61" s="63"/>
      <c r="N61" s="63"/>
      <c r="O61" s="63"/>
    </row>
    <row r="62" spans="1:15">
      <c r="J62" s="367"/>
      <c r="K62" s="65" t="s">
        <v>435</v>
      </c>
      <c r="L62" s="63"/>
      <c r="M62" s="63"/>
      <c r="N62" s="63"/>
      <c r="O62" s="63"/>
    </row>
    <row r="63" spans="1:15">
      <c r="J63" s="367"/>
      <c r="K63" s="65" t="s">
        <v>436</v>
      </c>
      <c r="L63" s="63"/>
      <c r="M63" s="63"/>
      <c r="N63" s="63"/>
      <c r="O63" s="63"/>
    </row>
    <row r="64" spans="1:15">
      <c r="J64" s="367"/>
      <c r="K64" s="61" t="s">
        <v>437</v>
      </c>
      <c r="L64" s="61" t="e">
        <f>AVERAGE(L52:L63)</f>
        <v>#DIV/0!</v>
      </c>
      <c r="M64" s="61">
        <f>MAX(M52:M63)</f>
        <v>0</v>
      </c>
      <c r="N64" s="61" t="e">
        <f>AVERAGE(N52:N63)</f>
        <v>#DIV/0!</v>
      </c>
      <c r="O64" s="61">
        <f>MAX(O52:O63)</f>
        <v>0</v>
      </c>
    </row>
    <row r="66" spans="10:15" ht="41.45">
      <c r="J66" s="60">
        <f>+A6</f>
        <v>2022</v>
      </c>
      <c r="K66" s="60" t="s">
        <v>419</v>
      </c>
      <c r="L66" s="66" t="s">
        <v>414</v>
      </c>
      <c r="M66" s="66" t="s">
        <v>420</v>
      </c>
      <c r="N66" s="66" t="s">
        <v>417</v>
      </c>
      <c r="O66" s="66" t="s">
        <v>421</v>
      </c>
    </row>
    <row r="67" spans="10:15">
      <c r="J67" s="367" t="s">
        <v>199</v>
      </c>
      <c r="K67" s="65" t="s">
        <v>422</v>
      </c>
      <c r="L67" s="63"/>
      <c r="M67" s="63"/>
      <c r="N67" s="63"/>
      <c r="O67" s="63"/>
    </row>
    <row r="68" spans="10:15">
      <c r="J68" s="367"/>
      <c r="K68" s="65" t="s">
        <v>423</v>
      </c>
      <c r="L68" s="63"/>
      <c r="M68" s="63"/>
      <c r="N68" s="63"/>
      <c r="O68" s="63"/>
    </row>
    <row r="69" spans="10:15">
      <c r="J69" s="367"/>
      <c r="K69" s="65" t="s">
        <v>424</v>
      </c>
      <c r="L69" s="63"/>
      <c r="M69" s="63"/>
      <c r="N69" s="63"/>
      <c r="O69" s="63"/>
    </row>
    <row r="70" spans="10:15">
      <c r="J70" s="367"/>
      <c r="K70" s="65" t="s">
        <v>426</v>
      </c>
      <c r="L70" s="63"/>
      <c r="M70" s="63"/>
      <c r="N70" s="63"/>
      <c r="O70" s="63"/>
    </row>
    <row r="71" spans="10:15">
      <c r="J71" s="367"/>
      <c r="K71" s="65" t="s">
        <v>428</v>
      </c>
      <c r="L71" s="63"/>
      <c r="M71" s="63"/>
      <c r="N71" s="63"/>
      <c r="O71" s="63"/>
    </row>
    <row r="72" spans="10:15">
      <c r="J72" s="367"/>
      <c r="K72" s="65" t="s">
        <v>429</v>
      </c>
      <c r="L72" s="63"/>
      <c r="M72" s="63"/>
      <c r="N72" s="63"/>
      <c r="O72" s="63"/>
    </row>
    <row r="73" spans="10:15">
      <c r="J73" s="367"/>
      <c r="K73" s="65" t="s">
        <v>430</v>
      </c>
      <c r="L73" s="63"/>
      <c r="M73" s="63"/>
      <c r="N73" s="63"/>
      <c r="O73" s="63"/>
    </row>
    <row r="74" spans="10:15">
      <c r="J74" s="367"/>
      <c r="K74" s="65" t="s">
        <v>432</v>
      </c>
      <c r="L74" s="63"/>
      <c r="M74" s="63"/>
      <c r="N74" s="63"/>
      <c r="O74" s="63"/>
    </row>
    <row r="75" spans="10:15">
      <c r="J75" s="367"/>
      <c r="K75" s="65" t="s">
        <v>433</v>
      </c>
      <c r="L75" s="63"/>
      <c r="M75" s="63"/>
      <c r="N75" s="63"/>
      <c r="O75" s="63"/>
    </row>
    <row r="76" spans="10:15">
      <c r="J76" s="367"/>
      <c r="K76" s="65" t="s">
        <v>434</v>
      </c>
      <c r="L76" s="63"/>
      <c r="M76" s="63"/>
      <c r="N76" s="63"/>
      <c r="O76" s="63"/>
    </row>
    <row r="77" spans="10:15">
      <c r="J77" s="367"/>
      <c r="K77" s="65" t="s">
        <v>435</v>
      </c>
      <c r="L77" s="63"/>
      <c r="M77" s="63"/>
      <c r="N77" s="63"/>
      <c r="O77" s="63"/>
    </row>
    <row r="78" spans="10:15">
      <c r="J78" s="367"/>
      <c r="K78" s="65" t="s">
        <v>436</v>
      </c>
      <c r="L78" s="63"/>
      <c r="M78" s="63"/>
      <c r="N78" s="63"/>
      <c r="O78" s="63"/>
    </row>
    <row r="79" spans="10:15">
      <c r="J79" s="367"/>
      <c r="K79" s="61" t="s">
        <v>437</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03A65312-EDD8-4ED5-85CD-21EC9D2BFEF5}"/>
</file>

<file path=customXml/itemProps2.xml><?xml version="1.0" encoding="utf-8"?>
<ds:datastoreItem xmlns:ds="http://schemas.openxmlformats.org/officeDocument/2006/customXml" ds:itemID="{130E79B3-286C-4594-AC93-4243D3FE78E7}"/>
</file>

<file path=customXml/itemProps3.xml><?xml version="1.0" encoding="utf-8"?>
<ds:datastoreItem xmlns:ds="http://schemas.openxmlformats.org/officeDocument/2006/customXml" ds:itemID="{3AA999E4-3537-4FB8-A0F2-60113C5A7BFB}"/>
</file>

<file path=customXml/itemProps4.xml><?xml version="1.0" encoding="utf-8"?>
<ds:datastoreItem xmlns:ds="http://schemas.openxmlformats.org/officeDocument/2006/customXml" ds:itemID="{4E16B1B1-C003-48DB-B483-9EE7D8A3D59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2023-04-03T06:55:34Z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