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West Thames/"/>
    </mc:Choice>
  </mc:AlternateContent>
  <xr:revisionPtr revIDLastSave="624" documentId="8_{3DDEF911-E3FC-4645-9829-9C17C0100406}" xr6:coauthVersionLast="47" xr6:coauthVersionMax="47" xr10:uidLastSave="{382C81E0-CA75-43F0-B9D4-0F7EA2763692}"/>
  <bookViews>
    <workbookView xWindow="-108" yWindow="-108" windowWidth="23256" windowHeight="12576" tabRatio="816"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Info'!$A$1:$I$33</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Summary'!$A$1:$I$33</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32" l="1"/>
  <c r="C8" i="32"/>
  <c r="C7" i="32"/>
  <c r="E27" i="24" l="1"/>
  <c r="E26" i="24"/>
  <c r="E24" i="24"/>
  <c r="E23" i="24"/>
  <c r="E22" i="24"/>
  <c r="E21" i="24"/>
  <c r="E20" i="24"/>
  <c r="E19" i="24"/>
  <c r="E18" i="24"/>
  <c r="E17" i="24"/>
  <c r="E16" i="24"/>
  <c r="E15" i="24"/>
  <c r="E14" i="24"/>
  <c r="C1" i="32" l="1"/>
  <c r="A1" i="32"/>
  <c r="I19" i="7" l="1"/>
  <c r="I20" i="7"/>
  <c r="I21" i="7"/>
  <c r="I22" i="7"/>
  <c r="I18" i="7"/>
  <c r="I12" i="7"/>
  <c r="I13" i="7"/>
  <c r="I14" i="7"/>
  <c r="I11" i="7"/>
  <c r="C18" i="6" l="1"/>
  <c r="C21" i="6" s="1"/>
  <c r="H61" i="6" l="1"/>
  <c r="G13" i="6" l="1"/>
  <c r="H13" i="6" s="1"/>
  <c r="G45" i="6"/>
  <c r="H45" i="6" s="1"/>
  <c r="J3" i="31" l="1"/>
  <c r="J3" i="30"/>
  <c r="J3" i="29"/>
  <c r="J3" i="28"/>
  <c r="J3" i="27"/>
  <c r="J3" i="26"/>
  <c r="J3" i="25"/>
  <c r="J3" i="13"/>
  <c r="G19" i="6" l="1"/>
  <c r="G57" i="6" l="1"/>
  <c r="G59" i="6" l="1"/>
  <c r="G65" i="6"/>
  <c r="G64" i="6"/>
  <c r="H64" i="6" s="1"/>
  <c r="G63" i="6"/>
  <c r="G61" i="6"/>
  <c r="G53" i="6"/>
  <c r="G54" i="6"/>
  <c r="G55" i="6"/>
  <c r="G56" i="6"/>
  <c r="G60" i="6"/>
  <c r="D18" i="6" l="1"/>
  <c r="D21" i="6" s="1"/>
  <c r="E18" i="6"/>
  <c r="E21" i="6" s="1"/>
  <c r="F18" i="6"/>
  <c r="F21" i="6" s="1"/>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G23" i="7"/>
  <c r="E23" i="7"/>
  <c r="G15" i="7"/>
  <c r="E15" i="7"/>
  <c r="I15" i="7" s="1"/>
  <c r="B4" i="7"/>
  <c r="G3" i="7"/>
  <c r="A3" i="7"/>
  <c r="A1" i="7"/>
  <c r="A8" i="7" s="1"/>
  <c r="H65" i="6"/>
  <c r="H63" i="6"/>
  <c r="B5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H12" i="6" s="1"/>
  <c r="G11" i="6"/>
  <c r="G10" i="6"/>
  <c r="G9" i="6"/>
  <c r="G8" i="6"/>
  <c r="D11" i="8" l="1"/>
  <c r="H27" i="6"/>
  <c r="D14" i="8"/>
  <c r="H30" i="6"/>
  <c r="I23" i="7"/>
  <c r="D12" i="8"/>
  <c r="H25" i="6"/>
  <c r="E33" i="7"/>
  <c r="H33" i="7" s="1"/>
  <c r="E35" i="7"/>
  <c r="H35" i="7" s="1"/>
  <c r="E37" i="7"/>
  <c r="H37" i="7" s="1"/>
  <c r="E36" i="7"/>
  <c r="H36" i="7" s="1"/>
  <c r="G24" i="7"/>
  <c r="G18" i="6"/>
  <c r="H21" i="6" s="1"/>
  <c r="G28" i="6"/>
  <c r="E24" i="7"/>
  <c r="I24" i="7" s="1"/>
  <c r="E34" i="7"/>
  <c r="H34" i="7" s="1"/>
  <c r="D10" i="8"/>
  <c r="G10" i="8"/>
  <c r="A31" i="7"/>
  <c r="A43" i="7" s="1"/>
  <c r="H8" i="6" l="1"/>
  <c r="H19" i="6"/>
  <c r="H10" i="6"/>
  <c r="G11" i="8"/>
  <c r="G12" i="8"/>
  <c r="H14" i="6"/>
  <c r="G14" i="8"/>
  <c r="H11" i="6"/>
  <c r="H9" i="6"/>
</calcChain>
</file>

<file path=xl/sharedStrings.xml><?xml version="1.0" encoding="utf-8"?>
<sst xmlns="http://schemas.openxmlformats.org/spreadsheetml/2006/main" count="1597" uniqueCount="448">
  <si>
    <t>Add company logo</t>
  </si>
  <si>
    <t>Version 22.3  30/11/22</t>
  </si>
  <si>
    <t>Add photo</t>
  </si>
  <si>
    <t>Notes:</t>
  </si>
  <si>
    <t>This template may require adjustments by individual operators to meet specific reporting requirements as defined in the site Permit(s)</t>
  </si>
  <si>
    <t>Annual Performance Report 2022</t>
  </si>
  <si>
    <t>Permit EPR/UP3734HT/V004</t>
  </si>
  <si>
    <t>Greatmoor Energy from Waste Facility</t>
  </si>
  <si>
    <t>other name of facility (if applicable)</t>
  </si>
  <si>
    <t>FCC Recycling (UK) Limited</t>
  </si>
  <si>
    <t>Year:</t>
  </si>
  <si>
    <t>Address:</t>
  </si>
  <si>
    <t>Edgcott, Aylesbury, Buckinghamshire, HP18 0QN</t>
  </si>
  <si>
    <t xml:space="preserve">Tel: </t>
  </si>
  <si>
    <t>01296 323630</t>
  </si>
  <si>
    <t xml:space="preserve">Email: </t>
  </si>
  <si>
    <t xml:space="preserve">http://www.greatmoor.co.uk/contact-us/ </t>
  </si>
  <si>
    <t>Prepared by:</t>
  </si>
  <si>
    <t>Adam Mears</t>
  </si>
  <si>
    <t>Position:</t>
  </si>
  <si>
    <t>Environment Manager</t>
  </si>
  <si>
    <t>Approved by:</t>
  </si>
  <si>
    <t>Stephen Rawlinson</t>
  </si>
  <si>
    <t>General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</si>
  <si>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</si>
  <si>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</si>
  <si>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</si>
  <si>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</si>
  <si>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</si>
  <si>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</si>
  <si>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</si>
  <si>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</si>
  <si>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</si>
  <si>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</si>
  <si>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</si>
  <si>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</si>
  <si>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</si>
  <si>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</si>
  <si>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</si>
  <si>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</si>
  <si>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</si>
  <si>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</si>
  <si>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</si>
  <si>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</si>
  <si>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</si>
  <si>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</si>
  <si>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</si>
  <si>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</si>
  <si>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</si>
  <si>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</si>
  <si>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</si>
  <si>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</si>
  <si>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</si>
  <si>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</si>
  <si>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</si>
  <si>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</si>
  <si>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</si>
  <si>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</si>
  <si>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</si>
  <si>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</si>
  <si>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</si>
  <si>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installation is designed to dispose of residual municipal waste and waste similar in nature to this with a maximum permitted throughput of 345,000 tonnes per year. The waste is weighed when entering the site and incoming waste vehicles discharge into the waste bunker. Overhead grab cranes are used to mix and break up the incoming materials to ensure homogeneity of feed. Non-permitted wastes are removed prior to the waste entering the combustion chamber and removed off site. Waste is loaded from the bunker into the combustion chamber via dedicated feed chutes and airlocks, using the grab cranes. The waste bunker is designed to provide up to seven days of waste storage capacity at the normal rate of throughput. Air for combustion is drawn from the tipping hall reducing the escape of dust and odours. The reception area is enclosed, with rapid action access doors to manage traffic and louvered panels to control air movements.
Combustion takes place in two stages, with primary combustion undertaken on a moving grate to promote the mixing of burning/unburnt waste. The combustion gas from the primary stage is incinerated in the secondary combustion chamber to reach the specified minimum temperature of 850 degrees centigrade for a minimum of two seconds. The unburnt material remaining on the grate is removed as Incinerator Bottom Ash (IBA).
The heat from combustion is recovered within a waste heat boiler to form high pressure steam, which is used to drive a turbine to generate electricity. A proportion of this site generated electricity is used with the facility itself, but the majority is exported to the National Grid.   The heat recovery boiler incorporates facilities to minimise dust carry-over and for online cleaning through rapping systems and soot blowers to minimise maintenance impacts. Dust collected from the boilers was discharged with the flue gas cleaning treatment residues until September 2021. Since then dust collected from the boilers has been discharged with the IBA.
The air pollution control system involves a process called ‘Selective Non-Catalytic Reduction (SNCR) to control the release of nitrogen oxides (NOx) gases. Acid gases are treated by a semi-dry system using lime injection. Activated Carbon which adsorbs dioxins, furans and gaseous mercury is also injected into the gas stream. The exhaust gases are then filtered through a bag filter, which traps fine particulate matter (dust), including ash from the boiler, reactions products and excess reagents. The bag filters also thereby remove heavy metals that are adsorbed onto the particulate matter. These residues are known collectively as air pollution control (APC) residues. A metering system will deliver the reagents in the right quantity to ensure low emissions, low reagent consumption and low residue levels.
The cleaned gases pass to the atmosphere via the stack. The gases are subject to extractive continuous sampling and monitoring, using the Continuous Emissions Monitoring equipment (CEMS). Feedback of monitoring data allows action to be taken to adjust the process, if necessary before emission limits are exceeded.
The principal waste streams the installation produces are IBA, APC residues. Ferrous and non-ferrous metals are contained within the IBA are segregated off site. APC residues are managed as hazardous wastes.</t>
  </si>
  <si>
    <t xml:space="preserve">Include summary of plant design, design capacity, no. of combustion lines, electrical and heat capacity and any other general information that descibes the facility, its location and purpose </t>
  </si>
  <si>
    <t>Summary of Operational Processes and Procedures</t>
  </si>
  <si>
    <t>Waste reception: weighbridge, tipping hall and waste bunker.
Waste feed: control room, waste ram feeder and feed hopper, grate.
Energy and heat generation: primary air systems, burners, boiler, water treatment plant, ID Fan. Continuous emissions monitoring, bottom and residue transport system, cooling systems.
Flue gas treatment:  fabric bag filters, semi-dry reactor.
Fuel and raw material supply, HV transformer, emergency generator.
Greatmoor EFW have achieved certification to the standards: ISO 14001, ISO 9001, ISO 45001, ISO 50001</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</si>
  <si>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</si>
  <si>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</si>
  <si>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</si>
  <si>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</si>
  <si>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</si>
  <si>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</si>
  <si>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</si>
  <si>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</si>
  <si>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</si>
  <si>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</si>
  <si>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</si>
  <si>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</si>
  <si>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</si>
  <si>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</si>
  <si>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</si>
  <si>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</si>
  <si>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</si>
  <si>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</si>
  <si>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</si>
  <si>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</si>
  <si>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</si>
  <si>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</si>
  <si>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</si>
  <si>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</si>
  <si>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</si>
  <si>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</si>
  <si>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</si>
  <si>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</si>
  <si>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</si>
  <si>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</si>
  <si>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</si>
  <si>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</si>
  <si>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</si>
  <si>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</si>
  <si>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</si>
  <si>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</si>
  <si>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</si>
  <si>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</si>
  <si>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</si>
  <si>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</si>
  <si>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</si>
  <si>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</si>
  <si>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</si>
  <si>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</si>
  <si>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</si>
  <si>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</si>
  <si>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</si>
  <si>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</si>
  <si>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Leachate - IBA pad</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</si>
  <si>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</si>
  <si>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</si>
  <si>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</si>
  <si>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</si>
  <si>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</si>
  <si>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</si>
  <si>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</si>
  <si>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</si>
  <si>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</si>
  <si>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</si>
  <si>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</si>
  <si>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</si>
  <si>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</si>
  <si>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</si>
  <si>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</si>
  <si>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</si>
  <si>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</si>
  <si>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</si>
  <si>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x %</t>
  </si>
  <si>
    <t>Overall Availability, mean avg. of all lines, hrs</t>
  </si>
  <si>
    <t>N/A</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</si>
  <si>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</si>
  <si>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</si>
  <si>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</si>
  <si>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</si>
  <si>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</si>
  <si>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</si>
  <si>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</si>
  <si>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</si>
  <si>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</si>
  <si>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</si>
  <si>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</si>
  <si>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Plant availability was reasonably good at 90%, but lower than in 2021 due to an unplanned shut down in November.  Of the 36 days shutdown, 21 were for the planned annual outage. A further 6 days in June to repair an ash extractor blockage. And the remaining 9 days were for slag clearing in November after a grate blockage.
There were no significant upgrades or changes to the plant and the outage works were mainly aimed at improving boiler tube life and future proofing IT systems.
</t>
  </si>
  <si>
    <t xml:space="preserve">Include summary of key operational and/or mainteanance activity undertaken in the year, such as any major component upgrades and/or replacements </t>
  </si>
  <si>
    <t>Summary of Residue Handling for the reporting year</t>
  </si>
  <si>
    <t>The process generates two main solid waste residues: Incinerator bottom ash (IBA) and Air Pollution Control residue (APC). 
IBA is collected, disposed of and metals removed by a third party contractor.
The APC residues are transported by lorry off site for disposal to FCC treatment facilities at Knostrop Treatment Works and Blackburn Meadows Waste Treatment.</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</si>
  <si>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</si>
  <si>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</si>
  <si>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</si>
  <si>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</si>
  <si>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</si>
  <si>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</si>
  <si>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</si>
  <si>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1st January 2022</t>
  </si>
  <si>
    <t>to:</t>
  </si>
  <si>
    <t>31st December 2022</t>
  </si>
  <si>
    <t>Annual Reporting of Waste Disposal and Recovery</t>
  </si>
  <si>
    <t>Waste Description</t>
  </si>
  <si>
    <t>Disposal Route(s)</t>
  </si>
  <si>
    <t>Disposal Tonnes</t>
  </si>
  <si>
    <t>Recovery Tonnes</t>
  </si>
  <si>
    <t>% / tonne of waste incinerated</t>
  </si>
  <si>
    <t>1) Hazardous Wastes</t>
  </si>
  <si>
    <t>APC Residues</t>
  </si>
  <si>
    <t>D09</t>
  </si>
  <si>
    <t>IBA</t>
  </si>
  <si>
    <t>Total Hazardous Waste</t>
  </si>
  <si>
    <t>2) Non-Hazardous Wastes</t>
  </si>
  <si>
    <t>D01</t>
  </si>
  <si>
    <t>Ferrous Metal</t>
  </si>
  <si>
    <t>Process Water</t>
  </si>
  <si>
    <t>D08</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</si>
  <si>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</si>
  <si>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</si>
  <si>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</si>
  <si>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</si>
  <si>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</si>
  <si>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</si>
  <si>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</si>
  <si>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</si>
  <si>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</si>
  <si>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</si>
  <si>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</si>
  <si>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</si>
  <si>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</si>
  <si>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</si>
  <si>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</si>
  <si>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</si>
  <si>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</si>
  <si>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</si>
  <si>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</si>
  <si>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</si>
  <si>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</si>
  <si>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</si>
  <si>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</si>
  <si>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</si>
  <si>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</si>
  <si>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</si>
  <si>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</si>
  <si>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</si>
  <si>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</si>
  <si>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</si>
  <si>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</si>
  <si>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</si>
  <si>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</si>
  <si>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</si>
  <si>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</si>
  <si>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</si>
  <si>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</si>
  <si>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</si>
  <si>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</si>
  <si>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</si>
  <si>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</si>
  <si>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</si>
  <si>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</si>
  <si>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</si>
  <si>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</si>
  <si>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</si>
  <si>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</si>
  <si>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</si>
  <si>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</si>
  <si>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</si>
  <si>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</si>
  <si>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</si>
  <si>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 95% of 10-min averages</t>
  </si>
  <si>
    <t>Total organic carbon</t>
  </si>
  <si>
    <t>Hydrogen chloride</t>
  </si>
  <si>
    <t>Hydrogen fluoride</t>
  </si>
  <si>
    <t>xx.xx %</t>
  </si>
  <si>
    <t>Summary of any notifications or non-compliances under the permit</t>
  </si>
  <si>
    <t>Summary of notification or non-compliance [including Line/Reference]</t>
  </si>
  <si>
    <t xml:space="preserve">Reason </t>
  </si>
  <si>
    <t>Measures taken to prevent reoccurrence</t>
  </si>
  <si>
    <t>The FID was not taking TOC readings for 2.5hrs. Continuous Emissions Monitoring of all other substances was operating correctly and showing stable and low emissions in line with Permit
requirements. We therefore believe emissions of TOC were well within Permit limits, however due to missing data cannot evidence this.</t>
  </si>
  <si>
    <t>An alarm on the FID was identified before the plant was re-started
on 24th June. On investigation the mV was low on the Duty FID so
a zero was undertaken which cleared the alarm. The Standby
FID was also zeroed for completeness, however it appears that both FIDs were left in zero and so were not analysing stack gas
when the CEMS began to record data. After 2.5 hrs the FID
changed to sample and began to analyse and record stack gas
correctly.</t>
  </si>
  <si>
    <t>Review of the Alarm displays and Alarm
re-set procedure, and review of the Start-up
procedure</t>
  </si>
  <si>
    <t>Summary of any complaints received and actions to taken to resolve them.</t>
  </si>
  <si>
    <t>Summary of complaint [including Line/Reference]</t>
  </si>
  <si>
    <t>Reason *</t>
  </si>
  <si>
    <t xml:space="preserve">Local farmer / Resident Phoned the main control room in a rather angry state, annoyed and frustrated by the constant noise ( Concrete breaking with pneumatic digger and concrete cutting with circular saw). </t>
  </si>
  <si>
    <t>Unsubstantiated - work was confirmed as HS2 and not in the control of Greatmoor EFW.</t>
  </si>
  <si>
    <t>Parish Clerk called in to complain about the fumes from Greatmoor EfW direction being blown over Gawcott Village</t>
  </si>
  <si>
    <t>Unsubstantiated - there are no problems on site or odours from site. There are other villages between FCC and Gawcott with no problems so source likely close to the village</t>
  </si>
  <si>
    <t>* including whether substantiated by the operator or the EA</t>
  </si>
  <si>
    <t>Summary of Plant Improvements</t>
  </si>
  <si>
    <t>Summary of any efficiency improvements that have been completed within the year.</t>
  </si>
  <si>
    <t>none</t>
  </si>
  <si>
    <t>Summary of any permit improvement conditions that have been completed within the year and the resulting environmental benefits.</t>
  </si>
  <si>
    <t>n/a</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</si>
  <si>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</si>
  <si>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</si>
  <si>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Bag house early warning system planned to be installed during 2023. Sensors identify the precise location of bag failures if they occur. This speeds up the identification of specific bag(s) with rupture so they can be more quickly isolated to prevent particulate trigger exceedance</t>
  </si>
  <si>
    <t>Details of Public &amp; Stakeholder Liasion</t>
  </si>
  <si>
    <t>Summary of events held during the reporting year.</t>
  </si>
  <si>
    <t>Description</t>
  </si>
  <si>
    <t>Jan-Dec 2022</t>
  </si>
  <si>
    <t>126 site tours during 114 site visits.
1170 visitors (766 adults, 404 under 16s)</t>
  </si>
  <si>
    <t>34 Outreach events / talks.
Engagement with 713 adults and 1525 under-16s</t>
  </si>
  <si>
    <t>2 online sessions with 41 attendees</t>
  </si>
  <si>
    <t>16/02/2022 &amp; 15/06/2022</t>
  </si>
  <si>
    <t>Community Liaison Meetings.</t>
  </si>
  <si>
    <t>List of events planned for next year</t>
  </si>
  <si>
    <t>72 outreach and site visits currently scheduled for 2023 with many more events ot be added over the course of the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</si>
  <si>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</si>
  <si>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</si>
  <si>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</si>
  <si>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</si>
  <si>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</si>
  <si>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</si>
  <si>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</si>
  <si>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</si>
  <si>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The Annual Average CO2 % is taken from the CEMs. This was multiplied by 10,000 to convert to ppm. And using conversion factors in the EA's PI guidance note converted to mg/m3. Then multiplied by average stack flow (m3/hr) in 2022.</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</si>
  <si>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</si>
  <si>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</si>
  <si>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</si>
  <si>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</si>
  <si>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Annual Average taken from CEMs = 0.27 mg/Nm3. x 203,410 Ave flow m3/hr in 2022. Using hours plant operational, calculated the tonnage per year.</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</si>
  <si>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</si>
  <si>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</si>
  <si>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</si>
  <si>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</si>
  <si>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</si>
  <si>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</si>
  <si>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Compositional analysis of waste entering Greatmoor undertaken in September 2022 by Alfred H Knight Energy Services Ltd. Plastics (film &amp; dense) make up 19.61% of the waste by weight, and 37.06% by CV.
N.B. this assumes textiles are 100% biogenic.</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</si>
  <si>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</si>
  <si>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</si>
  <si>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</si>
  <si>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As above</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</si>
  <si>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</si>
  <si>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</si>
  <si>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</si>
  <si>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</si>
  <si>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All IBA samples have been characterised as non-hazardous in 2022</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</si>
  <si>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</si>
  <si>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</si>
  <si>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</si>
  <si>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</si>
  <si>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</si>
  <si>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</si>
  <si>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</si>
  <si>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</si>
  <si>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</si>
  <si>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</si>
  <si>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</si>
  <si>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</si>
  <si>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</si>
  <si>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</si>
  <si>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</si>
  <si>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Emissions to Water / Sewer</t>
  </si>
  <si>
    <t>Monitoring Frequency</t>
  </si>
  <si>
    <t>Target</t>
  </si>
  <si>
    <t>Max.</t>
  </si>
  <si>
    <t>Average</t>
  </si>
  <si>
    <t>Summary of monitoring undertaken, standards used and compliance</t>
  </si>
  <si>
    <t>The reported values have been calculated by taking the Mean of both sets of results of periodic emissions monitoring undertaken between 21-29 April 2022 and 5-8 December 2022.</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</si>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</sst>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 numFmtId="170" formatCode="0.0000"/>
    <numFmt numFmtId="171" formatCode="0.000"/>
  </numFmts>
  <fonts count="36">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cellStyleXfs>
  <cellXfs count="403">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1" fillId="2" borderId="9" xfId="0" applyFont="1" applyFill="1" applyBorder="1"/>
    <xf numFmtId="14" fontId="15" fillId="0" borderId="12" xfId="0" applyNumberFormat="1" applyFont="1" applyBorder="1"/>
    <xf numFmtId="14" fontId="1" fillId="2" borderId="2" xfId="0" applyNumberFormat="1" applyFont="1" applyFill="1" applyBorder="1" applyAlignment="1">
      <alignment horizontal="left"/>
    </xf>
    <xf numFmtId="0" fontId="1" fillId="5" borderId="2" xfId="0" applyFont="1" applyFill="1" applyBorder="1" applyAlignment="1">
      <alignment horizontal="center" vertical="center" wrapText="1"/>
    </xf>
    <xf numFmtId="2" fontId="6" fillId="0" borderId="2" xfId="0" applyNumberFormat="1" applyFont="1" applyBorder="1"/>
    <xf numFmtId="171" fontId="6" fillId="5" borderId="2" xfId="0" applyNumberFormat="1" applyFont="1" applyFill="1" applyBorder="1" applyAlignment="1">
      <alignment horizontal="center"/>
    </xf>
    <xf numFmtId="2" fontId="6" fillId="5" borderId="2" xfId="0" applyNumberFormat="1" applyFont="1" applyFill="1" applyBorder="1" applyAlignment="1">
      <alignment horizontal="center"/>
    </xf>
    <xf numFmtId="169" fontId="6" fillId="5" borderId="2" xfId="0" applyNumberFormat="1" applyFont="1" applyFill="1" applyBorder="1" applyAlignment="1">
      <alignment horizontal="center"/>
    </xf>
    <xf numFmtId="170" fontId="6" fillId="0" borderId="2" xfId="0" applyNumberFormat="1" applyFont="1" applyBorder="1"/>
    <xf numFmtId="171" fontId="6" fillId="0" borderId="2" xfId="0" applyNumberFormat="1" applyFont="1" applyBorder="1"/>
    <xf numFmtId="169" fontId="6" fillId="0" borderId="2" xfId="0" applyNumberFormat="1" applyFont="1" applyBorder="1"/>
    <xf numFmtId="2" fontId="1" fillId="5" borderId="2" xfId="0" applyNumberFormat="1" applyFont="1" applyFill="1" applyBorder="1" applyAlignment="1">
      <alignment horizontal="center" vertical="center" wrapText="1"/>
    </xf>
    <xf numFmtId="4" fontId="2" fillId="5" borderId="2" xfId="0" applyNumberFormat="1" applyFont="1" applyFill="1" applyBorder="1" applyAlignment="1">
      <alignment vertical="top"/>
    </xf>
    <xf numFmtId="171" fontId="2" fillId="5" borderId="2" xfId="0" applyNumberFormat="1" applyFont="1" applyFill="1" applyBorder="1" applyAlignment="1">
      <alignment vertical="top"/>
    </xf>
    <xf numFmtId="43" fontId="2" fillId="5" borderId="2" xfId="1" applyFont="1" applyFill="1" applyBorder="1" applyAlignment="1">
      <alignment vertical="top"/>
    </xf>
    <xf numFmtId="165" fontId="1" fillId="0" borderId="10" xfId="2" applyNumberFormat="1" applyFont="1" applyBorder="1" applyAlignment="1">
      <alignment horizontal="center"/>
    </xf>
    <xf numFmtId="0" fontId="1" fillId="2" borderId="2" xfId="0" applyFont="1" applyFill="1" applyBorder="1" applyAlignment="1">
      <alignment horizontal="center" vertical="center" wrapText="1"/>
    </xf>
    <xf numFmtId="0" fontId="1" fillId="2" borderId="2" xfId="0" applyFont="1" applyFill="1" applyBorder="1" applyAlignment="1">
      <alignment horizontal="left"/>
    </xf>
    <xf numFmtId="0" fontId="2" fillId="2" borderId="0" xfId="0" applyFont="1" applyFill="1" applyAlignment="1">
      <alignment horizontal="center"/>
    </xf>
    <xf numFmtId="0" fontId="8" fillId="2" borderId="0" xfId="0" applyFont="1" applyFill="1" applyAlignment="1">
      <alignment horizontal="center"/>
    </xf>
    <xf numFmtId="0" fontId="35" fillId="2" borderId="0" xfId="3" applyFill="1" applyAlignment="1">
      <alignment horizontal="center"/>
    </xf>
    <xf numFmtId="0" fontId="22" fillId="0" borderId="0" xfId="0" applyFont="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2" fillId="0" borderId="0" xfId="0" applyFont="1" applyAlignment="1">
      <alignment horizontal="left" wrapText="1"/>
    </xf>
    <xf numFmtId="0" fontId="12" fillId="0" borderId="0" xfId="0" applyFont="1" applyAlignment="1">
      <alignment horizontal="left" vertical="top"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1" fillId="2" borderId="2"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2" xfId="0" applyFont="1" applyFill="1" applyBorder="1" applyAlignment="1">
      <alignment horizontal="left"/>
    </xf>
    <xf numFmtId="0" fontId="1" fillId="2" borderId="2" xfId="0" applyFont="1" applyFill="1" applyBorder="1" applyAlignment="1">
      <alignment horizontal="left" wrapText="1"/>
    </xf>
    <xf numFmtId="0" fontId="1" fillId="2" borderId="3" xfId="0" applyFont="1" applyFill="1" applyBorder="1" applyAlignment="1">
      <alignment horizontal="left"/>
    </xf>
    <xf numFmtId="9" fontId="1" fillId="2" borderId="2" xfId="0" applyNumberFormat="1"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8" fillId="0" borderId="2" xfId="0" applyFont="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2" fillId="2" borderId="0" xfId="0" applyFont="1" applyFill="1" applyAlignment="1">
      <alignment horizontal="center" vertical="center"/>
    </xf>
    <xf numFmtId="17" fontId="2" fillId="0" borderId="0" xfId="0" applyNumberFormat="1" applyFont="1"/>
    <xf numFmtId="0" fontId="2" fillId="2" borderId="0" xfId="0" applyFont="1" applyFill="1"/>
    <xf numFmtId="0" fontId="2" fillId="0" borderId="0" xfId="0" applyFont="1" applyAlignment="1">
      <alignment horizontal="left"/>
    </xf>
    <xf numFmtId="14" fontId="2" fillId="2" borderId="0" xfId="0" applyNumberFormat="1" applyFont="1" applyFill="1" applyAlignment="1">
      <alignment horizontal="center"/>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1" fillId="2" borderId="2" xfId="0" applyFont="1" applyFill="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166" fontId="1" fillId="2" borderId="12" xfId="0" applyNumberFormat="1" applyFont="1" applyFill="1" applyBorder="1"/>
    <xf numFmtId="166" fontId="1" fillId="0" borderId="12" xfId="0" applyNumberFormat="1" applyFont="1" applyBorder="1"/>
    <xf numFmtId="43" fontId="1" fillId="2" borderId="12" xfId="0" applyNumberFormat="1" applyFont="1" applyFill="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11" xfId="0" applyFont="1" applyFill="1" applyBorder="1"/>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20" fontId="1" fillId="2" borderId="2" xfId="0" applyNumberFormat="1" applyFont="1" applyFill="1" applyBorder="1" applyAlignment="1">
      <alignment vertical="center" wrapText="1"/>
    </xf>
    <xf numFmtId="3" fontId="1" fillId="0" borderId="2" xfId="0" applyNumberFormat="1" applyFont="1" applyBorder="1" applyAlignment="1">
      <alignment horizontal="center" vertical="center" wrapText="1"/>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left" vertical="top" wrapText="1"/>
    </xf>
    <xf numFmtId="0" fontId="1" fillId="2" borderId="2" xfId="0" applyFont="1" applyFill="1" applyBorder="1" applyAlignment="1">
      <alignment horizontal="center" vertical="center"/>
    </xf>
    <xf numFmtId="0" fontId="1" fillId="2" borderId="7" xfId="0" applyFont="1" applyFill="1" applyBorder="1" applyAlignment="1">
      <alignment horizontal="left" vertical="center" wrapText="1"/>
    </xf>
    <xf numFmtId="0" fontId="1" fillId="2" borderId="8" xfId="0" applyFont="1" applyFill="1" applyBorder="1" applyAlignment="1">
      <alignment horizontal="left" vertical="center" wrapText="1"/>
    </xf>
    <xf numFmtId="0" fontId="1" fillId="2" borderId="9" xfId="0" applyFont="1" applyFill="1" applyBorder="1" applyAlignment="1">
      <alignment horizontal="left" vertical="center" wrapText="1"/>
    </xf>
    <xf numFmtId="0" fontId="1" fillId="2" borderId="0" xfId="0" applyFont="1" applyFill="1" applyAlignment="1">
      <alignment horizontal="left" vertical="center" wrapText="1"/>
    </xf>
    <xf numFmtId="0" fontId="1" fillId="2" borderId="10" xfId="0" applyFont="1" applyFill="1" applyBorder="1" applyAlignment="1">
      <alignment horizontal="left" vertical="center" wrapText="1"/>
    </xf>
    <xf numFmtId="0" fontId="1" fillId="2" borderId="11" xfId="0" applyFont="1" applyFill="1" applyBorder="1" applyAlignment="1">
      <alignment horizontal="left" vertical="center" wrapText="1"/>
    </xf>
    <xf numFmtId="0" fontId="1" fillId="2" borderId="12" xfId="0" applyFont="1" applyFill="1" applyBorder="1" applyAlignment="1">
      <alignment horizontal="left" vertical="center" wrapText="1"/>
    </xf>
    <xf numFmtId="0" fontId="1" fillId="2" borderId="13" xfId="0" applyFont="1" applyFill="1" applyBorder="1" applyAlignment="1">
      <alignment horizontal="left" vertical="center" wrapText="1"/>
    </xf>
    <xf numFmtId="17" fontId="1" fillId="2" borderId="6" xfId="0" applyNumberFormat="1" applyFont="1" applyFill="1" applyBorder="1" applyAlignment="1">
      <alignment horizontal="left" vertical="top"/>
    </xf>
    <xf numFmtId="9" fontId="1" fillId="0" borderId="2" xfId="0" applyNumberFormat="1" applyFont="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1" fillId="0" borderId="2" xfId="0" applyFont="1" applyBorder="1" applyAlignment="1">
      <alignment horizontal="center"/>
    </xf>
    <xf numFmtId="169" fontId="1" fillId="5" borderId="2" xfId="0" applyNumberFormat="1" applyFont="1" applyFill="1" applyBorder="1" applyAlignment="1">
      <alignment horizontal="center" vertical="center" wrapText="1"/>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169" fontId="1" fillId="5" borderId="1" xfId="0" applyNumberFormat="1" applyFont="1" applyFill="1" applyBorder="1" applyAlignment="1">
      <alignment horizontal="center" vertical="center" wrapText="1"/>
    </xf>
    <xf numFmtId="2" fontId="1"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4</c:v>
                </c:pt>
                <c:pt idx="1">
                  <c:v>5</c:v>
                </c:pt>
                <c:pt idx="2">
                  <c:v>5</c:v>
                </c:pt>
                <c:pt idx="3">
                  <c:v>5</c:v>
                </c:pt>
                <c:pt idx="4">
                  <c:v>5</c:v>
                </c:pt>
                <c:pt idx="5">
                  <c:v>5</c:v>
                </c:pt>
                <c:pt idx="6">
                  <c:v>6</c:v>
                </c:pt>
                <c:pt idx="7">
                  <c:v>4</c:v>
                </c:pt>
                <c:pt idx="8">
                  <c:v>4</c:v>
                </c:pt>
                <c:pt idx="9">
                  <c:v>3</c:v>
                </c:pt>
                <c:pt idx="10">
                  <c:v>3</c:v>
                </c:pt>
                <c:pt idx="11">
                  <c:v>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11</c:v>
                </c:pt>
                <c:pt idx="1">
                  <c:v>10</c:v>
                </c:pt>
                <c:pt idx="2">
                  <c:v>11</c:v>
                </c:pt>
                <c:pt idx="3">
                  <c:v>10</c:v>
                </c:pt>
                <c:pt idx="4">
                  <c:v>10</c:v>
                </c:pt>
                <c:pt idx="5">
                  <c:v>13</c:v>
                </c:pt>
                <c:pt idx="6">
                  <c:v>12</c:v>
                </c:pt>
                <c:pt idx="7">
                  <c:v>8</c:v>
                </c:pt>
                <c:pt idx="8">
                  <c:v>7</c:v>
                </c:pt>
                <c:pt idx="9">
                  <c:v>9</c:v>
                </c:pt>
                <c:pt idx="10">
                  <c:v>10</c:v>
                </c:pt>
                <c:pt idx="11">
                  <c:v>16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3.5632258064516127</c:v>
                </c:pt>
                <c:pt idx="1">
                  <c:v>4.6285714285714281</c:v>
                </c:pt>
                <c:pt idx="2">
                  <c:v>5.4403225806451623</c:v>
                </c:pt>
                <c:pt idx="3">
                  <c:v>5.3106666666666671</c:v>
                </c:pt>
                <c:pt idx="4">
                  <c:v>5.4349999999999996</c:v>
                </c:pt>
                <c:pt idx="5">
                  <c:v>5.0908333333333333</c:v>
                </c:pt>
                <c:pt idx="6">
                  <c:v>5.9474193548387086</c:v>
                </c:pt>
                <c:pt idx="7">
                  <c:v>4.2712903225806444</c:v>
                </c:pt>
                <c:pt idx="8">
                  <c:v>3.5636666666666659</c:v>
                </c:pt>
                <c:pt idx="9">
                  <c:v>3.2480645161290322</c:v>
                </c:pt>
                <c:pt idx="10">
                  <c:v>2.8759090909090905</c:v>
                </c:pt>
                <c:pt idx="11">
                  <c:v>4.5745161290322569</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6</c:v>
                </c:pt>
                <c:pt idx="1">
                  <c:v>7</c:v>
                </c:pt>
                <c:pt idx="2">
                  <c:v>7</c:v>
                </c:pt>
                <c:pt idx="3">
                  <c:v>7</c:v>
                </c:pt>
                <c:pt idx="4">
                  <c:v>7</c:v>
                </c:pt>
                <c:pt idx="5">
                  <c:v>9</c:v>
                </c:pt>
                <c:pt idx="6">
                  <c:v>9</c:v>
                </c:pt>
                <c:pt idx="7">
                  <c:v>7</c:v>
                </c:pt>
                <c:pt idx="8">
                  <c:v>5</c:v>
                </c:pt>
                <c:pt idx="9">
                  <c:v>5</c:v>
                </c:pt>
                <c:pt idx="10">
                  <c:v>5</c:v>
                </c:pt>
                <c:pt idx="11">
                  <c:v>6</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8</c:v>
                </c:pt>
                <c:pt idx="1">
                  <c:v>8</c:v>
                </c:pt>
                <c:pt idx="2">
                  <c:v>9</c:v>
                </c:pt>
                <c:pt idx="3">
                  <c:v>8</c:v>
                </c:pt>
                <c:pt idx="4">
                  <c:v>8</c:v>
                </c:pt>
                <c:pt idx="5">
                  <c:v>8</c:v>
                </c:pt>
                <c:pt idx="6">
                  <c:v>7</c:v>
                </c:pt>
                <c:pt idx="7">
                  <c:v>6</c:v>
                </c:pt>
                <c:pt idx="8">
                  <c:v>8</c:v>
                </c:pt>
                <c:pt idx="9">
                  <c:v>7</c:v>
                </c:pt>
                <c:pt idx="10">
                  <c:v>7</c:v>
                </c:pt>
                <c:pt idx="11">
                  <c:v>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12</c:v>
                </c:pt>
                <c:pt idx="1">
                  <c:v>12</c:v>
                </c:pt>
                <c:pt idx="2">
                  <c:v>13</c:v>
                </c:pt>
                <c:pt idx="3">
                  <c:v>11</c:v>
                </c:pt>
                <c:pt idx="4">
                  <c:v>12</c:v>
                </c:pt>
                <c:pt idx="5">
                  <c:v>43</c:v>
                </c:pt>
                <c:pt idx="6">
                  <c:v>21</c:v>
                </c:pt>
                <c:pt idx="7">
                  <c:v>14</c:v>
                </c:pt>
                <c:pt idx="8">
                  <c:v>16</c:v>
                </c:pt>
                <c:pt idx="9">
                  <c:v>14</c:v>
                </c:pt>
                <c:pt idx="10">
                  <c:v>56</c:v>
                </c:pt>
                <c:pt idx="11">
                  <c:v>36</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8.2390322580645154</c:v>
                </c:pt>
                <c:pt idx="1">
                  <c:v>8.3035714285714288</c:v>
                </c:pt>
                <c:pt idx="2">
                  <c:v>8.5093548387096778</c:v>
                </c:pt>
                <c:pt idx="3">
                  <c:v>8.1549999999999994</c:v>
                </c:pt>
                <c:pt idx="4">
                  <c:v>8.0533333333333328</c:v>
                </c:pt>
                <c:pt idx="5">
                  <c:v>7.9537500000000003</c:v>
                </c:pt>
                <c:pt idx="6">
                  <c:v>6.7887096774193543</c:v>
                </c:pt>
                <c:pt idx="7">
                  <c:v>6.4222580645161278</c:v>
                </c:pt>
                <c:pt idx="8">
                  <c:v>7.6993333333333327</c:v>
                </c:pt>
                <c:pt idx="9">
                  <c:v>6.5793548387096772</c:v>
                </c:pt>
                <c:pt idx="10">
                  <c:v>7.2204545454545439</c:v>
                </c:pt>
                <c:pt idx="11">
                  <c:v>5.3129032258064521</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10</c:v>
                </c:pt>
                <c:pt idx="1">
                  <c:v>9</c:v>
                </c:pt>
                <c:pt idx="2">
                  <c:v>9</c:v>
                </c:pt>
                <c:pt idx="3">
                  <c:v>9</c:v>
                </c:pt>
                <c:pt idx="4">
                  <c:v>9</c:v>
                </c:pt>
                <c:pt idx="5">
                  <c:v>14</c:v>
                </c:pt>
                <c:pt idx="6">
                  <c:v>9</c:v>
                </c:pt>
                <c:pt idx="7">
                  <c:v>8</c:v>
                </c:pt>
                <c:pt idx="8">
                  <c:v>9</c:v>
                </c:pt>
                <c:pt idx="9">
                  <c:v>8</c:v>
                </c:pt>
                <c:pt idx="10">
                  <c:v>12</c:v>
                </c:pt>
                <c:pt idx="11">
                  <c:v>6</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179</c:v>
                </c:pt>
                <c:pt idx="1">
                  <c:v>179</c:v>
                </c:pt>
                <c:pt idx="2">
                  <c:v>179</c:v>
                </c:pt>
                <c:pt idx="3">
                  <c:v>179</c:v>
                </c:pt>
                <c:pt idx="4">
                  <c:v>180</c:v>
                </c:pt>
                <c:pt idx="5">
                  <c:v>179</c:v>
                </c:pt>
                <c:pt idx="6">
                  <c:v>179</c:v>
                </c:pt>
                <c:pt idx="7">
                  <c:v>177</c:v>
                </c:pt>
                <c:pt idx="8">
                  <c:v>178</c:v>
                </c:pt>
                <c:pt idx="9">
                  <c:v>179</c:v>
                </c:pt>
                <c:pt idx="10">
                  <c:v>178</c:v>
                </c:pt>
                <c:pt idx="11">
                  <c:v>179</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208</c:v>
                </c:pt>
                <c:pt idx="1">
                  <c:v>197</c:v>
                </c:pt>
                <c:pt idx="2">
                  <c:v>270</c:v>
                </c:pt>
                <c:pt idx="3">
                  <c:v>242</c:v>
                </c:pt>
                <c:pt idx="4">
                  <c:v>201</c:v>
                </c:pt>
                <c:pt idx="5">
                  <c:v>201</c:v>
                </c:pt>
                <c:pt idx="6">
                  <c:v>202</c:v>
                </c:pt>
                <c:pt idx="7">
                  <c:v>199</c:v>
                </c:pt>
                <c:pt idx="8">
                  <c:v>203</c:v>
                </c:pt>
                <c:pt idx="9">
                  <c:v>237</c:v>
                </c:pt>
                <c:pt idx="10">
                  <c:v>201</c:v>
                </c:pt>
                <c:pt idx="11">
                  <c:v>203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c:formatCode>
                <c:ptCount val="12"/>
                <c:pt idx="0">
                  <c:v>178.80451612903227</c:v>
                </c:pt>
                <c:pt idx="1">
                  <c:v>179.23214285714289</c:v>
                </c:pt>
                <c:pt idx="2">
                  <c:v>179.34322580645161</c:v>
                </c:pt>
                <c:pt idx="3">
                  <c:v>178.65533333333329</c:v>
                </c:pt>
                <c:pt idx="4">
                  <c:v>179.59666666666669</c:v>
                </c:pt>
                <c:pt idx="5">
                  <c:v>178.66458333333333</c:v>
                </c:pt>
                <c:pt idx="6">
                  <c:v>178.68419354838713</c:v>
                </c:pt>
                <c:pt idx="7">
                  <c:v>176.71806451612903</c:v>
                </c:pt>
                <c:pt idx="8">
                  <c:v>178.239</c:v>
                </c:pt>
                <c:pt idx="9">
                  <c:v>179.06548387096774</c:v>
                </c:pt>
                <c:pt idx="10">
                  <c:v>178.33454545454546</c:v>
                </c:pt>
                <c:pt idx="11">
                  <c:v>179.0225806451613</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180</c:v>
                </c:pt>
                <c:pt idx="1">
                  <c:v>180</c:v>
                </c:pt>
                <c:pt idx="2">
                  <c:v>180</c:v>
                </c:pt>
                <c:pt idx="3">
                  <c:v>181</c:v>
                </c:pt>
                <c:pt idx="4">
                  <c:v>180</c:v>
                </c:pt>
                <c:pt idx="5">
                  <c:v>180</c:v>
                </c:pt>
                <c:pt idx="6">
                  <c:v>180</c:v>
                </c:pt>
                <c:pt idx="7">
                  <c:v>180</c:v>
                </c:pt>
                <c:pt idx="8">
                  <c:v>180</c:v>
                </c:pt>
                <c:pt idx="9">
                  <c:v>181</c:v>
                </c:pt>
                <c:pt idx="10">
                  <c:v>181</c:v>
                </c:pt>
                <c:pt idx="11">
                  <c:v>181</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1</c:v>
                </c:pt>
                <c:pt idx="1">
                  <c:v>1</c:v>
                </c:pt>
                <c:pt idx="2">
                  <c:v>1</c:v>
                </c:pt>
                <c:pt idx="3">
                  <c:v>1</c:v>
                </c:pt>
                <c:pt idx="4">
                  <c:v>1</c:v>
                </c:pt>
                <c:pt idx="5">
                  <c:v>1</c:v>
                </c:pt>
                <c:pt idx="6">
                  <c:v>1</c:v>
                </c:pt>
                <c:pt idx="7">
                  <c:v>1</c:v>
                </c:pt>
                <c:pt idx="8">
                  <c:v>0</c:v>
                </c:pt>
                <c:pt idx="9">
                  <c:v>1</c:v>
                </c:pt>
                <c:pt idx="10">
                  <c:v>1</c:v>
                </c:pt>
                <c:pt idx="11">
                  <c:v>1</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3</c:v>
                </c:pt>
                <c:pt idx="1">
                  <c:v>3</c:v>
                </c:pt>
                <c:pt idx="2">
                  <c:v>3</c:v>
                </c:pt>
                <c:pt idx="3">
                  <c:v>3</c:v>
                </c:pt>
                <c:pt idx="4">
                  <c:v>2</c:v>
                </c:pt>
                <c:pt idx="5">
                  <c:v>3</c:v>
                </c:pt>
                <c:pt idx="6">
                  <c:v>4</c:v>
                </c:pt>
                <c:pt idx="7">
                  <c:v>4</c:v>
                </c:pt>
                <c:pt idx="8">
                  <c:v>6</c:v>
                </c:pt>
                <c:pt idx="9">
                  <c:v>4</c:v>
                </c:pt>
                <c:pt idx="10">
                  <c:v>3</c:v>
                </c:pt>
                <c:pt idx="11">
                  <c:v>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0.000</c:formatCode>
                <c:ptCount val="12"/>
                <c:pt idx="0">
                  <c:v>0.54516129032258065</c:v>
                </c:pt>
                <c:pt idx="1">
                  <c:v>0.53607142857142864</c:v>
                </c:pt>
                <c:pt idx="2">
                  <c:v>0.5358064516129033</c:v>
                </c:pt>
                <c:pt idx="3">
                  <c:v>0.52833333333333332</c:v>
                </c:pt>
                <c:pt idx="4">
                  <c:v>0.53583333333333327</c:v>
                </c:pt>
                <c:pt idx="5">
                  <c:v>0.53874999999999995</c:v>
                </c:pt>
                <c:pt idx="6">
                  <c:v>0.57290322580645159</c:v>
                </c:pt>
                <c:pt idx="7">
                  <c:v>0.543225806451613</c:v>
                </c:pt>
                <c:pt idx="8">
                  <c:v>0.49299999999999999</c:v>
                </c:pt>
                <c:pt idx="9">
                  <c:v>0.52129032258064523</c:v>
                </c:pt>
                <c:pt idx="10">
                  <c:v>0.51500000000000001</c:v>
                </c:pt>
                <c:pt idx="11">
                  <c:v>0.56838709677419363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2</c:v>
                </c:pt>
                <c:pt idx="1">
                  <c:v>2</c:v>
                </c:pt>
                <c:pt idx="2">
                  <c:v>2</c:v>
                </c:pt>
                <c:pt idx="3">
                  <c:v>3</c:v>
                </c:pt>
                <c:pt idx="4">
                  <c:v>3</c:v>
                </c:pt>
                <c:pt idx="5">
                  <c:v>3</c:v>
                </c:pt>
                <c:pt idx="6">
                  <c:v>2</c:v>
                </c:pt>
                <c:pt idx="7">
                  <c:v>1</c:v>
                </c:pt>
                <c:pt idx="8">
                  <c:v>1</c:v>
                </c:pt>
                <c:pt idx="9">
                  <c:v>2</c:v>
                </c:pt>
                <c:pt idx="10">
                  <c:v>1</c:v>
                </c:pt>
                <c:pt idx="11">
                  <c:v>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4</c:v>
                </c:pt>
                <c:pt idx="1">
                  <c:v>10</c:v>
                </c:pt>
                <c:pt idx="2">
                  <c:v>4</c:v>
                </c:pt>
                <c:pt idx="3">
                  <c:v>5</c:v>
                </c:pt>
                <c:pt idx="4">
                  <c:v>4</c:v>
                </c:pt>
                <c:pt idx="5">
                  <c:v>15</c:v>
                </c:pt>
                <c:pt idx="6">
                  <c:v>6</c:v>
                </c:pt>
                <c:pt idx="7">
                  <c:v>4</c:v>
                </c:pt>
                <c:pt idx="8">
                  <c:v>2</c:v>
                </c:pt>
                <c:pt idx="9">
                  <c:v>4</c:v>
                </c:pt>
                <c:pt idx="10">
                  <c:v>9</c:v>
                </c:pt>
                <c:pt idx="11">
                  <c:v>2</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1.7545161290322582</c:v>
                </c:pt>
                <c:pt idx="1">
                  <c:v>1.5467857142857147</c:v>
                </c:pt>
                <c:pt idx="2">
                  <c:v>1.9122580645161291</c:v>
                </c:pt>
                <c:pt idx="3">
                  <c:v>2.6633333333333331</c:v>
                </c:pt>
                <c:pt idx="4">
                  <c:v>2.6558333333333328</c:v>
                </c:pt>
                <c:pt idx="5">
                  <c:v>2.5900000000000003</c:v>
                </c:pt>
                <c:pt idx="6">
                  <c:v>1.6967741935483869</c:v>
                </c:pt>
                <c:pt idx="7">
                  <c:v>0.78999999999999981</c:v>
                </c:pt>
                <c:pt idx="8">
                  <c:v>1.1769999999999998</c:v>
                </c:pt>
                <c:pt idx="9">
                  <c:v>1.6858064516129032</c:v>
                </c:pt>
                <c:pt idx="10">
                  <c:v>1.344090909090909</c:v>
                </c:pt>
                <c:pt idx="11">
                  <c:v>1.5480645161290323</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2</c:v>
                </c:pt>
                <c:pt idx="1">
                  <c:v>2</c:v>
                </c:pt>
                <c:pt idx="2">
                  <c:v>4</c:v>
                </c:pt>
                <c:pt idx="3">
                  <c:v>4</c:v>
                </c:pt>
                <c:pt idx="4">
                  <c:v>3</c:v>
                </c:pt>
                <c:pt idx="5">
                  <c:v>4</c:v>
                </c:pt>
                <c:pt idx="6">
                  <c:v>3</c:v>
                </c:pt>
                <c:pt idx="7">
                  <c:v>1</c:v>
                </c:pt>
                <c:pt idx="8">
                  <c:v>2</c:v>
                </c:pt>
                <c:pt idx="9">
                  <c:v>2</c:v>
                </c:pt>
                <c:pt idx="10">
                  <c:v>2</c:v>
                </c:pt>
                <c:pt idx="11">
                  <c:v>2</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7.69</c:v>
                </c:pt>
                <c:pt idx="1">
                  <c:v>8.77</c:v>
                </c:pt>
                <c:pt idx="2">
                  <c:v>7.45</c:v>
                </c:pt>
                <c:pt idx="3">
                  <c:v>7.66</c:v>
                </c:pt>
                <c:pt idx="4">
                  <c:v>7.05</c:v>
                </c:pt>
                <c:pt idx="5">
                  <c:v>8.0299999999999994</c:v>
                </c:pt>
                <c:pt idx="6">
                  <c:v>8.89</c:v>
                </c:pt>
                <c:pt idx="7">
                  <c:v>7.93</c:v>
                </c:pt>
                <c:pt idx="8">
                  <c:v>4.22</c:v>
                </c:pt>
                <c:pt idx="9">
                  <c:v>8.51</c:v>
                </c:pt>
                <c:pt idx="10">
                  <c:v>6.97</c:v>
                </c:pt>
                <c:pt idx="11">
                  <c:v>8.16</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184</c:v>
                </c:pt>
                <c:pt idx="1">
                  <c:v>112</c:v>
                </c:pt>
                <c:pt idx="2">
                  <c:v>160</c:v>
                </c:pt>
                <c:pt idx="3">
                  <c:v>189</c:v>
                </c:pt>
                <c:pt idx="4">
                  <c:v>116</c:v>
                </c:pt>
                <c:pt idx="5">
                  <c:v>230</c:v>
                </c:pt>
                <c:pt idx="6">
                  <c:v>341</c:v>
                </c:pt>
                <c:pt idx="7">
                  <c:v>984</c:v>
                </c:pt>
                <c:pt idx="8">
                  <c:v>422</c:v>
                </c:pt>
                <c:pt idx="9">
                  <c:v>520</c:v>
                </c:pt>
                <c:pt idx="10">
                  <c:v>157</c:v>
                </c:pt>
                <c:pt idx="11">
                  <c:v>353</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0.00</c:formatCode>
                <c:ptCount val="12"/>
                <c:pt idx="0">
                  <c:v>6.0058064516129024</c:v>
                </c:pt>
                <c:pt idx="1">
                  <c:v>6.6746428571428567</c:v>
                </c:pt>
                <c:pt idx="2">
                  <c:v>5.8180645161290316</c:v>
                </c:pt>
                <c:pt idx="3">
                  <c:v>5.9783333333333344</c:v>
                </c:pt>
                <c:pt idx="4">
                  <c:v>5.253333333333333</c:v>
                </c:pt>
                <c:pt idx="5">
                  <c:v>7.2216666666666676</c:v>
                </c:pt>
                <c:pt idx="6">
                  <c:v>7.151935483870969</c:v>
                </c:pt>
                <c:pt idx="7">
                  <c:v>6.4780645161290318</c:v>
                </c:pt>
                <c:pt idx="8">
                  <c:v>2.7756666666666674</c:v>
                </c:pt>
                <c:pt idx="9">
                  <c:v>5.8112903225806454</c:v>
                </c:pt>
                <c:pt idx="10">
                  <c:v>5.5218181818181824</c:v>
                </c:pt>
                <c:pt idx="11">
                  <c:v>6.7874193548387094</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9</c:v>
                </c:pt>
                <c:pt idx="1">
                  <c:v>9</c:v>
                </c:pt>
                <c:pt idx="2">
                  <c:v>8</c:v>
                </c:pt>
                <c:pt idx="3">
                  <c:v>8</c:v>
                </c:pt>
                <c:pt idx="4">
                  <c:v>7</c:v>
                </c:pt>
                <c:pt idx="5">
                  <c:v>12</c:v>
                </c:pt>
                <c:pt idx="6">
                  <c:v>10</c:v>
                </c:pt>
                <c:pt idx="7">
                  <c:v>14</c:v>
                </c:pt>
                <c:pt idx="8">
                  <c:v>5</c:v>
                </c:pt>
                <c:pt idx="9">
                  <c:v>11</c:v>
                </c:pt>
                <c:pt idx="10">
                  <c:v>7</c:v>
                </c:pt>
                <c:pt idx="11">
                  <c:v>12</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c:v>
                </c:pt>
                <c:pt idx="1">
                  <c:v>0</c:v>
                </c:pt>
                <c:pt idx="2">
                  <c:v>0</c:v>
                </c:pt>
                <c:pt idx="3">
                  <c:v>0</c:v>
                </c:pt>
                <c:pt idx="4">
                  <c:v>0</c:v>
                </c:pt>
                <c:pt idx="5">
                  <c:v>0</c:v>
                </c:pt>
                <c:pt idx="6">
                  <c:v>0</c:v>
                </c:pt>
                <c:pt idx="7">
                  <c:v>0</c:v>
                </c:pt>
                <c:pt idx="8">
                  <c:v>0</c:v>
                </c:pt>
                <c:pt idx="9">
                  <c:v>0</c:v>
                </c:pt>
                <c:pt idx="10">
                  <c:v>1</c:v>
                </c:pt>
                <c:pt idx="11">
                  <c:v>0</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3</c:v>
                </c:pt>
                <c:pt idx="1">
                  <c:v>1</c:v>
                </c:pt>
                <c:pt idx="2">
                  <c:v>1</c:v>
                </c:pt>
                <c:pt idx="3">
                  <c:v>1</c:v>
                </c:pt>
                <c:pt idx="4">
                  <c:v>1</c:v>
                </c:pt>
                <c:pt idx="5">
                  <c:v>2</c:v>
                </c:pt>
                <c:pt idx="6">
                  <c:v>1</c:v>
                </c:pt>
                <c:pt idx="7">
                  <c:v>3</c:v>
                </c:pt>
                <c:pt idx="8">
                  <c:v>6</c:v>
                </c:pt>
                <c:pt idx="9">
                  <c:v>8</c:v>
                </c:pt>
                <c:pt idx="10">
                  <c:v>5</c:v>
                </c:pt>
                <c:pt idx="11">
                  <c:v>1</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0.000</c:formatCode>
                <c:ptCount val="12"/>
                <c:pt idx="0">
                  <c:v>0.19161290322580646</c:v>
                </c:pt>
                <c:pt idx="1">
                  <c:v>0.19535714285714284</c:v>
                </c:pt>
                <c:pt idx="2">
                  <c:v>0.17516129032258068</c:v>
                </c:pt>
                <c:pt idx="3">
                  <c:v>0.18766666666666668</c:v>
                </c:pt>
                <c:pt idx="4">
                  <c:v>0.23416666666666666</c:v>
                </c:pt>
                <c:pt idx="5">
                  <c:v>0.35624999999999996</c:v>
                </c:pt>
                <c:pt idx="6">
                  <c:v>0.17290322580645162</c:v>
                </c:pt>
                <c:pt idx="7">
                  <c:v>0.26193548387096777</c:v>
                </c:pt>
                <c:pt idx="8">
                  <c:v>0.2143333333333334</c:v>
                </c:pt>
                <c:pt idx="9">
                  <c:v>0.25387096774193552</c:v>
                </c:pt>
                <c:pt idx="10">
                  <c:v>0.64363636363636367</c:v>
                </c:pt>
                <c:pt idx="11">
                  <c:v>0.30903225806451606</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c:v>
                </c:pt>
                <c:pt idx="1">
                  <c:v>0</c:v>
                </c:pt>
                <c:pt idx="2">
                  <c:v>0</c:v>
                </c:pt>
                <c:pt idx="3">
                  <c:v>0</c:v>
                </c:pt>
                <c:pt idx="4">
                  <c:v>0</c:v>
                </c:pt>
                <c:pt idx="5">
                  <c:v>1</c:v>
                </c:pt>
                <c:pt idx="6">
                  <c:v>0</c:v>
                </c:pt>
                <c:pt idx="7">
                  <c:v>1</c:v>
                </c:pt>
                <c:pt idx="8">
                  <c:v>0</c:v>
                </c:pt>
                <c:pt idx="9">
                  <c:v>1</c:v>
                </c:pt>
                <c:pt idx="10">
                  <c:v>1</c:v>
                </c:pt>
                <c:pt idx="11">
                  <c:v>0</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152400</xdr:colOff>
      <xdr:row>0</xdr:row>
      <xdr:rowOff>0</xdr:rowOff>
    </xdr:from>
    <xdr:to>
      <xdr:col>7</xdr:col>
      <xdr:colOff>381000</xdr:colOff>
      <xdr:row>6</xdr:row>
      <xdr:rowOff>30866</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43075" y="0"/>
          <a:ext cx="3324225" cy="11738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xdr:row>
      <xdr:rowOff>0</xdr:rowOff>
    </xdr:from>
    <xdr:to>
      <xdr:col>9</xdr:col>
      <xdr:colOff>15241</xdr:colOff>
      <xdr:row>23</xdr:row>
      <xdr:rowOff>181600</xdr:rowOff>
    </xdr:to>
    <xdr:pic>
      <xdr:nvPicPr>
        <xdr:cNvPr id="5" name="MSOImageWebPart_WebPartWPQ3" descr="Greatmoor EFW">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9125" y="1333500"/>
          <a:ext cx="5320666" cy="323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457200</xdr:colOff>
          <xdr:row>52</xdr:row>
          <xdr:rowOff>38100</xdr:rowOff>
        </xdr:from>
        <xdr:to>
          <xdr:col>4</xdr:col>
          <xdr:colOff>114300</xdr:colOff>
          <xdr:row>53</xdr:row>
          <xdr:rowOff>160020</xdr:rowOff>
        </xdr:to>
        <xdr:sp macro="" textlink="">
          <xdr:nvSpPr>
            <xdr:cNvPr id="45058" name="Object 2" hidden="1">
              <a:extLst>
                <a:ext uri="{63B3BB69-23CF-44E3-9099-C40C66FF867C}">
                  <a14:compatExt spid="_x0000_s45058"/>
                </a:ext>
                <a:ext uri="{FF2B5EF4-FFF2-40B4-BE49-F238E27FC236}">
                  <a16:creationId xmlns:a16="http://schemas.microsoft.com/office/drawing/2014/main" id="{00000000-0008-0000-0500-000002B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426720</xdr:colOff>
          <xdr:row>26</xdr:row>
          <xdr:rowOff>175260</xdr:rowOff>
        </xdr:from>
        <xdr:to>
          <xdr:col>4</xdr:col>
          <xdr:colOff>83820</xdr:colOff>
          <xdr:row>28</xdr:row>
          <xdr:rowOff>121920</xdr:rowOff>
        </xdr:to>
        <xdr:sp macro="" textlink="">
          <xdr:nvSpPr>
            <xdr:cNvPr id="46081" name="Object 1" hidden="1">
              <a:extLst>
                <a:ext uri="{63B3BB69-23CF-44E3-9099-C40C66FF867C}">
                  <a14:compatExt spid="_x0000_s46081"/>
                </a:ext>
                <a:ext uri="{FF2B5EF4-FFF2-40B4-BE49-F238E27FC236}">
                  <a16:creationId xmlns:a16="http://schemas.microsoft.com/office/drawing/2014/main" id="{00000000-0008-0000-06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greatmoor.co.uk/contact-u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oleObject" Target="../embeddings/oleObject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oleObject" Target="../embeddings/oleObject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13" workbookViewId="0">
      <selection activeCell="B31" sqref="B31:I3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92"/>
      <c r="C1" s="92"/>
      <c r="D1" s="262" t="s">
        <v>0</v>
      </c>
      <c r="E1" s="262"/>
      <c r="F1" s="262"/>
      <c r="G1" s="262"/>
      <c r="H1" s="92"/>
      <c r="I1" s="92"/>
      <c r="J1" s="92"/>
      <c r="K1" s="92"/>
      <c r="L1" s="92"/>
      <c r="M1" s="92"/>
      <c r="N1" s="92"/>
      <c r="O1" s="92"/>
      <c r="P1" s="92"/>
    </row>
    <row r="2" spans="2:16">
      <c r="B2" s="92"/>
      <c r="C2" s="92"/>
      <c r="D2" s="262"/>
      <c r="E2" s="262"/>
      <c r="F2" s="262"/>
      <c r="G2" s="262"/>
      <c r="H2" s="92"/>
      <c r="I2" s="92"/>
      <c r="J2" s="92"/>
      <c r="K2" s="92"/>
      <c r="L2" s="92"/>
      <c r="M2" s="92"/>
      <c r="N2" s="92" t="s">
        <v>1</v>
      </c>
      <c r="O2" s="92"/>
      <c r="P2" s="263"/>
    </row>
    <row r="3" spans="2:16">
      <c r="B3" s="92"/>
      <c r="C3" s="92"/>
      <c r="D3" s="262"/>
      <c r="E3" s="262"/>
      <c r="F3" s="262"/>
      <c r="G3" s="262"/>
      <c r="H3" s="92"/>
      <c r="I3" s="92"/>
      <c r="J3" s="92"/>
      <c r="K3" s="92"/>
      <c r="L3" s="92"/>
      <c r="M3" s="92"/>
      <c r="N3" s="263"/>
      <c r="O3" s="92"/>
      <c r="P3" s="92"/>
    </row>
    <row r="4" spans="2:16">
      <c r="B4" s="92"/>
      <c r="C4" s="92"/>
      <c r="D4" s="262"/>
      <c r="E4" s="262"/>
      <c r="F4" s="262"/>
      <c r="G4" s="262"/>
      <c r="H4" s="92"/>
      <c r="I4" s="92"/>
      <c r="J4" s="92"/>
      <c r="K4" s="92"/>
      <c r="L4" s="92"/>
      <c r="M4" s="92"/>
      <c r="N4" s="92"/>
      <c r="O4" s="92"/>
      <c r="P4" s="92"/>
    </row>
    <row r="5" spans="2:16">
      <c r="B5" s="92"/>
      <c r="C5" s="92"/>
      <c r="D5" s="262"/>
      <c r="E5" s="262"/>
      <c r="F5" s="262"/>
      <c r="G5" s="262"/>
      <c r="H5" s="92"/>
      <c r="I5" s="92"/>
      <c r="J5" s="92"/>
      <c r="K5" s="92"/>
      <c r="L5" s="92"/>
      <c r="M5" s="92"/>
      <c r="N5" s="92"/>
      <c r="O5" s="92"/>
      <c r="P5" s="92"/>
    </row>
    <row r="6" spans="2:16">
      <c r="B6" s="92"/>
      <c r="C6" s="92"/>
      <c r="D6" s="262"/>
      <c r="E6" s="262"/>
      <c r="F6" s="262"/>
      <c r="G6" s="262"/>
      <c r="H6" s="92"/>
      <c r="I6" s="92"/>
      <c r="J6" s="92"/>
      <c r="K6" s="92"/>
      <c r="L6" s="92"/>
      <c r="M6" s="92"/>
      <c r="N6" s="92"/>
      <c r="O6" s="92"/>
      <c r="P6" s="92"/>
    </row>
    <row r="8" spans="2:16" ht="15.75" customHeight="1">
      <c r="B8" s="262" t="s">
        <v>2</v>
      </c>
      <c r="C8" s="262"/>
      <c r="D8" s="262"/>
      <c r="E8" s="262"/>
      <c r="F8" s="262"/>
      <c r="G8" s="262"/>
      <c r="H8" s="262"/>
      <c r="I8" s="262"/>
      <c r="J8" s="92"/>
      <c r="K8" s="92"/>
      <c r="L8" s="92"/>
      <c r="M8" s="92"/>
      <c r="N8" s="71"/>
      <c r="O8" s="92"/>
      <c r="P8" s="92"/>
    </row>
    <row r="9" spans="2:16">
      <c r="B9" s="262"/>
      <c r="C9" s="262"/>
      <c r="D9" s="262"/>
      <c r="E9" s="262"/>
      <c r="F9" s="262"/>
      <c r="G9" s="262"/>
      <c r="H9" s="262"/>
      <c r="I9" s="262"/>
      <c r="J9" s="92"/>
      <c r="K9" s="92"/>
      <c r="L9" s="92"/>
      <c r="M9" s="92"/>
      <c r="N9" s="92"/>
      <c r="O9" s="92"/>
      <c r="P9" s="92"/>
    </row>
    <row r="10" spans="2:16">
      <c r="B10" s="262"/>
      <c r="C10" s="262"/>
      <c r="D10" s="262"/>
      <c r="E10" s="262"/>
      <c r="F10" s="262"/>
      <c r="G10" s="262"/>
      <c r="H10" s="262"/>
      <c r="I10" s="262"/>
      <c r="J10" s="92"/>
      <c r="K10" s="92"/>
      <c r="L10" s="92"/>
      <c r="M10" s="92"/>
      <c r="N10" s="92"/>
      <c r="O10" s="92"/>
      <c r="P10" s="92"/>
    </row>
    <row r="11" spans="2:16">
      <c r="B11" s="262"/>
      <c r="C11" s="262"/>
      <c r="D11" s="262"/>
      <c r="E11" s="262"/>
      <c r="F11" s="262"/>
      <c r="G11" s="262"/>
      <c r="H11" s="262"/>
      <c r="I11" s="262"/>
      <c r="J11" s="92"/>
      <c r="K11" s="92"/>
      <c r="L11" s="92"/>
      <c r="M11" s="92"/>
      <c r="N11" s="92"/>
      <c r="O11" s="92"/>
      <c r="P11" s="92"/>
    </row>
    <row r="12" spans="2:16">
      <c r="B12" s="262"/>
      <c r="C12" s="262"/>
      <c r="D12" s="262"/>
      <c r="E12" s="262"/>
      <c r="F12" s="262"/>
      <c r="G12" s="262"/>
      <c r="H12" s="262"/>
      <c r="I12" s="262"/>
      <c r="J12" s="92"/>
      <c r="K12" s="92"/>
      <c r="L12" s="92"/>
      <c r="M12" s="92"/>
      <c r="N12" s="92"/>
      <c r="O12" s="92"/>
      <c r="P12" s="92"/>
    </row>
    <row r="13" spans="2:16" ht="15.6">
      <c r="B13" s="262"/>
      <c r="C13" s="262"/>
      <c r="D13" s="262"/>
      <c r="E13" s="262"/>
      <c r="F13" s="262"/>
      <c r="G13" s="262"/>
      <c r="H13" s="262"/>
      <c r="I13" s="262"/>
      <c r="J13" s="92"/>
      <c r="K13" s="92"/>
      <c r="L13" s="92"/>
      <c r="M13" s="92"/>
      <c r="N13" s="75" t="s">
        <v>3</v>
      </c>
      <c r="O13" s="73"/>
      <c r="P13" s="73"/>
    </row>
    <row r="14" spans="2:16" ht="15.6" customHeight="1">
      <c r="B14" s="262"/>
      <c r="C14" s="262"/>
      <c r="D14" s="262"/>
      <c r="E14" s="262"/>
      <c r="F14" s="262"/>
      <c r="G14" s="262"/>
      <c r="H14" s="262"/>
      <c r="I14" s="262"/>
      <c r="J14" s="92"/>
      <c r="K14" s="92"/>
      <c r="L14" s="92"/>
      <c r="M14" s="92"/>
      <c r="N14" s="121" t="s">
        <v>4</v>
      </c>
      <c r="O14" s="121"/>
      <c r="P14" s="121"/>
    </row>
    <row r="15" spans="2:16">
      <c r="B15" s="262"/>
      <c r="C15" s="262"/>
      <c r="D15" s="262"/>
      <c r="E15" s="262"/>
      <c r="F15" s="262"/>
      <c r="G15" s="262"/>
      <c r="H15" s="262"/>
      <c r="I15" s="262"/>
      <c r="J15" s="92"/>
      <c r="K15" s="92"/>
      <c r="L15" s="92"/>
      <c r="M15" s="92"/>
      <c r="N15" s="121"/>
      <c r="O15" s="121"/>
      <c r="P15" s="121"/>
    </row>
    <row r="16" spans="2:16">
      <c r="B16" s="262"/>
      <c r="C16" s="262"/>
      <c r="D16" s="262"/>
      <c r="E16" s="262"/>
      <c r="F16" s="262"/>
      <c r="G16" s="262"/>
      <c r="H16" s="262"/>
      <c r="I16" s="262"/>
      <c r="J16" s="92"/>
      <c r="K16" s="92"/>
      <c r="L16" s="92"/>
      <c r="M16" s="92"/>
      <c r="N16" s="121"/>
      <c r="O16" s="121"/>
      <c r="P16" s="121"/>
    </row>
    <row r="17" spans="2:16">
      <c r="B17" s="262"/>
      <c r="C17" s="262"/>
      <c r="D17" s="262"/>
      <c r="E17" s="262"/>
      <c r="F17" s="262"/>
      <c r="G17" s="262"/>
      <c r="H17" s="262"/>
      <c r="I17" s="262"/>
      <c r="J17" s="92"/>
      <c r="K17" s="92"/>
      <c r="L17" s="92"/>
      <c r="M17" s="92"/>
      <c r="N17" s="121"/>
      <c r="O17" s="121"/>
      <c r="P17" s="121"/>
    </row>
    <row r="18" spans="2:16">
      <c r="B18" s="262"/>
      <c r="C18" s="262"/>
      <c r="D18" s="262"/>
      <c r="E18" s="262"/>
      <c r="F18" s="262"/>
      <c r="G18" s="262"/>
      <c r="H18" s="262"/>
      <c r="I18" s="262"/>
      <c r="J18" s="92"/>
      <c r="K18" s="92"/>
      <c r="L18" s="92"/>
      <c r="M18" s="92"/>
      <c r="N18" s="121"/>
      <c r="O18" s="121"/>
      <c r="P18" s="121"/>
    </row>
    <row r="19" spans="2:16">
      <c r="B19" s="262"/>
      <c r="C19" s="262"/>
      <c r="D19" s="262"/>
      <c r="E19" s="262"/>
      <c r="F19" s="262"/>
      <c r="G19" s="262"/>
      <c r="H19" s="262"/>
      <c r="I19" s="262"/>
      <c r="J19" s="92"/>
      <c r="K19" s="92"/>
      <c r="L19" s="92"/>
      <c r="M19" s="92"/>
      <c r="N19" s="121"/>
      <c r="O19" s="121"/>
      <c r="P19" s="121"/>
    </row>
    <row r="20" spans="2:16">
      <c r="B20" s="262"/>
      <c r="C20" s="262"/>
      <c r="D20" s="262"/>
      <c r="E20" s="262"/>
      <c r="F20" s="262"/>
      <c r="G20" s="262"/>
      <c r="H20" s="262"/>
      <c r="I20" s="262"/>
      <c r="J20" s="92"/>
      <c r="K20" s="92"/>
      <c r="L20" s="92"/>
      <c r="M20" s="92"/>
      <c r="N20" s="92"/>
      <c r="O20" s="92"/>
      <c r="P20" s="92"/>
    </row>
    <row r="21" spans="2:16">
      <c r="B21" s="262"/>
      <c r="C21" s="262"/>
      <c r="D21" s="262"/>
      <c r="E21" s="262"/>
      <c r="F21" s="262"/>
      <c r="G21" s="262"/>
      <c r="H21" s="262"/>
      <c r="I21" s="262"/>
      <c r="J21" s="92"/>
      <c r="K21" s="92"/>
      <c r="L21" s="92"/>
      <c r="M21" s="92"/>
      <c r="N21" s="92"/>
      <c r="O21" s="92"/>
      <c r="P21" s="92"/>
    </row>
    <row r="22" spans="2:16">
      <c r="B22" s="262"/>
      <c r="C22" s="262"/>
      <c r="D22" s="262"/>
      <c r="E22" s="262"/>
      <c r="F22" s="262"/>
      <c r="G22" s="262"/>
      <c r="H22" s="262"/>
      <c r="I22" s="262"/>
      <c r="J22" s="92"/>
      <c r="K22" s="92"/>
      <c r="L22" s="92"/>
      <c r="M22" s="92"/>
      <c r="N22" s="92"/>
      <c r="O22" s="92"/>
      <c r="P22" s="92"/>
    </row>
    <row r="23" spans="2:16">
      <c r="B23" s="262"/>
      <c r="C23" s="262"/>
      <c r="D23" s="262"/>
      <c r="E23" s="262"/>
      <c r="F23" s="262"/>
      <c r="G23" s="262"/>
      <c r="H23" s="262"/>
      <c r="I23" s="262"/>
      <c r="J23" s="92"/>
      <c r="K23" s="92"/>
      <c r="L23" s="92"/>
      <c r="M23" s="92"/>
      <c r="N23" s="92"/>
      <c r="O23" s="92"/>
      <c r="P23" s="92"/>
    </row>
    <row r="24" spans="2:16">
      <c r="B24" s="262"/>
      <c r="C24" s="262"/>
      <c r="D24" s="262"/>
      <c r="E24" s="262"/>
      <c r="F24" s="262"/>
      <c r="G24" s="262"/>
      <c r="H24" s="262"/>
      <c r="I24" s="262"/>
      <c r="J24" s="92"/>
      <c r="K24" s="92"/>
      <c r="L24" s="92"/>
      <c r="M24" s="92"/>
      <c r="N24" s="92"/>
      <c r="O24" s="92"/>
      <c r="P24" s="92"/>
    </row>
    <row r="29" spans="2:16" ht="17.45">
      <c r="B29" s="119" t="s">
        <v>5</v>
      </c>
      <c r="C29" s="119"/>
      <c r="D29" s="119"/>
      <c r="E29" s="119"/>
      <c r="F29" s="119"/>
      <c r="G29" s="119"/>
      <c r="H29" s="119"/>
      <c r="I29" s="119"/>
      <c r="J29" s="92"/>
      <c r="K29" s="92"/>
      <c r="L29" s="92"/>
      <c r="M29" s="92"/>
      <c r="N29" s="92"/>
      <c r="O29" s="92"/>
      <c r="P29" s="92"/>
    </row>
    <row r="30" spans="2:16" ht="17.45">
      <c r="B30" s="92"/>
      <c r="C30" s="7"/>
      <c r="D30" s="8"/>
      <c r="E30" s="8"/>
      <c r="F30" s="8"/>
      <c r="G30" s="8"/>
      <c r="H30" s="8"/>
      <c r="I30" s="8"/>
      <c r="J30" s="92"/>
      <c r="K30" s="92"/>
      <c r="L30" s="92"/>
      <c r="M30" s="92"/>
      <c r="N30" s="92"/>
      <c r="O30" s="92"/>
      <c r="P30" s="92"/>
    </row>
    <row r="31" spans="2:16" ht="17.45">
      <c r="B31" s="119" t="s">
        <v>6</v>
      </c>
      <c r="C31" s="119"/>
      <c r="D31" s="119"/>
      <c r="E31" s="119"/>
      <c r="F31" s="119"/>
      <c r="G31" s="119"/>
      <c r="H31" s="119"/>
      <c r="I31" s="119"/>
      <c r="J31" s="92"/>
      <c r="K31" s="92"/>
      <c r="L31" s="92"/>
      <c r="M31" s="92"/>
      <c r="N31" s="92"/>
      <c r="O31" s="92"/>
      <c r="P31" s="92"/>
    </row>
    <row r="32" spans="2:16" ht="17.45">
      <c r="B32" s="92"/>
      <c r="C32" s="7"/>
      <c r="D32" s="8"/>
      <c r="E32" s="8"/>
      <c r="F32" s="8"/>
      <c r="G32" s="8"/>
      <c r="H32" s="8"/>
      <c r="I32" s="8"/>
      <c r="J32" s="92"/>
      <c r="K32" s="92"/>
      <c r="L32" s="92"/>
      <c r="M32" s="92"/>
      <c r="N32" s="92"/>
      <c r="O32" s="92"/>
      <c r="P32" s="92"/>
    </row>
    <row r="33" spans="2:9" ht="17.45">
      <c r="B33" s="119" t="s">
        <v>7</v>
      </c>
      <c r="C33" s="119"/>
      <c r="D33" s="119"/>
      <c r="E33" s="119"/>
      <c r="F33" s="119"/>
      <c r="G33" s="119"/>
      <c r="H33" s="119"/>
      <c r="I33" s="119"/>
    </row>
    <row r="34" spans="2:9" ht="17.45">
      <c r="B34" s="92"/>
      <c r="C34" s="7"/>
      <c r="D34" s="8"/>
      <c r="E34" s="8"/>
      <c r="F34" s="8"/>
      <c r="G34" s="8"/>
      <c r="H34" s="8"/>
      <c r="I34" s="8"/>
    </row>
    <row r="35" spans="2:9" ht="17.45">
      <c r="B35" s="119" t="s">
        <v>8</v>
      </c>
      <c r="C35" s="119"/>
      <c r="D35" s="119"/>
      <c r="E35" s="119"/>
      <c r="F35" s="119"/>
      <c r="G35" s="119"/>
      <c r="H35" s="119"/>
      <c r="I35" s="119"/>
    </row>
    <row r="37" spans="2:9" ht="17.45">
      <c r="B37" s="119" t="s">
        <v>9</v>
      </c>
      <c r="C37" s="119"/>
      <c r="D37" s="119"/>
      <c r="E37" s="119"/>
      <c r="F37" s="119"/>
      <c r="G37" s="119"/>
      <c r="H37" s="119"/>
      <c r="I37" s="119"/>
    </row>
    <row r="39" spans="2:9">
      <c r="B39" s="92" t="s">
        <v>10</v>
      </c>
      <c r="C39" s="264">
        <v>2022</v>
      </c>
      <c r="D39" s="92"/>
      <c r="E39" s="92"/>
      <c r="F39" s="92"/>
      <c r="G39" s="92"/>
      <c r="H39" s="92"/>
      <c r="I39" s="92"/>
    </row>
    <row r="40" spans="2:9" ht="14.25" customHeight="1">
      <c r="B40" s="92"/>
      <c r="C40" s="92"/>
      <c r="D40" s="92"/>
      <c r="E40" s="92"/>
      <c r="F40" s="92"/>
      <c r="G40" s="92"/>
      <c r="H40" s="92"/>
      <c r="I40" s="92"/>
    </row>
    <row r="41" spans="2:9">
      <c r="B41" s="265" t="s">
        <v>11</v>
      </c>
      <c r="C41" s="118" t="s">
        <v>12</v>
      </c>
      <c r="D41" s="118"/>
      <c r="E41" s="118"/>
      <c r="F41" s="118"/>
      <c r="G41" s="118"/>
      <c r="H41" s="118"/>
      <c r="I41" s="118"/>
    </row>
    <row r="42" spans="2:9">
      <c r="B42" s="265"/>
      <c r="C42" s="92"/>
      <c r="D42" s="92"/>
      <c r="E42" s="92"/>
      <c r="F42" s="92"/>
      <c r="G42" s="92"/>
      <c r="H42" s="92"/>
      <c r="I42" s="92"/>
    </row>
    <row r="43" spans="2:9">
      <c r="B43" s="265" t="s">
        <v>13</v>
      </c>
      <c r="C43" s="118" t="s">
        <v>14</v>
      </c>
      <c r="D43" s="118"/>
      <c r="E43" s="118"/>
      <c r="F43" s="92"/>
      <c r="G43" s="92"/>
      <c r="H43" s="92"/>
      <c r="I43" s="92"/>
    </row>
    <row r="44" spans="2:9">
      <c r="B44" s="265"/>
      <c r="C44" s="92"/>
      <c r="D44" s="92"/>
      <c r="E44" s="92"/>
      <c r="F44" s="92"/>
      <c r="G44" s="92"/>
      <c r="H44" s="92"/>
      <c r="I44" s="92"/>
    </row>
    <row r="45" spans="2:9" ht="15.6">
      <c r="B45" s="265" t="s">
        <v>15</v>
      </c>
      <c r="C45" s="120" t="s">
        <v>16</v>
      </c>
      <c r="D45" s="118"/>
      <c r="E45" s="118"/>
      <c r="F45" s="92"/>
      <c r="G45" s="92"/>
      <c r="H45" s="92"/>
      <c r="I45" s="92"/>
    </row>
    <row r="46" spans="2:9">
      <c r="B46" s="265"/>
      <c r="C46" s="92"/>
      <c r="D46" s="92"/>
      <c r="E46" s="92"/>
      <c r="F46" s="92"/>
      <c r="G46" s="92"/>
      <c r="H46" s="92"/>
      <c r="I46" s="92"/>
    </row>
    <row r="47" spans="2:9">
      <c r="B47" s="265" t="s">
        <v>17</v>
      </c>
      <c r="C47" s="118" t="s">
        <v>18</v>
      </c>
      <c r="D47" s="118"/>
      <c r="E47" s="92"/>
      <c r="F47" s="92" t="s">
        <v>19</v>
      </c>
      <c r="G47" s="118" t="s">
        <v>20</v>
      </c>
      <c r="H47" s="118"/>
      <c r="I47" s="118"/>
    </row>
    <row r="48" spans="2:9">
      <c r="B48" s="265"/>
      <c r="C48" s="92"/>
      <c r="D48" s="92"/>
      <c r="E48" s="92"/>
      <c r="F48" s="92"/>
      <c r="G48" s="92"/>
      <c r="H48" s="92"/>
      <c r="I48" s="92"/>
    </row>
    <row r="49" spans="2:9">
      <c r="B49" s="265" t="s">
        <v>21</v>
      </c>
      <c r="C49" s="118" t="s">
        <v>22</v>
      </c>
      <c r="D49" s="118"/>
      <c r="E49" s="92"/>
      <c r="F49" s="92" t="s">
        <v>19</v>
      </c>
      <c r="G49" s="118" t="s">
        <v>23</v>
      </c>
      <c r="H49" s="118"/>
      <c r="I49" s="118"/>
    </row>
    <row r="50" spans="2:9">
      <c r="B50" s="265"/>
      <c r="C50" s="92"/>
      <c r="D50" s="92"/>
      <c r="E50" s="92"/>
      <c r="F50" s="92"/>
      <c r="G50" s="92"/>
      <c r="H50" s="92"/>
      <c r="I50" s="92"/>
    </row>
    <row r="51" spans="2:9">
      <c r="B51" s="265" t="s">
        <v>24</v>
      </c>
      <c r="C51" s="264">
        <v>1</v>
      </c>
      <c r="D51" s="92"/>
      <c r="E51" s="92"/>
      <c r="F51" s="92"/>
      <c r="G51" s="92"/>
      <c r="H51" s="92"/>
      <c r="I51" s="92"/>
    </row>
    <row r="52" spans="2:9">
      <c r="B52" s="265"/>
      <c r="C52" s="92"/>
      <c r="D52" s="92"/>
      <c r="E52" s="92"/>
      <c r="F52" s="92"/>
      <c r="G52" s="92"/>
      <c r="H52" s="92"/>
      <c r="I52" s="92"/>
    </row>
    <row r="53" spans="2:9">
      <c r="B53" s="265" t="s">
        <v>25</v>
      </c>
      <c r="C53" s="266">
        <v>44956</v>
      </c>
      <c r="D53" s="118"/>
      <c r="E53" s="92"/>
      <c r="F53" s="92"/>
      <c r="G53" s="92"/>
      <c r="H53" s="92"/>
      <c r="I53" s="92"/>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B401166A-70E9-4588-A876-E2A2A7BFA616}"/>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K22" sqref="K22"/>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2" t="str">
        <f>+'Cover Page'!$B$29</f>
        <v>Annual Performance Report 2022</v>
      </c>
      <c r="B1" s="92"/>
      <c r="C1" s="92"/>
      <c r="D1" s="92"/>
      <c r="E1" s="92" t="str">
        <f>+'Cover Page'!$B$33</f>
        <v>Greatmoor Energy from Waste Facility</v>
      </c>
      <c r="F1" s="92"/>
      <c r="G1" s="92"/>
      <c r="H1" s="92"/>
      <c r="I1" s="92"/>
      <c r="J1" s="92"/>
      <c r="K1" s="92"/>
      <c r="L1" s="92"/>
      <c r="M1" s="92"/>
      <c r="N1" s="92"/>
      <c r="O1" s="92"/>
    </row>
    <row r="3" spans="1:15" ht="15.6">
      <c r="A3" s="53" t="s">
        <v>26</v>
      </c>
      <c r="B3" s="267"/>
      <c r="C3" s="267"/>
      <c r="D3" s="267"/>
      <c r="E3" s="267"/>
      <c r="F3" s="267"/>
      <c r="G3" s="267"/>
      <c r="H3" s="268"/>
      <c r="I3" s="92"/>
      <c r="J3" s="92"/>
      <c r="K3" s="75" t="s">
        <v>3</v>
      </c>
      <c r="L3" s="92"/>
      <c r="M3" s="92"/>
      <c r="N3" s="92"/>
      <c r="O3" s="92"/>
    </row>
    <row r="4" spans="1:15" ht="15.6">
      <c r="A4" s="5" t="s">
        <v>27</v>
      </c>
      <c r="B4" s="132" t="s">
        <v>28</v>
      </c>
      <c r="C4" s="132"/>
      <c r="D4" s="132"/>
      <c r="E4" s="132"/>
      <c r="F4" s="132"/>
      <c r="G4" s="132"/>
      <c r="H4" s="6" t="s">
        <v>29</v>
      </c>
      <c r="I4" s="92"/>
      <c r="J4" s="92"/>
      <c r="K4" s="73" t="s">
        <v>30</v>
      </c>
      <c r="L4" s="92"/>
      <c r="M4" s="92"/>
      <c r="N4" s="92"/>
      <c r="O4" s="92"/>
    </row>
    <row r="5" spans="1:15" ht="15.6" customHeight="1">
      <c r="A5" s="4"/>
      <c r="B5" s="128" t="s">
        <v>31</v>
      </c>
      <c r="C5" s="128"/>
      <c r="D5" s="128"/>
      <c r="E5" s="128"/>
      <c r="F5" s="128"/>
      <c r="G5" s="128"/>
      <c r="H5" s="4"/>
      <c r="I5" s="92"/>
      <c r="J5" s="92"/>
      <c r="K5" s="121" t="s">
        <v>32</v>
      </c>
      <c r="L5" s="121"/>
      <c r="M5" s="121"/>
      <c r="N5" s="121"/>
      <c r="O5" s="121"/>
    </row>
    <row r="6" spans="1:15">
      <c r="A6" s="4"/>
      <c r="B6" s="128" t="s">
        <v>33</v>
      </c>
      <c r="C6" s="128"/>
      <c r="D6" s="128"/>
      <c r="E6" s="128"/>
      <c r="F6" s="128"/>
      <c r="G6" s="128"/>
      <c r="H6" s="4"/>
      <c r="I6" s="92"/>
      <c r="J6" s="92"/>
      <c r="K6" s="121"/>
      <c r="L6" s="121"/>
      <c r="M6" s="121"/>
      <c r="N6" s="121"/>
      <c r="O6" s="121"/>
    </row>
    <row r="7" spans="1:15" ht="15.75" customHeight="1">
      <c r="A7" s="4"/>
      <c r="B7" s="128" t="s">
        <v>34</v>
      </c>
      <c r="C7" s="128"/>
      <c r="D7" s="128"/>
      <c r="E7" s="128"/>
      <c r="F7" s="128"/>
      <c r="G7" s="128"/>
      <c r="H7" s="4"/>
      <c r="I7" s="92"/>
      <c r="J7" s="92"/>
      <c r="K7" s="121"/>
      <c r="L7" s="121"/>
      <c r="M7" s="121"/>
      <c r="N7" s="121"/>
      <c r="O7" s="121"/>
    </row>
    <row r="8" spans="1:15">
      <c r="A8" s="4"/>
      <c r="B8" s="128" t="s">
        <v>35</v>
      </c>
      <c r="C8" s="128"/>
      <c r="D8" s="128"/>
      <c r="E8" s="128"/>
      <c r="F8" s="128"/>
      <c r="G8" s="128"/>
      <c r="H8" s="4"/>
      <c r="I8" s="92"/>
      <c r="J8" s="92"/>
      <c r="K8" s="121"/>
      <c r="L8" s="121"/>
      <c r="M8" s="121"/>
      <c r="N8" s="121"/>
      <c r="O8" s="121"/>
    </row>
    <row r="9" spans="1:15">
      <c r="A9" s="4"/>
      <c r="B9" s="128" t="s">
        <v>36</v>
      </c>
      <c r="C9" s="128"/>
      <c r="D9" s="128"/>
      <c r="E9" s="128"/>
      <c r="F9" s="128"/>
      <c r="G9" s="128"/>
      <c r="H9" s="4"/>
      <c r="I9" s="92"/>
      <c r="J9" s="92"/>
      <c r="K9" s="92"/>
      <c r="L9" s="92"/>
      <c r="M9" s="92"/>
      <c r="N9" s="92"/>
      <c r="O9" s="92"/>
    </row>
    <row r="10" spans="1:15">
      <c r="A10" s="4"/>
      <c r="B10" s="128" t="s">
        <v>37</v>
      </c>
      <c r="C10" s="128"/>
      <c r="D10" s="128"/>
      <c r="E10" s="128"/>
      <c r="F10" s="128"/>
      <c r="G10" s="128"/>
      <c r="H10" s="4"/>
      <c r="I10" s="92"/>
      <c r="J10" s="92"/>
      <c r="K10" s="92"/>
      <c r="L10" s="92"/>
      <c r="M10" s="92"/>
      <c r="N10" s="92"/>
      <c r="O10" s="92"/>
    </row>
    <row r="11" spans="1:15">
      <c r="A11" s="4"/>
      <c r="B11" s="128" t="s">
        <v>38</v>
      </c>
      <c r="C11" s="128"/>
      <c r="D11" s="128"/>
      <c r="E11" s="128"/>
      <c r="F11" s="128"/>
      <c r="G11" s="128"/>
      <c r="H11" s="4"/>
      <c r="I11" s="92"/>
      <c r="J11" s="92"/>
      <c r="K11" s="92"/>
      <c r="L11" s="92"/>
      <c r="M11" s="92"/>
      <c r="N11" s="92"/>
      <c r="O11" s="92"/>
    </row>
    <row r="12" spans="1:15">
      <c r="A12" s="4"/>
      <c r="B12" s="128" t="s">
        <v>39</v>
      </c>
      <c r="C12" s="128"/>
      <c r="D12" s="128"/>
      <c r="E12" s="128"/>
      <c r="F12" s="128"/>
      <c r="G12" s="128"/>
      <c r="H12" s="4"/>
      <c r="I12" s="92"/>
      <c r="J12" s="92"/>
      <c r="K12" s="92"/>
      <c r="L12" s="92"/>
      <c r="M12" s="92"/>
      <c r="N12" s="92"/>
      <c r="O12" s="92"/>
    </row>
    <row r="13" spans="1:15" ht="15.6">
      <c r="A13" s="4"/>
      <c r="B13" s="129" t="s">
        <v>40</v>
      </c>
      <c r="C13" s="130"/>
      <c r="D13" s="130"/>
      <c r="E13" s="130"/>
      <c r="F13" s="130"/>
      <c r="G13" s="131"/>
      <c r="H13" s="4"/>
      <c r="I13" s="92"/>
      <c r="J13" s="92"/>
      <c r="K13" s="92"/>
      <c r="L13" s="92"/>
      <c r="M13" s="92"/>
      <c r="N13" s="92"/>
      <c r="O13" s="92"/>
    </row>
    <row r="14" spans="1:15">
      <c r="A14" s="4"/>
      <c r="B14" s="128" t="s">
        <v>41</v>
      </c>
      <c r="C14" s="128"/>
      <c r="D14" s="128"/>
      <c r="E14" s="128"/>
      <c r="F14" s="128"/>
      <c r="G14" s="128"/>
      <c r="H14" s="4"/>
      <c r="I14" s="92"/>
      <c r="J14" s="92"/>
      <c r="K14" s="92"/>
      <c r="L14" s="92"/>
      <c r="M14" s="92"/>
      <c r="N14" s="92"/>
      <c r="O14" s="92"/>
    </row>
    <row r="15" spans="1:15">
      <c r="A15" s="4"/>
      <c r="B15" s="128" t="s">
        <v>42</v>
      </c>
      <c r="C15" s="128"/>
      <c r="D15" s="128"/>
      <c r="E15" s="128"/>
      <c r="F15" s="128"/>
      <c r="G15" s="128"/>
      <c r="H15" s="4"/>
      <c r="I15" s="92"/>
      <c r="J15" s="92"/>
      <c r="K15" s="92"/>
      <c r="L15" s="92"/>
      <c r="M15" s="92"/>
      <c r="N15" s="92"/>
      <c r="O15" s="92"/>
    </row>
    <row r="16" spans="1:15">
      <c r="A16" s="4"/>
      <c r="B16" s="128" t="s">
        <v>43</v>
      </c>
      <c r="C16" s="128"/>
      <c r="D16" s="128"/>
      <c r="E16" s="128"/>
      <c r="F16" s="128"/>
      <c r="G16" s="128"/>
      <c r="H16" s="4"/>
      <c r="I16" s="92"/>
      <c r="J16" s="92"/>
      <c r="K16" s="92"/>
      <c r="L16" s="92"/>
      <c r="M16" s="92"/>
      <c r="N16" s="92"/>
      <c r="O16" s="92"/>
    </row>
    <row r="17" spans="1:8">
      <c r="A17" s="4"/>
      <c r="B17" s="128" t="s">
        <v>44</v>
      </c>
      <c r="C17" s="128"/>
      <c r="D17" s="128"/>
      <c r="E17" s="128"/>
      <c r="F17" s="128"/>
      <c r="G17" s="128"/>
      <c r="H17" s="4"/>
    </row>
    <row r="18" spans="1:8">
      <c r="A18" s="4"/>
      <c r="B18" s="128" t="s">
        <v>45</v>
      </c>
      <c r="C18" s="128"/>
      <c r="D18" s="128"/>
      <c r="E18" s="128"/>
      <c r="F18" s="128"/>
      <c r="G18" s="128"/>
      <c r="H18" s="4"/>
    </row>
    <row r="19" spans="1:8">
      <c r="A19" s="4"/>
      <c r="B19" s="128" t="s">
        <v>46</v>
      </c>
      <c r="C19" s="128"/>
      <c r="D19" s="128"/>
      <c r="E19" s="128"/>
      <c r="F19" s="128"/>
      <c r="G19" s="128"/>
      <c r="H19" s="4"/>
    </row>
    <row r="20" spans="1:8">
      <c r="A20" s="4"/>
      <c r="B20" s="128" t="s">
        <v>47</v>
      </c>
      <c r="C20" s="128"/>
      <c r="D20" s="128"/>
      <c r="E20" s="128"/>
      <c r="F20" s="128"/>
      <c r="G20" s="128"/>
      <c r="H20" s="4"/>
    </row>
    <row r="21" spans="1:8">
      <c r="A21" s="4"/>
      <c r="B21" s="128" t="s">
        <v>48</v>
      </c>
      <c r="C21" s="128"/>
      <c r="D21" s="128"/>
      <c r="E21" s="128"/>
      <c r="F21" s="128"/>
      <c r="G21" s="128"/>
      <c r="H21" s="4"/>
    </row>
    <row r="22" spans="1:8">
      <c r="A22" s="4"/>
      <c r="B22" s="128" t="s">
        <v>49</v>
      </c>
      <c r="C22" s="128"/>
      <c r="D22" s="128"/>
      <c r="E22" s="128"/>
      <c r="F22" s="128"/>
      <c r="G22" s="128"/>
      <c r="H22" s="4"/>
    </row>
    <row r="23" spans="1:8">
      <c r="A23" s="4"/>
      <c r="B23" s="122" t="s">
        <v>50</v>
      </c>
      <c r="C23" s="123"/>
      <c r="D23" s="123"/>
      <c r="E23" s="123"/>
      <c r="F23" s="123"/>
      <c r="G23" s="124"/>
      <c r="H23" s="4"/>
    </row>
    <row r="24" spans="1:8">
      <c r="A24" s="4"/>
      <c r="B24" s="122" t="s">
        <v>51</v>
      </c>
      <c r="C24" s="123"/>
      <c r="D24" s="123"/>
      <c r="E24" s="123"/>
      <c r="F24" s="123"/>
      <c r="G24" s="124"/>
      <c r="H24" s="4"/>
    </row>
    <row r="25" spans="1:8">
      <c r="A25" s="4"/>
      <c r="B25" s="125"/>
      <c r="C25" s="125"/>
      <c r="D25" s="125"/>
      <c r="E25" s="125"/>
      <c r="F25" s="125"/>
      <c r="G25" s="125"/>
      <c r="H25" s="4"/>
    </row>
    <row r="27" spans="1:8">
      <c r="A27" s="52" t="s">
        <v>52</v>
      </c>
      <c r="B27" s="267"/>
      <c r="C27" s="267"/>
      <c r="D27" s="267"/>
      <c r="E27" s="267"/>
      <c r="F27" s="267"/>
      <c r="G27" s="267"/>
      <c r="H27" s="268"/>
    </row>
    <row r="28" spans="1:8">
      <c r="A28" s="10" t="s">
        <v>27</v>
      </c>
      <c r="B28" s="126" t="s">
        <v>53</v>
      </c>
      <c r="C28" s="126"/>
      <c r="D28" s="126"/>
      <c r="E28" s="126"/>
      <c r="F28" s="126"/>
      <c r="G28" s="126"/>
      <c r="H28" s="11" t="s">
        <v>54</v>
      </c>
    </row>
    <row r="29" spans="1:8">
      <c r="A29" s="269"/>
      <c r="B29" s="174"/>
      <c r="C29" s="174"/>
      <c r="D29" s="174"/>
      <c r="E29" s="174"/>
      <c r="F29" s="174"/>
      <c r="G29" s="174"/>
      <c r="H29" s="269"/>
    </row>
    <row r="30" spans="1:8">
      <c r="A30" s="269"/>
      <c r="B30" s="174"/>
      <c r="C30" s="174"/>
      <c r="D30" s="174"/>
      <c r="E30" s="174"/>
      <c r="F30" s="174"/>
      <c r="G30" s="174"/>
      <c r="H30" s="269"/>
    </row>
    <row r="31" spans="1:8">
      <c r="A31" s="269"/>
      <c r="B31" s="174"/>
      <c r="C31" s="174"/>
      <c r="D31" s="174"/>
      <c r="E31" s="174"/>
      <c r="F31" s="174"/>
      <c r="G31" s="174"/>
      <c r="H31" s="269"/>
    </row>
    <row r="32" spans="1:8">
      <c r="A32" s="269"/>
      <c r="B32" s="174"/>
      <c r="C32" s="174"/>
      <c r="D32" s="174"/>
      <c r="E32" s="174"/>
      <c r="F32" s="174"/>
      <c r="G32" s="174"/>
      <c r="H32" s="269"/>
    </row>
    <row r="33" spans="1:10">
      <c r="A33" s="269"/>
      <c r="B33" s="174"/>
      <c r="C33" s="174"/>
      <c r="D33" s="174"/>
      <c r="E33" s="174"/>
      <c r="F33" s="174"/>
      <c r="G33" s="174"/>
      <c r="H33" s="269"/>
      <c r="I33" s="92"/>
      <c r="J33" s="92"/>
    </row>
    <row r="35" spans="1:10" ht="14.25" customHeight="1">
      <c r="A35" s="52" t="s">
        <v>55</v>
      </c>
      <c r="B35" s="267"/>
      <c r="C35" s="267"/>
      <c r="D35" s="267"/>
      <c r="E35" s="267"/>
      <c r="F35" s="267"/>
      <c r="G35" s="267"/>
      <c r="H35" s="268"/>
      <c r="I35" s="92"/>
      <c r="J35" s="92"/>
    </row>
    <row r="36" spans="1:10">
      <c r="A36" s="13" t="s">
        <v>56</v>
      </c>
      <c r="B36" s="127" t="s">
        <v>57</v>
      </c>
      <c r="C36" s="127"/>
      <c r="D36" s="127"/>
      <c r="E36" s="127"/>
      <c r="F36" s="127"/>
      <c r="G36" s="127"/>
      <c r="H36" s="14" t="s">
        <v>58</v>
      </c>
      <c r="I36" s="92"/>
      <c r="J36" s="92"/>
    </row>
    <row r="37" spans="1:10">
      <c r="A37" s="270"/>
      <c r="B37" s="271"/>
      <c r="C37" s="271"/>
      <c r="D37" s="271"/>
      <c r="E37" s="271"/>
      <c r="F37" s="271"/>
      <c r="G37" s="271"/>
      <c r="H37" s="270"/>
      <c r="I37" s="92"/>
      <c r="J37" s="92"/>
    </row>
    <row r="38" spans="1:10">
      <c r="A38" s="270"/>
      <c r="B38" s="271"/>
      <c r="C38" s="271"/>
      <c r="D38" s="271"/>
      <c r="E38" s="271"/>
      <c r="F38" s="271"/>
      <c r="G38" s="271"/>
      <c r="H38" s="270"/>
      <c r="I38" s="92"/>
      <c r="J38" s="92"/>
    </row>
    <row r="39" spans="1:10">
      <c r="A39" s="270"/>
      <c r="B39" s="271"/>
      <c r="C39" s="271"/>
      <c r="D39" s="271"/>
      <c r="E39" s="271"/>
      <c r="F39" s="271"/>
      <c r="G39" s="271"/>
      <c r="H39" s="270"/>
      <c r="I39" s="92"/>
      <c r="J39" s="92"/>
    </row>
    <row r="40" spans="1:10">
      <c r="A40" s="270"/>
      <c r="B40" s="271"/>
      <c r="C40" s="271"/>
      <c r="D40" s="271"/>
      <c r="E40" s="271"/>
      <c r="F40" s="271"/>
      <c r="G40" s="271"/>
      <c r="H40" s="270"/>
      <c r="I40" s="92"/>
      <c r="J40" s="92"/>
    </row>
    <row r="41" spans="1:10">
      <c r="A41" s="270"/>
      <c r="B41" s="271"/>
      <c r="C41" s="271"/>
      <c r="D41" s="271"/>
      <c r="E41" s="271"/>
      <c r="F41" s="271"/>
      <c r="G41" s="271"/>
      <c r="H41" s="270"/>
      <c r="I41" s="92"/>
      <c r="J41" s="92"/>
    </row>
    <row r="42" spans="1:10">
      <c r="A42" s="270"/>
      <c r="B42" s="271"/>
      <c r="C42" s="271"/>
      <c r="D42" s="271"/>
      <c r="E42" s="271"/>
      <c r="F42" s="271"/>
      <c r="G42" s="271"/>
      <c r="H42" s="270"/>
      <c r="I42" s="92"/>
      <c r="J42" s="92"/>
    </row>
    <row r="43" spans="1:10">
      <c r="A43" s="270"/>
      <c r="B43" s="271"/>
      <c r="C43" s="271"/>
      <c r="D43" s="271"/>
      <c r="E43" s="271"/>
      <c r="F43" s="271"/>
      <c r="G43" s="271"/>
      <c r="H43" s="270"/>
      <c r="I43" s="92"/>
      <c r="J43" s="92"/>
    </row>
    <row r="45" spans="1:10">
      <c r="A45" s="272" t="s">
        <v>59</v>
      </c>
      <c r="B45" s="273"/>
      <c r="C45" s="273"/>
      <c r="D45" s="273"/>
      <c r="E45" s="273"/>
      <c r="F45" s="273"/>
      <c r="G45" s="273"/>
      <c r="H45" s="273"/>
      <c r="I45" s="273"/>
      <c r="J45" s="274"/>
    </row>
    <row r="46" spans="1:10">
      <c r="A46" s="275"/>
      <c r="B46" s="276"/>
      <c r="C46" s="276"/>
      <c r="D46" s="276"/>
      <c r="E46" s="276"/>
      <c r="F46" s="276"/>
      <c r="G46" s="276"/>
      <c r="H46" s="276"/>
      <c r="I46" s="276"/>
      <c r="J46" s="277"/>
    </row>
    <row r="47" spans="1:10">
      <c r="A47" s="275"/>
      <c r="B47" s="276"/>
      <c r="C47" s="276"/>
      <c r="D47" s="276"/>
      <c r="E47" s="276"/>
      <c r="F47" s="276"/>
      <c r="G47" s="276"/>
      <c r="H47" s="276"/>
      <c r="I47" s="276"/>
      <c r="J47" s="277"/>
    </row>
    <row r="48" spans="1:10">
      <c r="A48" s="278"/>
      <c r="B48" s="279"/>
      <c r="C48" s="279"/>
      <c r="D48" s="279"/>
      <c r="E48" s="279"/>
      <c r="F48" s="279"/>
      <c r="G48" s="279"/>
      <c r="H48" s="279"/>
      <c r="I48" s="279"/>
      <c r="J48" s="280"/>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45"/>
  <sheetViews>
    <sheetView workbookViewId="0">
      <selection activeCell="L16" sqref="L16"/>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Greatmoor Energy from Waste Facility</v>
      </c>
      <c r="F1" s="92"/>
      <c r="G1" s="92"/>
      <c r="H1" s="92"/>
      <c r="I1" s="92"/>
      <c r="J1" s="92"/>
      <c r="K1" s="92"/>
      <c r="L1" s="92"/>
      <c r="M1" s="92"/>
      <c r="N1" s="92"/>
    </row>
    <row r="3" spans="1:14" ht="15.6">
      <c r="A3" s="51" t="s">
        <v>60</v>
      </c>
      <c r="B3" s="281"/>
      <c r="C3" s="281"/>
      <c r="D3" s="281"/>
      <c r="E3" s="281"/>
      <c r="F3" s="281"/>
      <c r="G3" s="281"/>
      <c r="H3" s="281"/>
      <c r="I3" s="282"/>
      <c r="J3" s="92"/>
      <c r="K3" s="81" t="s">
        <v>3</v>
      </c>
      <c r="L3" s="92"/>
      <c r="M3" s="92"/>
      <c r="N3" s="92"/>
    </row>
    <row r="4" spans="1:14">
      <c r="A4" s="283"/>
      <c r="B4" s="284"/>
      <c r="C4" s="284"/>
      <c r="D4" s="284"/>
      <c r="E4" s="284"/>
      <c r="F4" s="284"/>
      <c r="G4" s="284"/>
      <c r="H4" s="284"/>
      <c r="I4" s="285"/>
      <c r="J4" s="92"/>
      <c r="K4" s="92"/>
      <c r="L4" s="92"/>
      <c r="M4" s="92"/>
      <c r="N4" s="92"/>
    </row>
    <row r="5" spans="1:14" ht="15.75" customHeight="1">
      <c r="A5" s="133" t="s">
        <v>61</v>
      </c>
      <c r="B5" s="134"/>
      <c r="C5" s="134"/>
      <c r="D5" s="134"/>
      <c r="E5" s="134"/>
      <c r="F5" s="134"/>
      <c r="G5" s="134"/>
      <c r="H5" s="134"/>
      <c r="I5" s="135"/>
      <c r="J5" s="92"/>
      <c r="K5" s="203" t="s">
        <v>62</v>
      </c>
      <c r="L5" s="203"/>
      <c r="M5" s="203"/>
      <c r="N5" s="203"/>
    </row>
    <row r="6" spans="1:14">
      <c r="A6" s="136"/>
      <c r="B6" s="137"/>
      <c r="C6" s="137"/>
      <c r="D6" s="137"/>
      <c r="E6" s="137"/>
      <c r="F6" s="137"/>
      <c r="G6" s="137"/>
      <c r="H6" s="137"/>
      <c r="I6" s="138"/>
      <c r="J6" s="92"/>
      <c r="K6" s="203"/>
      <c r="L6" s="203"/>
      <c r="M6" s="203"/>
      <c r="N6" s="203"/>
    </row>
    <row r="7" spans="1:14">
      <c r="A7" s="136"/>
      <c r="B7" s="137"/>
      <c r="C7" s="137"/>
      <c r="D7" s="137"/>
      <c r="E7" s="137"/>
      <c r="F7" s="137"/>
      <c r="G7" s="137"/>
      <c r="H7" s="137"/>
      <c r="I7" s="138"/>
      <c r="J7" s="92"/>
      <c r="K7" s="203"/>
      <c r="L7" s="203"/>
      <c r="M7" s="203"/>
      <c r="N7" s="203"/>
    </row>
    <row r="8" spans="1:14" ht="15.75" customHeight="1">
      <c r="A8" s="136"/>
      <c r="B8" s="137"/>
      <c r="C8" s="137"/>
      <c r="D8" s="137"/>
      <c r="E8" s="137"/>
      <c r="F8" s="137"/>
      <c r="G8" s="137"/>
      <c r="H8" s="137"/>
      <c r="I8" s="138"/>
      <c r="J8" s="92"/>
      <c r="K8" s="203"/>
      <c r="L8" s="203"/>
      <c r="M8" s="203"/>
      <c r="N8" s="203"/>
    </row>
    <row r="9" spans="1:14">
      <c r="A9" s="136"/>
      <c r="B9" s="137"/>
      <c r="C9" s="137"/>
      <c r="D9" s="137"/>
      <c r="E9" s="137"/>
      <c r="F9" s="137"/>
      <c r="G9" s="137"/>
      <c r="H9" s="137"/>
      <c r="I9" s="138"/>
      <c r="J9" s="92"/>
      <c r="K9" s="203"/>
      <c r="L9" s="203"/>
      <c r="M9" s="203"/>
      <c r="N9" s="203"/>
    </row>
    <row r="10" spans="1:14">
      <c r="A10" s="136"/>
      <c r="B10" s="137"/>
      <c r="C10" s="137"/>
      <c r="D10" s="137"/>
      <c r="E10" s="137"/>
      <c r="F10" s="137"/>
      <c r="G10" s="137"/>
      <c r="H10" s="137"/>
      <c r="I10" s="138"/>
      <c r="J10" s="92"/>
      <c r="K10" s="203"/>
      <c r="L10" s="203"/>
      <c r="M10" s="203"/>
      <c r="N10" s="203"/>
    </row>
    <row r="11" spans="1:14">
      <c r="A11" s="136"/>
      <c r="B11" s="137"/>
      <c r="C11" s="137"/>
      <c r="D11" s="137"/>
      <c r="E11" s="137"/>
      <c r="F11" s="137"/>
      <c r="G11" s="137"/>
      <c r="H11" s="137"/>
      <c r="I11" s="138"/>
      <c r="J11" s="92"/>
      <c r="K11" s="203"/>
      <c r="L11" s="203"/>
      <c r="M11" s="203"/>
      <c r="N11" s="203"/>
    </row>
    <row r="12" spans="1:14">
      <c r="A12" s="136"/>
      <c r="B12" s="137"/>
      <c r="C12" s="137"/>
      <c r="D12" s="137"/>
      <c r="E12" s="137"/>
      <c r="F12" s="137"/>
      <c r="G12" s="137"/>
      <c r="H12" s="137"/>
      <c r="I12" s="138"/>
      <c r="J12" s="92"/>
      <c r="K12" s="203"/>
      <c r="L12" s="203"/>
      <c r="M12" s="203"/>
      <c r="N12" s="203"/>
    </row>
    <row r="13" spans="1:14">
      <c r="A13" s="136"/>
      <c r="B13" s="137"/>
      <c r="C13" s="137"/>
      <c r="D13" s="137"/>
      <c r="E13" s="137"/>
      <c r="F13" s="137"/>
      <c r="G13" s="137"/>
      <c r="H13" s="137"/>
      <c r="I13" s="138"/>
      <c r="J13" s="92"/>
      <c r="K13" s="203"/>
      <c r="L13" s="203"/>
      <c r="M13" s="203"/>
      <c r="N13" s="203"/>
    </row>
    <row r="14" spans="1:14">
      <c r="A14" s="136"/>
      <c r="B14" s="137"/>
      <c r="C14" s="137"/>
      <c r="D14" s="137"/>
      <c r="E14" s="137"/>
      <c r="F14" s="137"/>
      <c r="G14" s="137"/>
      <c r="H14" s="137"/>
      <c r="I14" s="138"/>
      <c r="J14" s="92"/>
      <c r="K14" s="203"/>
      <c r="L14" s="203"/>
      <c r="M14" s="203"/>
      <c r="N14" s="203"/>
    </row>
    <row r="15" spans="1:14">
      <c r="A15" s="136"/>
      <c r="B15" s="137"/>
      <c r="C15" s="137"/>
      <c r="D15" s="137"/>
      <c r="E15" s="137"/>
      <c r="F15" s="137"/>
      <c r="G15" s="137"/>
      <c r="H15" s="137"/>
      <c r="I15" s="138"/>
      <c r="J15" s="92"/>
      <c r="K15" s="92"/>
      <c r="L15" s="92"/>
      <c r="M15" s="92"/>
      <c r="N15" s="92"/>
    </row>
    <row r="16" spans="1:14">
      <c r="A16" s="136"/>
      <c r="B16" s="137"/>
      <c r="C16" s="137"/>
      <c r="D16" s="137"/>
      <c r="E16" s="137"/>
      <c r="F16" s="137"/>
      <c r="G16" s="137"/>
      <c r="H16" s="137"/>
      <c r="I16" s="138"/>
      <c r="J16" s="92"/>
      <c r="K16" s="92"/>
      <c r="L16" s="92"/>
      <c r="M16" s="92"/>
      <c r="N16" s="92"/>
    </row>
    <row r="17" spans="1:14">
      <c r="A17" s="136"/>
      <c r="B17" s="137"/>
      <c r="C17" s="137"/>
      <c r="D17" s="137"/>
      <c r="E17" s="137"/>
      <c r="F17" s="137"/>
      <c r="G17" s="137"/>
      <c r="H17" s="137"/>
      <c r="I17" s="138"/>
      <c r="J17" s="92"/>
      <c r="K17" s="92"/>
      <c r="L17" s="92"/>
      <c r="M17" s="92"/>
      <c r="N17" s="92"/>
    </row>
    <row r="18" spans="1:14" ht="342.75" customHeight="1">
      <c r="A18" s="139"/>
      <c r="B18" s="140"/>
      <c r="C18" s="140"/>
      <c r="D18" s="140"/>
      <c r="E18" s="140"/>
      <c r="F18" s="140"/>
      <c r="G18" s="140"/>
      <c r="H18" s="140"/>
      <c r="I18" s="141"/>
      <c r="J18" s="92"/>
      <c r="K18" s="92"/>
      <c r="L18" s="92"/>
      <c r="M18" s="92"/>
      <c r="N18" s="92"/>
    </row>
    <row r="20" spans="1:14">
      <c r="A20" s="51" t="s">
        <v>63</v>
      </c>
      <c r="B20" s="281"/>
      <c r="C20" s="281"/>
      <c r="D20" s="281"/>
      <c r="E20" s="281"/>
      <c r="F20" s="281"/>
      <c r="G20" s="281"/>
      <c r="H20" s="281"/>
      <c r="I20" s="282"/>
      <c r="J20" s="92"/>
      <c r="K20" s="92"/>
      <c r="L20" s="92"/>
      <c r="M20" s="92"/>
      <c r="N20" s="92"/>
    </row>
    <row r="21" spans="1:14">
      <c r="A21" s="283"/>
      <c r="B21" s="284"/>
      <c r="C21" s="284"/>
      <c r="D21" s="284"/>
      <c r="E21" s="284"/>
      <c r="F21" s="284"/>
      <c r="G21" s="284"/>
      <c r="H21" s="284"/>
      <c r="I21" s="285"/>
      <c r="J21" s="92"/>
      <c r="K21" s="92"/>
      <c r="L21" s="92"/>
      <c r="M21" s="92"/>
      <c r="N21" s="92"/>
    </row>
    <row r="22" spans="1:14" ht="15" customHeight="1">
      <c r="A22" s="133" t="s">
        <v>64</v>
      </c>
      <c r="B22" s="142"/>
      <c r="C22" s="142"/>
      <c r="D22" s="142"/>
      <c r="E22" s="142"/>
      <c r="F22" s="142"/>
      <c r="G22" s="142"/>
      <c r="H22" s="142"/>
      <c r="I22" s="143"/>
      <c r="J22" s="92"/>
      <c r="K22" s="203" t="s">
        <v>65</v>
      </c>
      <c r="L22" s="203"/>
      <c r="M22" s="203"/>
      <c r="N22" s="203"/>
    </row>
    <row r="23" spans="1:14">
      <c r="A23" s="144"/>
      <c r="B23" s="145"/>
      <c r="C23" s="145"/>
      <c r="D23" s="145"/>
      <c r="E23" s="145"/>
      <c r="F23" s="145"/>
      <c r="G23" s="145"/>
      <c r="H23" s="145"/>
      <c r="I23" s="146"/>
      <c r="J23" s="92"/>
      <c r="K23" s="203"/>
      <c r="L23" s="203"/>
      <c r="M23" s="203"/>
      <c r="N23" s="203"/>
    </row>
    <row r="24" spans="1:14">
      <c r="A24" s="144"/>
      <c r="B24" s="145"/>
      <c r="C24" s="145"/>
      <c r="D24" s="145"/>
      <c r="E24" s="145"/>
      <c r="F24" s="145"/>
      <c r="G24" s="145"/>
      <c r="H24" s="145"/>
      <c r="I24" s="146"/>
      <c r="J24" s="92"/>
      <c r="K24" s="203"/>
      <c r="L24" s="203"/>
      <c r="M24" s="203"/>
      <c r="N24" s="203"/>
    </row>
    <row r="25" spans="1:14">
      <c r="A25" s="144"/>
      <c r="B25" s="145"/>
      <c r="C25" s="145"/>
      <c r="D25" s="145"/>
      <c r="E25" s="145"/>
      <c r="F25" s="145"/>
      <c r="G25" s="145"/>
      <c r="H25" s="145"/>
      <c r="I25" s="146"/>
      <c r="J25" s="92"/>
      <c r="K25" s="203"/>
      <c r="L25" s="203"/>
      <c r="M25" s="203"/>
      <c r="N25" s="203"/>
    </row>
    <row r="26" spans="1:14">
      <c r="A26" s="144"/>
      <c r="B26" s="145"/>
      <c r="C26" s="145"/>
      <c r="D26" s="145"/>
      <c r="E26" s="145"/>
      <c r="F26" s="145"/>
      <c r="G26" s="145"/>
      <c r="H26" s="145"/>
      <c r="I26" s="146"/>
      <c r="J26" s="92"/>
      <c r="K26" s="203"/>
      <c r="L26" s="203"/>
      <c r="M26" s="203"/>
      <c r="N26" s="203"/>
    </row>
    <row r="27" spans="1:14">
      <c r="A27" s="144"/>
      <c r="B27" s="145"/>
      <c r="C27" s="145"/>
      <c r="D27" s="145"/>
      <c r="E27" s="145"/>
      <c r="F27" s="145"/>
      <c r="G27" s="145"/>
      <c r="H27" s="145"/>
      <c r="I27" s="146"/>
      <c r="J27" s="92"/>
      <c r="K27" s="203"/>
      <c r="L27" s="203"/>
      <c r="M27" s="203"/>
      <c r="N27" s="203"/>
    </row>
    <row r="28" spans="1:14">
      <c r="A28" s="144"/>
      <c r="B28" s="145"/>
      <c r="C28" s="145"/>
      <c r="D28" s="145"/>
      <c r="E28" s="145"/>
      <c r="F28" s="145"/>
      <c r="G28" s="145"/>
      <c r="H28" s="145"/>
      <c r="I28" s="146"/>
      <c r="J28" s="92"/>
      <c r="K28" s="203"/>
      <c r="L28" s="203"/>
      <c r="M28" s="203"/>
      <c r="N28" s="203"/>
    </row>
    <row r="29" spans="1:14">
      <c r="A29" s="144"/>
      <c r="B29" s="145"/>
      <c r="C29" s="145"/>
      <c r="D29" s="145"/>
      <c r="E29" s="145"/>
      <c r="F29" s="145"/>
      <c r="G29" s="145"/>
      <c r="H29" s="145"/>
      <c r="I29" s="146"/>
      <c r="J29" s="92"/>
      <c r="K29" s="203"/>
      <c r="L29" s="203"/>
      <c r="M29" s="203"/>
      <c r="N29" s="203"/>
    </row>
    <row r="30" spans="1:14">
      <c r="A30" s="144"/>
      <c r="B30" s="145"/>
      <c r="C30" s="145"/>
      <c r="D30" s="145"/>
      <c r="E30" s="145"/>
      <c r="F30" s="145"/>
      <c r="G30" s="145"/>
      <c r="H30" s="145"/>
      <c r="I30" s="146"/>
      <c r="J30" s="92"/>
      <c r="K30" s="203"/>
      <c r="L30" s="203"/>
      <c r="M30" s="203"/>
      <c r="N30" s="203"/>
    </row>
    <row r="31" spans="1:14">
      <c r="A31" s="144"/>
      <c r="B31" s="145"/>
      <c r="C31" s="145"/>
      <c r="D31" s="145"/>
      <c r="E31" s="145"/>
      <c r="F31" s="145"/>
      <c r="G31" s="145"/>
      <c r="H31" s="145"/>
      <c r="I31" s="146"/>
      <c r="J31" s="92"/>
      <c r="K31" s="203"/>
      <c r="L31" s="203"/>
      <c r="M31" s="203"/>
      <c r="N31" s="203"/>
    </row>
    <row r="32" spans="1:14">
      <c r="A32" s="144"/>
      <c r="B32" s="145"/>
      <c r="C32" s="145"/>
      <c r="D32" s="145"/>
      <c r="E32" s="145"/>
      <c r="F32" s="145"/>
      <c r="G32" s="145"/>
      <c r="H32" s="145"/>
      <c r="I32" s="146"/>
      <c r="J32" s="92"/>
      <c r="K32" s="92"/>
      <c r="L32" s="92"/>
      <c r="M32" s="92"/>
      <c r="N32" s="92"/>
    </row>
    <row r="33" spans="1:9">
      <c r="A33" s="147"/>
      <c r="B33" s="148"/>
      <c r="C33" s="148"/>
      <c r="D33" s="148"/>
      <c r="E33" s="148"/>
      <c r="F33" s="148"/>
      <c r="G33" s="148"/>
      <c r="H33" s="148"/>
      <c r="I33" s="149"/>
    </row>
    <row r="45" spans="1:9">
      <c r="A45" s="92"/>
      <c r="B45" s="92"/>
      <c r="C45" s="92"/>
      <c r="D45" s="92"/>
      <c r="E45" s="92"/>
      <c r="F45" s="3"/>
      <c r="G45" s="92"/>
      <c r="H45" s="92"/>
      <c r="I45" s="92"/>
    </row>
  </sheetData>
  <mergeCells count="4">
    <mergeCell ref="A5:I18"/>
    <mergeCell ref="A22:I33"/>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workbookViewId="0">
      <selection activeCell="J26" sqref="J26"/>
    </sheetView>
  </sheetViews>
  <sheetFormatPr defaultColWidth="9.28515625" defaultRowHeight="15"/>
  <cols>
    <col min="1" max="1" width="28.42578125" style="2" customWidth="1"/>
    <col min="2" max="2" width="8.28515625" style="12" customWidth="1"/>
    <col min="3" max="6" width="11.7109375" style="12" customWidth="1"/>
    <col min="7" max="7" width="11.7109375" style="15" customWidth="1"/>
    <col min="8" max="8" width="11.7109375" style="16" customWidth="1"/>
    <col min="9" max="10" width="9.28515625" style="2"/>
    <col min="11" max="11" width="38.42578125" style="2" customWidth="1"/>
    <col min="12" max="16384" width="9.28515625" style="2"/>
  </cols>
  <sheetData>
    <row r="1" spans="1:11">
      <c r="A1" s="92" t="str">
        <f>+'Cover Page'!$B$29</f>
        <v>Annual Performance Report 2022</v>
      </c>
      <c r="B1" s="92"/>
      <c r="C1" s="92"/>
      <c r="D1" s="92"/>
      <c r="E1" s="92" t="str">
        <f>+'Cover Page'!$B$33</f>
        <v>Greatmoor Energy from Waste Facility</v>
      </c>
      <c r="F1" s="92"/>
      <c r="G1" s="92"/>
      <c r="H1" s="92"/>
      <c r="I1" s="92"/>
      <c r="J1" s="92"/>
      <c r="K1" s="92"/>
    </row>
    <row r="3" spans="1:11" ht="15.6">
      <c r="A3" s="1" t="s">
        <v>33</v>
      </c>
      <c r="B3" s="286"/>
      <c r="C3" s="286"/>
      <c r="D3" s="286"/>
      <c r="E3" s="286"/>
      <c r="F3" s="286"/>
      <c r="H3" s="287"/>
      <c r="I3" s="92"/>
      <c r="J3" s="92"/>
      <c r="K3" s="81" t="s">
        <v>3</v>
      </c>
    </row>
    <row r="4" spans="1:11">
      <c r="A4" s="18" t="s">
        <v>66</v>
      </c>
      <c r="B4" s="288">
        <v>345000</v>
      </c>
      <c r="C4" s="288"/>
      <c r="D4" s="20" t="s">
        <v>67</v>
      </c>
      <c r="E4" s="19"/>
      <c r="F4" s="20" t="s">
        <v>68</v>
      </c>
      <c r="G4" s="19">
        <v>29</v>
      </c>
      <c r="H4" s="70" t="s">
        <v>69</v>
      </c>
      <c r="I4" s="92"/>
      <c r="J4" s="92"/>
      <c r="K4" s="17" t="s">
        <v>70</v>
      </c>
    </row>
    <row r="5" spans="1:11">
      <c r="A5" s="21" t="s">
        <v>71</v>
      </c>
      <c r="B5" s="22">
        <v>1</v>
      </c>
      <c r="C5" s="23"/>
      <c r="D5" s="23" t="s">
        <v>72</v>
      </c>
      <c r="E5" s="23"/>
      <c r="F5" s="24">
        <v>1</v>
      </c>
      <c r="G5" s="25"/>
      <c r="H5" s="26"/>
      <c r="I5" s="92"/>
      <c r="J5" s="92"/>
      <c r="K5" s="17" t="s">
        <v>73</v>
      </c>
    </row>
    <row r="6" spans="1:11">
      <c r="A6" s="3"/>
      <c r="B6" s="286"/>
      <c r="C6" s="286"/>
      <c r="D6" s="286"/>
      <c r="E6" s="286"/>
      <c r="F6" s="286"/>
      <c r="H6" s="287"/>
      <c r="I6" s="92"/>
      <c r="J6" s="92"/>
      <c r="K6" s="150" t="s">
        <v>74</v>
      </c>
    </row>
    <row r="7" spans="1:11">
      <c r="A7" s="9" t="s">
        <v>75</v>
      </c>
      <c r="B7" s="289" t="s">
        <v>76</v>
      </c>
      <c r="C7" s="290" t="s">
        <v>77</v>
      </c>
      <c r="D7" s="290" t="s">
        <v>78</v>
      </c>
      <c r="E7" s="290" t="s">
        <v>79</v>
      </c>
      <c r="F7" s="290" t="s">
        <v>80</v>
      </c>
      <c r="G7" s="27" t="s">
        <v>81</v>
      </c>
      <c r="H7" s="291" t="s">
        <v>82</v>
      </c>
      <c r="I7" s="92"/>
      <c r="J7" s="92"/>
      <c r="K7" s="150"/>
    </row>
    <row r="8" spans="1:11" ht="15.75" customHeight="1">
      <c r="A8" s="292" t="s">
        <v>83</v>
      </c>
      <c r="B8" s="293" t="s">
        <v>84</v>
      </c>
      <c r="C8" s="294">
        <v>64011.8</v>
      </c>
      <c r="D8" s="294">
        <v>51607.64</v>
      </c>
      <c r="E8" s="294">
        <v>64481.66</v>
      </c>
      <c r="F8" s="294">
        <v>64532.22</v>
      </c>
      <c r="G8" s="28">
        <f>SUM(C8:F8)</f>
        <v>244633.32</v>
      </c>
      <c r="H8" s="295">
        <f t="shared" ref="H8:H15" si="0">IF(G8&gt;0,G8/$G$18,"-")</f>
        <v>0.82244018587978496</v>
      </c>
      <c r="I8" s="92"/>
      <c r="J8" s="92"/>
      <c r="K8" s="151" t="s">
        <v>85</v>
      </c>
    </row>
    <row r="9" spans="1:11">
      <c r="A9" s="296" t="s">
        <v>86</v>
      </c>
      <c r="B9" s="297"/>
      <c r="C9" s="298">
        <v>17349.419999999998</v>
      </c>
      <c r="D9" s="298">
        <v>6220.8</v>
      </c>
      <c r="E9" s="298">
        <v>14797.08</v>
      </c>
      <c r="F9" s="298">
        <v>14438.5</v>
      </c>
      <c r="G9" s="88">
        <f t="shared" ref="G9:G15" si="1">SUM(C9:F9)</f>
        <v>52805.799999999996</v>
      </c>
      <c r="H9" s="115">
        <f t="shared" si="0"/>
        <v>0.17752942226974947</v>
      </c>
      <c r="I9" s="92"/>
      <c r="J9" s="92"/>
      <c r="K9" s="151"/>
    </row>
    <row r="10" spans="1:11">
      <c r="A10" s="296" t="s">
        <v>87</v>
      </c>
      <c r="B10" s="297"/>
      <c r="C10" s="298"/>
      <c r="D10" s="298"/>
      <c r="E10" s="298"/>
      <c r="F10" s="298"/>
      <c r="G10" s="88">
        <f t="shared" si="1"/>
        <v>0</v>
      </c>
      <c r="H10" s="115" t="str">
        <f t="shared" si="0"/>
        <v>-</v>
      </c>
      <c r="I10" s="92"/>
      <c r="J10" s="92"/>
      <c r="K10" s="151"/>
    </row>
    <row r="11" spans="1:11">
      <c r="A11" s="296" t="s">
        <v>88</v>
      </c>
      <c r="B11" s="297"/>
      <c r="C11" s="298">
        <v>0</v>
      </c>
      <c r="D11" s="298">
        <v>0</v>
      </c>
      <c r="E11" s="298">
        <v>0</v>
      </c>
      <c r="F11" s="298">
        <v>9.0399999999999991</v>
      </c>
      <c r="G11" s="88">
        <f t="shared" si="1"/>
        <v>9.0399999999999991</v>
      </c>
      <c r="H11" s="115">
        <f t="shared" si="0"/>
        <v>3.0391850465640804E-5</v>
      </c>
      <c r="I11" s="92"/>
      <c r="J11" s="92"/>
      <c r="K11" s="151"/>
    </row>
    <row r="12" spans="1:11">
      <c r="A12" s="296" t="s">
        <v>89</v>
      </c>
      <c r="B12" s="297"/>
      <c r="C12" s="298"/>
      <c r="D12" s="298"/>
      <c r="E12" s="298"/>
      <c r="F12" s="298"/>
      <c r="G12" s="88">
        <f t="shared" si="1"/>
        <v>0</v>
      </c>
      <c r="H12" s="115" t="str">
        <f t="shared" si="0"/>
        <v>-</v>
      </c>
      <c r="I12" s="92"/>
      <c r="J12" s="92"/>
      <c r="K12" s="151"/>
    </row>
    <row r="13" spans="1:11">
      <c r="A13" s="296" t="s">
        <v>90</v>
      </c>
      <c r="B13" s="297"/>
      <c r="C13" s="298"/>
      <c r="D13" s="298"/>
      <c r="E13" s="298"/>
      <c r="F13" s="298"/>
      <c r="G13" s="88">
        <f t="shared" ref="G13" si="2">SUM(C13:F13)</f>
        <v>0</v>
      </c>
      <c r="H13" s="115" t="str">
        <f t="shared" si="0"/>
        <v>-</v>
      </c>
      <c r="I13" s="92"/>
      <c r="J13" s="92"/>
      <c r="K13" s="151"/>
    </row>
    <row r="14" spans="1:11">
      <c r="A14" s="296" t="s">
        <v>91</v>
      </c>
      <c r="B14" s="297"/>
      <c r="C14" s="298"/>
      <c r="D14" s="298"/>
      <c r="E14" s="298"/>
      <c r="F14" s="298"/>
      <c r="G14" s="88">
        <f t="shared" si="1"/>
        <v>0</v>
      </c>
      <c r="H14" s="115" t="str">
        <f t="shared" si="0"/>
        <v>-</v>
      </c>
      <c r="I14" s="92"/>
      <c r="J14" s="92"/>
      <c r="K14" s="151"/>
    </row>
    <row r="15" spans="1:11">
      <c r="A15" s="299" t="s">
        <v>92</v>
      </c>
      <c r="B15" s="297"/>
      <c r="C15" s="298"/>
      <c r="D15" s="298"/>
      <c r="E15" s="298"/>
      <c r="F15" s="298"/>
      <c r="G15" s="88">
        <f t="shared" si="1"/>
        <v>0</v>
      </c>
      <c r="H15" s="115" t="str">
        <f t="shared" si="0"/>
        <v>-</v>
      </c>
      <c r="I15" s="92"/>
      <c r="J15" s="92"/>
      <c r="K15" s="151"/>
    </row>
    <row r="16" spans="1:11">
      <c r="A16" s="299" t="s">
        <v>92</v>
      </c>
      <c r="B16" s="297"/>
      <c r="C16" s="298"/>
      <c r="D16" s="298"/>
      <c r="E16" s="298"/>
      <c r="F16" s="298"/>
      <c r="G16" s="88"/>
      <c r="H16" s="115"/>
      <c r="I16" s="92"/>
      <c r="J16" s="92"/>
      <c r="K16" s="151"/>
    </row>
    <row r="17" spans="1:12">
      <c r="A17" s="299" t="s">
        <v>92</v>
      </c>
      <c r="B17" s="297"/>
      <c r="C17" s="298"/>
      <c r="D17" s="298"/>
      <c r="E17" s="298"/>
      <c r="F17" s="298"/>
      <c r="G17" s="88"/>
      <c r="H17" s="115"/>
      <c r="I17" s="92"/>
      <c r="J17" s="92"/>
      <c r="K17" s="151"/>
      <c r="L17" s="92"/>
    </row>
    <row r="18" spans="1:12">
      <c r="A18" s="90" t="s">
        <v>93</v>
      </c>
      <c r="B18" s="297"/>
      <c r="C18" s="88">
        <f>SUM(C8:C17)</f>
        <v>81361.22</v>
      </c>
      <c r="D18" s="88">
        <f>SUM(D8:D17)</f>
        <v>57828.44</v>
      </c>
      <c r="E18" s="88">
        <f>SUM(E8:E17)</f>
        <v>79278.740000000005</v>
      </c>
      <c r="F18" s="88">
        <f>SUM(F8:F17)</f>
        <v>78979.759999999995</v>
      </c>
      <c r="G18" s="88">
        <f>SUM(G8:G17)</f>
        <v>297448.15999999997</v>
      </c>
      <c r="H18" s="300">
        <v>1</v>
      </c>
      <c r="I18" s="92"/>
      <c r="J18" s="92"/>
      <c r="K18" s="151"/>
      <c r="L18" s="92"/>
    </row>
    <row r="19" spans="1:12">
      <c r="A19" s="296" t="s">
        <v>94</v>
      </c>
      <c r="B19" s="297"/>
      <c r="C19" s="298"/>
      <c r="D19" s="298"/>
      <c r="E19" s="298"/>
      <c r="F19" s="298"/>
      <c r="G19" s="88">
        <f t="shared" ref="G19" si="3">SUM(C19:F19)</f>
        <v>0</v>
      </c>
      <c r="H19" s="115" t="str">
        <f t="shared" ref="H19" si="4">IF(G19&gt;0,G19/$G$18,"-")</f>
        <v>-</v>
      </c>
      <c r="I19" s="92"/>
      <c r="J19" s="92"/>
      <c r="K19" s="151"/>
      <c r="L19" s="92"/>
    </row>
    <row r="20" spans="1:12">
      <c r="A20" s="296" t="s">
        <v>95</v>
      </c>
      <c r="B20" s="297"/>
      <c r="C20" s="298"/>
      <c r="D20" s="298"/>
      <c r="E20" s="298"/>
      <c r="F20" s="298"/>
      <c r="G20" s="88">
        <f t="shared" ref="G20" si="5">SUM(C20:F20)</f>
        <v>0</v>
      </c>
      <c r="H20" s="115" t="str">
        <f>IF(G20&gt;0,G20/$G$18,"-")</f>
        <v>-</v>
      </c>
      <c r="I20" s="92"/>
      <c r="J20" s="92"/>
      <c r="K20" s="92"/>
      <c r="L20" s="92"/>
    </row>
    <row r="21" spans="1:12">
      <c r="A21" s="91" t="s">
        <v>96</v>
      </c>
      <c r="B21" s="301"/>
      <c r="C21" s="89">
        <f>C18-SUM(C19:C20)</f>
        <v>81361.22</v>
      </c>
      <c r="D21" s="89">
        <f t="shared" ref="D21:F21" si="6">D18-SUM(D19:D20)</f>
        <v>57828.44</v>
      </c>
      <c r="E21" s="89">
        <f t="shared" si="6"/>
        <v>79278.740000000005</v>
      </c>
      <c r="F21" s="89">
        <f t="shared" si="6"/>
        <v>78979.759999999995</v>
      </c>
      <c r="G21" s="30">
        <f>SUM(C21:F21)</f>
        <v>297448.16000000003</v>
      </c>
      <c r="H21" s="302">
        <f>IF(G21&gt;0,G21/$G$18,"-")</f>
        <v>1.0000000000000002</v>
      </c>
      <c r="I21" s="92"/>
      <c r="J21" s="92"/>
      <c r="K21" s="92"/>
      <c r="L21" s="92"/>
    </row>
    <row r="22" spans="1:12">
      <c r="A22" s="3"/>
      <c r="B22" s="286"/>
      <c r="C22" s="287"/>
      <c r="D22" s="287"/>
      <c r="E22" s="287"/>
      <c r="F22" s="287"/>
      <c r="G22" s="31"/>
      <c r="H22" s="287"/>
      <c r="I22" s="92"/>
      <c r="J22" s="92"/>
      <c r="K22" s="92"/>
      <c r="L22" s="92"/>
    </row>
    <row r="23" spans="1:12">
      <c r="A23" s="9" t="s">
        <v>97</v>
      </c>
      <c r="B23" s="289" t="s">
        <v>76</v>
      </c>
      <c r="C23" s="303" t="s">
        <v>77</v>
      </c>
      <c r="D23" s="303" t="s">
        <v>78</v>
      </c>
      <c r="E23" s="303" t="s">
        <v>79</v>
      </c>
      <c r="F23" s="303" t="s">
        <v>80</v>
      </c>
      <c r="G23" s="32" t="s">
        <v>81</v>
      </c>
      <c r="H23" s="304" t="s">
        <v>98</v>
      </c>
      <c r="I23" s="92"/>
      <c r="J23" s="92"/>
      <c r="K23" s="92"/>
      <c r="L23" s="92"/>
    </row>
    <row r="24" spans="1:12" ht="15" customHeight="1">
      <c r="A24" s="305" t="s">
        <v>99</v>
      </c>
      <c r="B24" s="293" t="s">
        <v>100</v>
      </c>
      <c r="C24" s="294">
        <v>62448.94</v>
      </c>
      <c r="D24" s="294">
        <v>42763.02</v>
      </c>
      <c r="E24" s="294">
        <v>61828.17</v>
      </c>
      <c r="F24" s="294">
        <v>56783.28</v>
      </c>
      <c r="G24" s="28">
        <f t="shared" ref="G24:G27" si="7">SUM(C24:F24)</f>
        <v>223823.41</v>
      </c>
      <c r="H24" s="306">
        <f>IF(G24&gt;0,G24*1000/$G$21,"-")</f>
        <v>752.4787176360411</v>
      </c>
      <c r="I24" s="92"/>
      <c r="J24" s="92"/>
      <c r="K24" s="92"/>
      <c r="L24" s="92"/>
    </row>
    <row r="25" spans="1:12">
      <c r="A25" s="307" t="s">
        <v>101</v>
      </c>
      <c r="B25" s="297"/>
      <c r="C25" s="308">
        <v>56839.59</v>
      </c>
      <c r="D25" s="308">
        <v>37014.21</v>
      </c>
      <c r="E25" s="308">
        <v>55882.82</v>
      </c>
      <c r="F25" s="308">
        <v>51585.81</v>
      </c>
      <c r="G25" s="29">
        <f>SUM(C25:F25)</f>
        <v>201322.43</v>
      </c>
      <c r="H25" s="309">
        <f>IF(G25&gt;0,G25*1000/$G$21,"-")</f>
        <v>676.83198981630937</v>
      </c>
      <c r="I25" s="92"/>
      <c r="J25" s="92"/>
      <c r="K25" s="92"/>
      <c r="L25" s="92"/>
    </row>
    <row r="26" spans="1:12">
      <c r="A26" s="307" t="s">
        <v>102</v>
      </c>
      <c r="B26" s="297"/>
      <c r="C26" s="308">
        <v>5643.85</v>
      </c>
      <c r="D26" s="308">
        <v>3979.01</v>
      </c>
      <c r="E26" s="308">
        <v>5989.6</v>
      </c>
      <c r="F26" s="308">
        <v>5376.08</v>
      </c>
      <c r="G26" s="29">
        <f>SUM(C26:F26)</f>
        <v>20988.54</v>
      </c>
      <c r="H26" s="309">
        <f>IF(G26&gt;0,G26*1000/$G$21,"-")</f>
        <v>70.562009864172623</v>
      </c>
      <c r="I26" s="92"/>
      <c r="J26" s="92"/>
      <c r="K26" s="92"/>
      <c r="L26" s="92"/>
    </row>
    <row r="27" spans="1:12">
      <c r="A27" s="307" t="s">
        <v>103</v>
      </c>
      <c r="B27" s="297"/>
      <c r="C27" s="308">
        <v>0</v>
      </c>
      <c r="D27" s="308">
        <v>567.01</v>
      </c>
      <c r="E27" s="308">
        <v>0</v>
      </c>
      <c r="F27" s="308">
        <v>200.4</v>
      </c>
      <c r="G27" s="29">
        <f t="shared" si="7"/>
        <v>767.41</v>
      </c>
      <c r="H27" s="309">
        <f>IF(G27&gt;0,G27*1000/$G$21,"-")</f>
        <v>2.579978978521837</v>
      </c>
      <c r="I27" s="92"/>
      <c r="J27" s="92"/>
      <c r="K27" s="92"/>
      <c r="L27" s="92"/>
    </row>
    <row r="28" spans="1:12">
      <c r="A28" s="307" t="s">
        <v>104</v>
      </c>
      <c r="B28" s="310" t="s">
        <v>82</v>
      </c>
      <c r="C28" s="311">
        <f>IF(C24&gt;0,1-C25/(C24+C27),"-")</f>
        <v>8.9822981783197697E-2</v>
      </c>
      <c r="D28" s="311">
        <f>IF(D24&gt;0,1-D25/(D24+D27),"-")</f>
        <v>0.14576080376588707</v>
      </c>
      <c r="E28" s="311">
        <f>IF(E24&gt;0,1-E25/(E24+E27),"-")</f>
        <v>9.6159242623548469E-2</v>
      </c>
      <c r="F28" s="311">
        <f>IF(F24&gt;0,1-F25/(F24+F27),"-")</f>
        <v>9.4726595404157843E-2</v>
      </c>
      <c r="G28" s="311">
        <f>IF(G24&gt;0,1-G25/(G24+G27),"-")</f>
        <v>0.10360347764881939</v>
      </c>
      <c r="H28" s="309"/>
      <c r="I28" s="92"/>
      <c r="J28" s="92"/>
      <c r="K28" s="92"/>
      <c r="L28" s="92"/>
    </row>
    <row r="29" spans="1:12">
      <c r="A29" s="307" t="s">
        <v>105</v>
      </c>
      <c r="B29" s="312" t="s">
        <v>100</v>
      </c>
      <c r="C29" s="308"/>
      <c r="D29" s="308"/>
      <c r="E29" s="308"/>
      <c r="F29" s="308"/>
      <c r="G29" s="29">
        <f t="shared" ref="G29:G30" si="8">SUM(C29:F29)</f>
        <v>0</v>
      </c>
      <c r="H29" s="309" t="str">
        <f>IF(G29&gt;0,G29*1000/$G$21,"-")</f>
        <v>-</v>
      </c>
      <c r="I29" s="92"/>
      <c r="J29" s="92"/>
      <c r="K29" s="92"/>
      <c r="L29" s="92"/>
    </row>
    <row r="30" spans="1:12">
      <c r="A30" s="307" t="s">
        <v>106</v>
      </c>
      <c r="B30" s="312"/>
      <c r="C30" s="308"/>
      <c r="D30" s="308"/>
      <c r="E30" s="308"/>
      <c r="F30" s="308"/>
      <c r="G30" s="29">
        <f t="shared" si="8"/>
        <v>0</v>
      </c>
      <c r="H30" s="309" t="str">
        <f>IF(G30&gt;0,G30*1000/$G$21,"-")</f>
        <v>-</v>
      </c>
      <c r="I30" s="92"/>
      <c r="J30" s="92"/>
      <c r="K30" s="17"/>
      <c r="L30" s="17"/>
    </row>
    <row r="31" spans="1:12">
      <c r="A31" s="99" t="s">
        <v>107</v>
      </c>
      <c r="B31" s="313"/>
      <c r="C31" s="314"/>
      <c r="D31" s="314"/>
      <c r="E31" s="314"/>
      <c r="F31" s="314"/>
      <c r="G31" s="315"/>
      <c r="H31" s="316">
        <v>0.76</v>
      </c>
      <c r="I31" s="92"/>
      <c r="J31" s="92"/>
      <c r="K31" s="92"/>
      <c r="L31" s="17"/>
    </row>
    <row r="32" spans="1:12">
      <c r="A32" s="3"/>
      <c r="B32" s="286"/>
      <c r="C32" s="287"/>
      <c r="D32" s="287"/>
      <c r="E32" s="287"/>
      <c r="F32" s="287"/>
      <c r="G32" s="31"/>
      <c r="H32" s="287"/>
      <c r="I32" s="92"/>
      <c r="J32" s="92"/>
      <c r="K32" s="92"/>
      <c r="L32" s="17"/>
    </row>
    <row r="33" spans="1:12">
      <c r="A33" s="9" t="s">
        <v>108</v>
      </c>
      <c r="B33" s="317" t="s">
        <v>76</v>
      </c>
      <c r="C33" s="303" t="s">
        <v>77</v>
      </c>
      <c r="D33" s="303" t="s">
        <v>78</v>
      </c>
      <c r="E33" s="303" t="s">
        <v>79</v>
      </c>
      <c r="F33" s="303" t="s">
        <v>80</v>
      </c>
      <c r="G33" s="32" t="s">
        <v>81</v>
      </c>
      <c r="H33" s="318" t="s">
        <v>109</v>
      </c>
      <c r="I33" s="92"/>
      <c r="J33" s="92"/>
      <c r="K33" s="92"/>
      <c r="L33" s="17"/>
    </row>
    <row r="34" spans="1:12" ht="15" customHeight="1">
      <c r="A34" s="305" t="s">
        <v>110</v>
      </c>
      <c r="B34" s="293" t="s">
        <v>84</v>
      </c>
      <c r="C34" s="294">
        <v>2096.36</v>
      </c>
      <c r="D34" s="294">
        <v>1526.9</v>
      </c>
      <c r="E34" s="294">
        <v>2053.52</v>
      </c>
      <c r="F34" s="294">
        <v>1989.74</v>
      </c>
      <c r="G34" s="28">
        <f t="shared" ref="G34:G35" si="9">SUM(C34:F34)</f>
        <v>7666.52</v>
      </c>
      <c r="H34" s="295">
        <f>IF(G34&gt;0,G34/$G$21,"-")</f>
        <v>2.5774306353080145E-2</v>
      </c>
      <c r="I34" s="92"/>
      <c r="J34" s="92"/>
      <c r="K34" s="17"/>
      <c r="L34" s="17"/>
    </row>
    <row r="35" spans="1:12" ht="15" customHeight="1">
      <c r="A35" s="307" t="s">
        <v>111</v>
      </c>
      <c r="B35" s="297"/>
      <c r="C35" s="308">
        <v>16944.46</v>
      </c>
      <c r="D35" s="308">
        <v>13589.06</v>
      </c>
      <c r="E35" s="308">
        <v>17735.87</v>
      </c>
      <c r="F35" s="308">
        <v>16768.310000000001</v>
      </c>
      <c r="G35" s="29">
        <f t="shared" si="9"/>
        <v>65037.7</v>
      </c>
      <c r="H35" s="115">
        <f t="shared" ref="H35:H39" si="10">IF(G35&gt;0,G35/$G$21,"-")</f>
        <v>0.2186522182554432</v>
      </c>
      <c r="I35" s="92"/>
      <c r="J35" s="92"/>
      <c r="K35" s="17"/>
      <c r="L35" s="17"/>
    </row>
    <row r="36" spans="1:12" ht="15" customHeight="1">
      <c r="A36" s="307" t="s">
        <v>112</v>
      </c>
      <c r="B36" s="297"/>
      <c r="C36" s="308"/>
      <c r="D36" s="308"/>
      <c r="E36" s="308"/>
      <c r="F36" s="308"/>
      <c r="G36" s="29">
        <f t="shared" ref="G36:G39" si="11">SUM(C36:F36)</f>
        <v>0</v>
      </c>
      <c r="H36" s="115" t="str">
        <f t="shared" si="10"/>
        <v>-</v>
      </c>
      <c r="I36" s="92"/>
      <c r="J36" s="92"/>
      <c r="K36" s="92"/>
      <c r="L36" s="92"/>
    </row>
    <row r="37" spans="1:12">
      <c r="A37" s="100" t="s">
        <v>113</v>
      </c>
      <c r="B37" s="297"/>
      <c r="C37" s="308">
        <v>799.48</v>
      </c>
      <c r="D37" s="308">
        <v>495.24</v>
      </c>
      <c r="E37" s="308">
        <v>272</v>
      </c>
      <c r="F37" s="308">
        <v>970.28</v>
      </c>
      <c r="G37" s="29">
        <f t="shared" ref="G37" si="12">SUM(C37:F37)</f>
        <v>2537</v>
      </c>
      <c r="H37" s="115">
        <f t="shared" si="10"/>
        <v>8.5292173264746359E-3</v>
      </c>
      <c r="I37" s="92"/>
      <c r="J37" s="92"/>
      <c r="K37" s="92"/>
      <c r="L37" s="92"/>
    </row>
    <row r="38" spans="1:12">
      <c r="A38" s="100" t="s">
        <v>114</v>
      </c>
      <c r="B38" s="297"/>
      <c r="C38" s="308">
        <v>0</v>
      </c>
      <c r="D38" s="308">
        <v>0</v>
      </c>
      <c r="E38" s="308">
        <v>0</v>
      </c>
      <c r="F38" s="308">
        <v>0</v>
      </c>
      <c r="G38" s="29">
        <f t="shared" si="11"/>
        <v>0</v>
      </c>
      <c r="H38" s="115" t="str">
        <f t="shared" si="10"/>
        <v>-</v>
      </c>
      <c r="I38" s="92"/>
      <c r="J38" s="92"/>
      <c r="K38" s="92"/>
      <c r="L38" s="92"/>
    </row>
    <row r="39" spans="1:12">
      <c r="A39" s="319" t="s">
        <v>114</v>
      </c>
      <c r="B39" s="320"/>
      <c r="C39" s="321">
        <v>0</v>
      </c>
      <c r="D39" s="321">
        <v>0</v>
      </c>
      <c r="E39" s="321">
        <v>0</v>
      </c>
      <c r="F39" s="321">
        <v>0</v>
      </c>
      <c r="G39" s="30">
        <f t="shared" si="11"/>
        <v>0</v>
      </c>
      <c r="H39" s="302" t="str">
        <f t="shared" si="10"/>
        <v>-</v>
      </c>
      <c r="I39" s="92"/>
      <c r="J39" s="92"/>
      <c r="K39" s="92"/>
      <c r="L39" s="92"/>
    </row>
    <row r="40" spans="1:12">
      <c r="A40" s="286"/>
      <c r="B40" s="286"/>
      <c r="C40" s="287"/>
      <c r="D40" s="287"/>
      <c r="E40" s="287"/>
      <c r="F40" s="287"/>
      <c r="G40" s="31"/>
      <c r="H40" s="287"/>
      <c r="I40" s="92"/>
      <c r="J40" s="92"/>
      <c r="K40" s="92"/>
      <c r="L40" s="92"/>
    </row>
    <row r="41" spans="1:12">
      <c r="A41" s="9" t="s">
        <v>115</v>
      </c>
      <c r="B41" s="322" t="s">
        <v>76</v>
      </c>
      <c r="C41" s="290" t="s">
        <v>77</v>
      </c>
      <c r="D41" s="290" t="s">
        <v>78</v>
      </c>
      <c r="E41" s="290" t="s">
        <v>79</v>
      </c>
      <c r="F41" s="290" t="s">
        <v>80</v>
      </c>
      <c r="G41" s="27" t="s">
        <v>81</v>
      </c>
      <c r="H41" s="291" t="s">
        <v>116</v>
      </c>
      <c r="I41" s="92"/>
      <c r="J41" s="92"/>
      <c r="K41" s="92"/>
      <c r="L41" s="92"/>
    </row>
    <row r="42" spans="1:12" ht="15.6" customHeight="1">
      <c r="A42" s="305" t="s">
        <v>117</v>
      </c>
      <c r="B42" s="310" t="s">
        <v>118</v>
      </c>
      <c r="C42" s="294">
        <v>15475000</v>
      </c>
      <c r="D42" s="294">
        <v>12973000</v>
      </c>
      <c r="E42" s="294">
        <v>14016000</v>
      </c>
      <c r="F42" s="294">
        <v>12835000</v>
      </c>
      <c r="G42" s="28">
        <f t="shared" ref="G42:G50" si="13">SUM(C42:F42)</f>
        <v>55299000</v>
      </c>
      <c r="H42" s="323">
        <f>IF(G42&gt;0,G42/$G$21,"-")</f>
        <v>185.91138704640161</v>
      </c>
      <c r="I42" s="92"/>
      <c r="J42" s="92"/>
      <c r="K42" s="92"/>
      <c r="L42" s="92"/>
    </row>
    <row r="43" spans="1:12">
      <c r="A43" s="307" t="s">
        <v>119</v>
      </c>
      <c r="B43" s="310" t="s">
        <v>118</v>
      </c>
      <c r="C43" s="308"/>
      <c r="D43" s="308"/>
      <c r="E43" s="308"/>
      <c r="F43" s="308"/>
      <c r="G43" s="29">
        <f t="shared" si="13"/>
        <v>0</v>
      </c>
      <c r="H43" s="323" t="str">
        <f t="shared" ref="H43:H48" si="14">IF(G43&gt;0,G43/$G$21,"-")</f>
        <v>-</v>
      </c>
      <c r="I43" s="92"/>
      <c r="J43" s="92"/>
      <c r="K43" s="92"/>
      <c r="L43" s="92"/>
    </row>
    <row r="44" spans="1:12" ht="15.6" customHeight="1">
      <c r="A44" s="307" t="s">
        <v>120</v>
      </c>
      <c r="B44" s="310" t="s">
        <v>121</v>
      </c>
      <c r="C44" s="308">
        <v>69900.38</v>
      </c>
      <c r="D44" s="308">
        <v>53896.12</v>
      </c>
      <c r="E44" s="308">
        <v>62583.12</v>
      </c>
      <c r="F44" s="308">
        <v>74987.820000000007</v>
      </c>
      <c r="G44" s="29">
        <f t="shared" si="13"/>
        <v>261367.44</v>
      </c>
      <c r="H44" s="323">
        <f t="shared" si="14"/>
        <v>0.87869913197647609</v>
      </c>
      <c r="I44" s="92"/>
      <c r="J44" s="92"/>
      <c r="K44" s="92"/>
      <c r="L44" s="92"/>
    </row>
    <row r="45" spans="1:12" ht="15.6" customHeight="1">
      <c r="A45" s="307" t="s">
        <v>122</v>
      </c>
      <c r="B45" s="310" t="s">
        <v>121</v>
      </c>
      <c r="C45" s="308"/>
      <c r="D45" s="308"/>
      <c r="E45" s="308"/>
      <c r="F45" s="308"/>
      <c r="G45" s="29">
        <f t="shared" ref="G45" si="15">SUM(C45:F45)</f>
        <v>0</v>
      </c>
      <c r="H45" s="323" t="str">
        <f t="shared" si="14"/>
        <v>-</v>
      </c>
      <c r="I45" s="92"/>
      <c r="J45" s="92"/>
      <c r="K45" s="92"/>
      <c r="L45" s="92"/>
    </row>
    <row r="46" spans="1:12">
      <c r="A46" s="307" t="s">
        <v>123</v>
      </c>
      <c r="B46" s="310" t="s">
        <v>121</v>
      </c>
      <c r="C46" s="308">
        <v>9468.41</v>
      </c>
      <c r="D46" s="308">
        <v>6345.14</v>
      </c>
      <c r="E46" s="308">
        <v>17970.87</v>
      </c>
      <c r="F46" s="308">
        <v>20820</v>
      </c>
      <c r="G46" s="29">
        <f t="shared" si="13"/>
        <v>54604.42</v>
      </c>
      <c r="H46" s="323">
        <f t="shared" si="14"/>
        <v>0.18357625745608913</v>
      </c>
      <c r="I46" s="92"/>
      <c r="J46" s="92"/>
      <c r="K46" s="92"/>
      <c r="L46" s="92"/>
    </row>
    <row r="47" spans="1:12">
      <c r="A47" s="307" t="s">
        <v>124</v>
      </c>
      <c r="B47" s="310" t="s">
        <v>121</v>
      </c>
      <c r="C47" s="308">
        <v>668670</v>
      </c>
      <c r="D47" s="308">
        <v>569980</v>
      </c>
      <c r="E47" s="308">
        <v>766610</v>
      </c>
      <c r="F47" s="308">
        <v>667900</v>
      </c>
      <c r="G47" s="29">
        <f t="shared" si="13"/>
        <v>2673160</v>
      </c>
      <c r="H47" s="323">
        <f t="shared" si="14"/>
        <v>8.9869777644615443</v>
      </c>
      <c r="I47" s="92"/>
      <c r="J47" s="92"/>
      <c r="K47" s="92"/>
      <c r="L47" s="92"/>
    </row>
    <row r="48" spans="1:12">
      <c r="A48" s="307" t="s">
        <v>125</v>
      </c>
      <c r="B48" s="310" t="s">
        <v>118</v>
      </c>
      <c r="C48" s="308">
        <v>8973</v>
      </c>
      <c r="D48" s="308">
        <v>120335</v>
      </c>
      <c r="E48" s="308">
        <v>6300</v>
      </c>
      <c r="F48" s="308">
        <v>51408</v>
      </c>
      <c r="G48" s="29">
        <f t="shared" si="13"/>
        <v>187016</v>
      </c>
      <c r="H48" s="323">
        <f t="shared" si="14"/>
        <v>0.62873476843830534</v>
      </c>
      <c r="I48" s="92"/>
      <c r="J48" s="92"/>
      <c r="K48" s="92"/>
      <c r="L48" s="92"/>
    </row>
    <row r="49" spans="1:10">
      <c r="A49" s="307" t="s">
        <v>126</v>
      </c>
      <c r="B49" s="310" t="s">
        <v>127</v>
      </c>
      <c r="C49" s="308">
        <v>0</v>
      </c>
      <c r="D49" s="308">
        <v>0</v>
      </c>
      <c r="E49" s="308">
        <v>0</v>
      </c>
      <c r="F49" s="308">
        <v>0</v>
      </c>
      <c r="G49" s="29">
        <f t="shared" si="13"/>
        <v>0</v>
      </c>
      <c r="H49" s="324"/>
      <c r="I49" s="92"/>
      <c r="J49" s="92"/>
    </row>
    <row r="50" spans="1:10">
      <c r="A50" s="99" t="s">
        <v>114</v>
      </c>
      <c r="B50" s="325"/>
      <c r="C50" s="321">
        <v>0</v>
      </c>
      <c r="D50" s="321">
        <v>0</v>
      </c>
      <c r="E50" s="321">
        <v>0</v>
      </c>
      <c r="F50" s="321">
        <v>0</v>
      </c>
      <c r="G50" s="30">
        <f t="shared" si="13"/>
        <v>0</v>
      </c>
      <c r="H50" s="326"/>
      <c r="I50" s="92"/>
      <c r="J50" s="92"/>
    </row>
    <row r="51" spans="1:10">
      <c r="A51" s="286"/>
      <c r="B51" s="286"/>
      <c r="C51" s="287"/>
      <c r="D51" s="287"/>
      <c r="E51" s="287"/>
      <c r="F51" s="287"/>
      <c r="G51" s="31"/>
      <c r="H51" s="287"/>
      <c r="I51" s="92"/>
      <c r="J51" s="92"/>
    </row>
    <row r="52" spans="1:10">
      <c r="A52" s="9" t="s">
        <v>128</v>
      </c>
      <c r="B52" s="327" t="s">
        <v>129</v>
      </c>
      <c r="C52" s="303" t="s">
        <v>77</v>
      </c>
      <c r="D52" s="303" t="s">
        <v>78</v>
      </c>
      <c r="E52" s="303" t="s">
        <v>79</v>
      </c>
      <c r="F52" s="303" t="s">
        <v>80</v>
      </c>
      <c r="G52" s="32" t="s">
        <v>81</v>
      </c>
      <c r="H52" s="304"/>
      <c r="I52" s="92"/>
      <c r="J52" s="86" t="s">
        <v>130</v>
      </c>
    </row>
    <row r="53" spans="1:10" ht="14.25" customHeight="1">
      <c r="A53" s="328" t="s">
        <v>131</v>
      </c>
      <c r="B53" s="303">
        <f>+B5</f>
        <v>1</v>
      </c>
      <c r="C53" s="294">
        <v>2158.0100000000002</v>
      </c>
      <c r="D53" s="294">
        <v>1543.13</v>
      </c>
      <c r="E53" s="294">
        <v>2202.5500000000002</v>
      </c>
      <c r="F53" s="294">
        <v>1978.07</v>
      </c>
      <c r="G53" s="28">
        <f t="shared" ref="G53:G65" si="16">SUM(C53:F53)</f>
        <v>7881.76</v>
      </c>
      <c r="H53" s="295">
        <v>0.89980000000000004</v>
      </c>
      <c r="I53" s="92"/>
      <c r="J53" s="87">
        <v>8760</v>
      </c>
    </row>
    <row r="54" spans="1:10" ht="14.25" customHeight="1">
      <c r="A54" s="329"/>
      <c r="B54" s="287">
        <v>2</v>
      </c>
      <c r="C54" s="298"/>
      <c r="D54" s="298"/>
      <c r="E54" s="298"/>
      <c r="F54" s="298"/>
      <c r="G54" s="29">
        <f t="shared" si="16"/>
        <v>0</v>
      </c>
      <c r="H54" s="115" t="s">
        <v>132</v>
      </c>
      <c r="I54" s="92"/>
      <c r="J54" s="92"/>
    </row>
    <row r="55" spans="1:10" ht="14.25" customHeight="1">
      <c r="A55" s="329"/>
      <c r="B55" s="287">
        <v>3</v>
      </c>
      <c r="C55" s="298"/>
      <c r="D55" s="298"/>
      <c r="E55" s="298"/>
      <c r="F55" s="298"/>
      <c r="G55" s="29">
        <f t="shared" si="16"/>
        <v>0</v>
      </c>
      <c r="H55" s="115" t="s">
        <v>132</v>
      </c>
      <c r="I55" s="92"/>
      <c r="J55" s="92"/>
    </row>
    <row r="56" spans="1:10" ht="14.25" customHeight="1">
      <c r="A56" s="329"/>
      <c r="B56" s="287">
        <v>4</v>
      </c>
      <c r="C56" s="298"/>
      <c r="D56" s="298"/>
      <c r="E56" s="298"/>
      <c r="F56" s="298"/>
      <c r="G56" s="29">
        <f t="shared" si="16"/>
        <v>0</v>
      </c>
      <c r="H56" s="115" t="s">
        <v>132</v>
      </c>
      <c r="I56" s="92"/>
      <c r="J56" s="92"/>
    </row>
    <row r="57" spans="1:10" ht="14.25" customHeight="1">
      <c r="A57" s="329"/>
      <c r="B57" s="287">
        <v>5</v>
      </c>
      <c r="C57" s="298"/>
      <c r="D57" s="298"/>
      <c r="E57" s="298"/>
      <c r="F57" s="298"/>
      <c r="G57" s="29">
        <f t="shared" ref="G57" si="17">SUM(C57:F57)</f>
        <v>0</v>
      </c>
      <c r="H57" s="115" t="s">
        <v>132</v>
      </c>
      <c r="I57" s="92"/>
      <c r="J57" s="92"/>
    </row>
    <row r="58" spans="1:10" ht="14.25" customHeight="1">
      <c r="A58" s="307" t="s">
        <v>133</v>
      </c>
      <c r="B58" s="287"/>
      <c r="C58" s="298"/>
      <c r="D58" s="298"/>
      <c r="E58" s="298"/>
      <c r="F58" s="298"/>
      <c r="G58" s="29" t="s">
        <v>134</v>
      </c>
      <c r="H58" s="115" t="s">
        <v>132</v>
      </c>
      <c r="I58" s="92"/>
      <c r="J58" s="92"/>
    </row>
    <row r="59" spans="1:10" ht="14.25" customHeight="1">
      <c r="A59" s="307" t="s">
        <v>135</v>
      </c>
      <c r="B59" s="287">
        <v>1</v>
      </c>
      <c r="C59" s="298">
        <v>2157.6999999999998</v>
      </c>
      <c r="D59" s="298">
        <v>1509.18</v>
      </c>
      <c r="E59" s="298">
        <v>2206.88</v>
      </c>
      <c r="F59" s="298">
        <v>1981.67</v>
      </c>
      <c r="G59" s="29">
        <f t="shared" si="16"/>
        <v>7855.43</v>
      </c>
      <c r="H59" s="115" t="s">
        <v>132</v>
      </c>
      <c r="I59" s="92"/>
      <c r="J59" s="92"/>
    </row>
    <row r="60" spans="1:10">
      <c r="A60" s="307" t="s">
        <v>135</v>
      </c>
      <c r="B60" s="287">
        <v>2</v>
      </c>
      <c r="C60" s="308"/>
      <c r="D60" s="308"/>
      <c r="E60" s="308"/>
      <c r="F60" s="308"/>
      <c r="G60" s="29">
        <f t="shared" si="16"/>
        <v>0</v>
      </c>
      <c r="H60" s="115" t="s">
        <v>132</v>
      </c>
      <c r="I60" s="92"/>
      <c r="J60" s="92"/>
    </row>
    <row r="61" spans="1:10">
      <c r="A61" s="307" t="s">
        <v>136</v>
      </c>
      <c r="B61" s="287"/>
      <c r="C61" s="308"/>
      <c r="D61" s="308"/>
      <c r="E61" s="308"/>
      <c r="F61" s="308"/>
      <c r="G61" s="29">
        <f t="shared" si="16"/>
        <v>0</v>
      </c>
      <c r="H61" s="115" t="str">
        <f>IF(B61&gt;0,G60/J53,"n/a")</f>
        <v>n/a</v>
      </c>
      <c r="I61" s="92"/>
      <c r="J61" s="92"/>
    </row>
    <row r="62" spans="1:10">
      <c r="A62" s="307" t="s">
        <v>137</v>
      </c>
      <c r="B62" s="287" t="s">
        <v>138</v>
      </c>
      <c r="C62" s="308"/>
      <c r="D62" s="308"/>
      <c r="E62" s="308"/>
      <c r="F62" s="308"/>
      <c r="G62" s="29"/>
      <c r="H62" s="330" t="s">
        <v>139</v>
      </c>
      <c r="I62" s="92"/>
      <c r="J62" s="92"/>
    </row>
    <row r="63" spans="1:10">
      <c r="A63" s="307" t="s">
        <v>140</v>
      </c>
      <c r="B63" s="287" t="s">
        <v>141</v>
      </c>
      <c r="C63" s="308">
        <v>1</v>
      </c>
      <c r="D63" s="308">
        <v>0</v>
      </c>
      <c r="E63" s="308">
        <v>1</v>
      </c>
      <c r="F63" s="308">
        <v>2</v>
      </c>
      <c r="G63" s="29">
        <f t="shared" si="16"/>
        <v>4</v>
      </c>
      <c r="H63" s="309" t="str">
        <f>IF(G63&gt;0,"yes","no")</f>
        <v>yes</v>
      </c>
      <c r="I63" s="92"/>
      <c r="J63" s="92"/>
    </row>
    <row r="64" spans="1:10">
      <c r="A64" s="307" t="s">
        <v>142</v>
      </c>
      <c r="B64" s="287" t="s">
        <v>143</v>
      </c>
      <c r="C64" s="308">
        <v>2.17</v>
      </c>
      <c r="D64" s="308">
        <v>0</v>
      </c>
      <c r="E64" s="308">
        <v>0.35</v>
      </c>
      <c r="F64" s="308">
        <v>0.2</v>
      </c>
      <c r="G64" s="29">
        <f t="shared" si="16"/>
        <v>2.72</v>
      </c>
      <c r="H64" s="331">
        <f>+(G64)/J53</f>
        <v>3.1050228310502287E-4</v>
      </c>
      <c r="I64" s="92"/>
      <c r="J64" s="92"/>
    </row>
    <row r="65" spans="1:8">
      <c r="A65" s="99" t="s">
        <v>144</v>
      </c>
      <c r="B65" s="332" t="s">
        <v>141</v>
      </c>
      <c r="C65" s="321">
        <v>0</v>
      </c>
      <c r="D65" s="321">
        <v>0</v>
      </c>
      <c r="E65" s="321">
        <v>1</v>
      </c>
      <c r="F65" s="321">
        <v>0</v>
      </c>
      <c r="G65" s="30">
        <f t="shared" si="16"/>
        <v>1</v>
      </c>
      <c r="H65" s="333" t="str">
        <f>IF(G65&gt;0,"yes","no")</f>
        <v>yes</v>
      </c>
    </row>
    <row r="78" spans="1:8">
      <c r="A78" s="92"/>
      <c r="B78" s="286"/>
      <c r="C78" s="286"/>
      <c r="D78" s="286"/>
      <c r="E78" s="286"/>
      <c r="F78" s="3"/>
      <c r="H78" s="287"/>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47"/>
  <sheetViews>
    <sheetView workbookViewId="0">
      <selection activeCell="K19" sqref="K19"/>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Greatmoor Energy from Waste Facility</v>
      </c>
      <c r="F1" s="92"/>
      <c r="G1" s="92"/>
      <c r="H1" s="92"/>
      <c r="I1" s="92"/>
      <c r="J1" s="92"/>
      <c r="K1" s="92"/>
      <c r="L1" s="92"/>
      <c r="M1" s="92"/>
      <c r="N1" s="92"/>
    </row>
    <row r="3" spans="1:14" ht="15.6">
      <c r="A3" s="51" t="s">
        <v>145</v>
      </c>
      <c r="B3" s="281"/>
      <c r="C3" s="281"/>
      <c r="D3" s="281"/>
      <c r="E3" s="281"/>
      <c r="F3" s="281"/>
      <c r="G3" s="281"/>
      <c r="H3" s="281"/>
      <c r="I3" s="282"/>
      <c r="J3" s="92"/>
      <c r="K3" s="81" t="s">
        <v>3</v>
      </c>
      <c r="L3" s="92"/>
      <c r="M3" s="92"/>
      <c r="N3" s="92"/>
    </row>
    <row r="4" spans="1:14">
      <c r="A4" s="283"/>
      <c r="B4" s="284"/>
      <c r="C4" s="284"/>
      <c r="D4" s="284"/>
      <c r="E4" s="284"/>
      <c r="F4" s="284"/>
      <c r="G4" s="284"/>
      <c r="H4" s="284"/>
      <c r="I4" s="285"/>
      <c r="J4" s="92"/>
      <c r="K4" s="92"/>
      <c r="L4" s="92"/>
      <c r="M4" s="92"/>
      <c r="N4" s="92"/>
    </row>
    <row r="5" spans="1:14" ht="15.75" customHeight="1">
      <c r="A5" s="133" t="s">
        <v>146</v>
      </c>
      <c r="B5" s="134"/>
      <c r="C5" s="134"/>
      <c r="D5" s="134"/>
      <c r="E5" s="134"/>
      <c r="F5" s="134"/>
      <c r="G5" s="134"/>
      <c r="H5" s="134"/>
      <c r="I5" s="135"/>
      <c r="J5" s="92"/>
      <c r="K5" s="203" t="s">
        <v>147</v>
      </c>
      <c r="L5" s="203"/>
      <c r="M5" s="203"/>
      <c r="N5" s="203"/>
    </row>
    <row r="6" spans="1:14">
      <c r="A6" s="136"/>
      <c r="B6" s="137"/>
      <c r="C6" s="137"/>
      <c r="D6" s="137"/>
      <c r="E6" s="137"/>
      <c r="F6" s="137"/>
      <c r="G6" s="137"/>
      <c r="H6" s="137"/>
      <c r="I6" s="138"/>
      <c r="J6" s="92"/>
      <c r="K6" s="203"/>
      <c r="L6" s="203"/>
      <c r="M6" s="203"/>
      <c r="N6" s="203"/>
    </row>
    <row r="7" spans="1:14">
      <c r="A7" s="136"/>
      <c r="B7" s="137"/>
      <c r="C7" s="137"/>
      <c r="D7" s="137"/>
      <c r="E7" s="137"/>
      <c r="F7" s="137"/>
      <c r="G7" s="137"/>
      <c r="H7" s="137"/>
      <c r="I7" s="138"/>
      <c r="J7" s="92"/>
      <c r="K7" s="203"/>
      <c r="L7" s="203"/>
      <c r="M7" s="203"/>
      <c r="N7" s="203"/>
    </row>
    <row r="8" spans="1:14" ht="15.75" customHeight="1">
      <c r="A8" s="136"/>
      <c r="B8" s="137"/>
      <c r="C8" s="137"/>
      <c r="D8" s="137"/>
      <c r="E8" s="137"/>
      <c r="F8" s="137"/>
      <c r="G8" s="137"/>
      <c r="H8" s="137"/>
      <c r="I8" s="138"/>
      <c r="J8" s="92"/>
      <c r="K8" s="203"/>
      <c r="L8" s="203"/>
      <c r="M8" s="203"/>
      <c r="N8" s="203"/>
    </row>
    <row r="9" spans="1:14" ht="15.75" customHeight="1">
      <c r="A9" s="136"/>
      <c r="B9" s="137"/>
      <c r="C9" s="137"/>
      <c r="D9" s="137"/>
      <c r="E9" s="137"/>
      <c r="F9" s="137"/>
      <c r="G9" s="137"/>
      <c r="H9" s="137"/>
      <c r="I9" s="138"/>
      <c r="J9" s="92"/>
      <c r="K9" s="203"/>
      <c r="L9" s="203"/>
      <c r="M9" s="203"/>
      <c r="N9" s="203"/>
    </row>
    <row r="10" spans="1:14" ht="15.75" customHeight="1">
      <c r="A10" s="136"/>
      <c r="B10" s="137"/>
      <c r="C10" s="137"/>
      <c r="D10" s="137"/>
      <c r="E10" s="137"/>
      <c r="F10" s="137"/>
      <c r="G10" s="137"/>
      <c r="H10" s="137"/>
      <c r="I10" s="138"/>
      <c r="J10" s="92"/>
      <c r="K10" s="203"/>
      <c r="L10" s="203"/>
      <c r="M10" s="203"/>
      <c r="N10" s="203"/>
    </row>
    <row r="11" spans="1:14" ht="15.75" customHeight="1">
      <c r="A11" s="136"/>
      <c r="B11" s="137"/>
      <c r="C11" s="137"/>
      <c r="D11" s="137"/>
      <c r="E11" s="137"/>
      <c r="F11" s="137"/>
      <c r="G11" s="137"/>
      <c r="H11" s="137"/>
      <c r="I11" s="138"/>
      <c r="J11" s="92"/>
      <c r="K11" s="203"/>
      <c r="L11" s="203"/>
      <c r="M11" s="203"/>
      <c r="N11" s="203"/>
    </row>
    <row r="12" spans="1:14" ht="15.75" customHeight="1">
      <c r="A12" s="136"/>
      <c r="B12" s="137"/>
      <c r="C12" s="137"/>
      <c r="D12" s="137"/>
      <c r="E12" s="137"/>
      <c r="F12" s="137"/>
      <c r="G12" s="137"/>
      <c r="H12" s="137"/>
      <c r="I12" s="138"/>
      <c r="J12" s="92"/>
      <c r="K12" s="203"/>
      <c r="L12" s="203"/>
      <c r="M12" s="203"/>
      <c r="N12" s="203"/>
    </row>
    <row r="13" spans="1:14" ht="15.75" customHeight="1">
      <c r="A13" s="136"/>
      <c r="B13" s="137"/>
      <c r="C13" s="137"/>
      <c r="D13" s="137"/>
      <c r="E13" s="137"/>
      <c r="F13" s="137"/>
      <c r="G13" s="137"/>
      <c r="H13" s="137"/>
      <c r="I13" s="138"/>
      <c r="J13" s="92"/>
      <c r="K13" s="203"/>
      <c r="L13" s="203"/>
      <c r="M13" s="203"/>
      <c r="N13" s="203"/>
    </row>
    <row r="14" spans="1:14" ht="15.75" customHeight="1">
      <c r="A14" s="136"/>
      <c r="B14" s="137"/>
      <c r="C14" s="137"/>
      <c r="D14" s="137"/>
      <c r="E14" s="137"/>
      <c r="F14" s="137"/>
      <c r="G14" s="137"/>
      <c r="H14" s="137"/>
      <c r="I14" s="138"/>
      <c r="J14" s="92"/>
      <c r="K14" s="203"/>
      <c r="L14" s="203"/>
      <c r="M14" s="203"/>
      <c r="N14" s="203"/>
    </row>
    <row r="15" spans="1:14" ht="15.75" customHeight="1">
      <c r="A15" s="136"/>
      <c r="B15" s="137"/>
      <c r="C15" s="137"/>
      <c r="D15" s="137"/>
      <c r="E15" s="137"/>
      <c r="F15" s="137"/>
      <c r="G15" s="137"/>
      <c r="H15" s="137"/>
      <c r="I15" s="138"/>
      <c r="J15" s="92"/>
      <c r="K15" s="92"/>
      <c r="L15" s="92"/>
      <c r="M15" s="92"/>
      <c r="N15" s="92"/>
    </row>
    <row r="16" spans="1:14" ht="15.75" customHeight="1">
      <c r="A16" s="136"/>
      <c r="B16" s="137"/>
      <c r="C16" s="137"/>
      <c r="D16" s="137"/>
      <c r="E16" s="137"/>
      <c r="F16" s="137"/>
      <c r="G16" s="137"/>
      <c r="H16" s="137"/>
      <c r="I16" s="138"/>
      <c r="J16" s="92"/>
      <c r="K16" s="92"/>
      <c r="L16" s="92"/>
      <c r="M16" s="92"/>
      <c r="N16" s="92"/>
    </row>
    <row r="17" spans="1:14">
      <c r="A17" s="136"/>
      <c r="B17" s="137"/>
      <c r="C17" s="137"/>
      <c r="D17" s="137"/>
      <c r="E17" s="137"/>
      <c r="F17" s="137"/>
      <c r="G17" s="137"/>
      <c r="H17" s="137"/>
      <c r="I17" s="138"/>
      <c r="J17" s="92"/>
      <c r="K17" s="94"/>
      <c r="L17" s="94"/>
      <c r="M17" s="94"/>
      <c r="N17" s="94"/>
    </row>
    <row r="18" spans="1:14">
      <c r="A18" s="139"/>
      <c r="B18" s="140"/>
      <c r="C18" s="140"/>
      <c r="D18" s="140"/>
      <c r="E18" s="140"/>
      <c r="F18" s="140"/>
      <c r="G18" s="140"/>
      <c r="H18" s="140"/>
      <c r="I18" s="141"/>
      <c r="J18" s="92"/>
      <c r="K18" s="94"/>
      <c r="L18" s="94"/>
      <c r="M18" s="94"/>
      <c r="N18" s="94"/>
    </row>
    <row r="19" spans="1:14">
      <c r="A19" s="92"/>
      <c r="B19" s="92"/>
      <c r="C19" s="92"/>
      <c r="D19" s="92"/>
      <c r="E19" s="92"/>
      <c r="F19" s="92"/>
      <c r="G19" s="92"/>
      <c r="H19" s="92"/>
      <c r="I19" s="92"/>
      <c r="J19" s="92"/>
      <c r="K19" s="94"/>
      <c r="L19" s="94"/>
      <c r="M19" s="94"/>
      <c r="N19" s="94"/>
    </row>
    <row r="20" spans="1:14">
      <c r="A20" s="51" t="s">
        <v>148</v>
      </c>
      <c r="B20" s="281"/>
      <c r="C20" s="281"/>
      <c r="D20" s="281"/>
      <c r="E20" s="281"/>
      <c r="F20" s="281"/>
      <c r="G20" s="281"/>
      <c r="H20" s="281"/>
      <c r="I20" s="282"/>
      <c r="J20" s="92"/>
      <c r="K20" s="94"/>
      <c r="L20" s="94"/>
      <c r="M20" s="94"/>
      <c r="N20" s="94"/>
    </row>
    <row r="21" spans="1:14">
      <c r="A21" s="283"/>
      <c r="B21" s="284"/>
      <c r="C21" s="284"/>
      <c r="D21" s="284"/>
      <c r="E21" s="284"/>
      <c r="F21" s="284"/>
      <c r="G21" s="284"/>
      <c r="H21" s="284"/>
      <c r="I21" s="285"/>
      <c r="J21" s="92"/>
      <c r="K21" s="94"/>
      <c r="L21" s="94"/>
      <c r="M21" s="94"/>
      <c r="N21" s="94"/>
    </row>
    <row r="22" spans="1:14">
      <c r="A22" s="133" t="s">
        <v>149</v>
      </c>
      <c r="B22" s="142"/>
      <c r="C22" s="142"/>
      <c r="D22" s="142"/>
      <c r="E22" s="142"/>
      <c r="F22" s="142"/>
      <c r="G22" s="142"/>
      <c r="H22" s="142"/>
      <c r="I22" s="143"/>
      <c r="J22" s="92"/>
      <c r="K22" s="203" t="s">
        <v>150</v>
      </c>
      <c r="L22" s="203"/>
      <c r="M22" s="203"/>
      <c r="N22" s="203"/>
    </row>
    <row r="23" spans="1:14">
      <c r="A23" s="144"/>
      <c r="B23" s="145"/>
      <c r="C23" s="145"/>
      <c r="D23" s="145"/>
      <c r="E23" s="145"/>
      <c r="F23" s="145"/>
      <c r="G23" s="145"/>
      <c r="H23" s="145"/>
      <c r="I23" s="146"/>
      <c r="J23" s="92"/>
      <c r="K23" s="203"/>
      <c r="L23" s="203"/>
      <c r="M23" s="203"/>
      <c r="N23" s="203"/>
    </row>
    <row r="24" spans="1:14">
      <c r="A24" s="144"/>
      <c r="B24" s="145"/>
      <c r="C24" s="145"/>
      <c r="D24" s="145"/>
      <c r="E24" s="145"/>
      <c r="F24" s="145"/>
      <c r="G24" s="145"/>
      <c r="H24" s="145"/>
      <c r="I24" s="146"/>
      <c r="J24" s="92"/>
      <c r="K24" s="203"/>
      <c r="L24" s="203"/>
      <c r="M24" s="203"/>
      <c r="N24" s="203"/>
    </row>
    <row r="25" spans="1:14">
      <c r="A25" s="144"/>
      <c r="B25" s="145"/>
      <c r="C25" s="145"/>
      <c r="D25" s="145"/>
      <c r="E25" s="145"/>
      <c r="F25" s="145"/>
      <c r="G25" s="145"/>
      <c r="H25" s="145"/>
      <c r="I25" s="146"/>
      <c r="J25" s="92"/>
      <c r="K25" s="203"/>
      <c r="L25" s="203"/>
      <c r="M25" s="203"/>
      <c r="N25" s="203"/>
    </row>
    <row r="26" spans="1:14">
      <c r="A26" s="144"/>
      <c r="B26" s="145"/>
      <c r="C26" s="145"/>
      <c r="D26" s="145"/>
      <c r="E26" s="145"/>
      <c r="F26" s="145"/>
      <c r="G26" s="145"/>
      <c r="H26" s="145"/>
      <c r="I26" s="146"/>
      <c r="J26" s="92"/>
      <c r="K26" s="203"/>
      <c r="L26" s="203"/>
      <c r="M26" s="203"/>
      <c r="N26" s="203"/>
    </row>
    <row r="27" spans="1:14">
      <c r="A27" s="144"/>
      <c r="B27" s="145"/>
      <c r="C27" s="145"/>
      <c r="D27" s="145"/>
      <c r="E27" s="145"/>
      <c r="F27" s="145"/>
      <c r="G27" s="145"/>
      <c r="H27" s="145"/>
      <c r="I27" s="146"/>
      <c r="J27" s="92"/>
      <c r="K27" s="203"/>
      <c r="L27" s="203"/>
      <c r="M27" s="203"/>
      <c r="N27" s="203"/>
    </row>
    <row r="28" spans="1:14">
      <c r="A28" s="144"/>
      <c r="B28" s="145"/>
      <c r="C28" s="145"/>
      <c r="D28" s="145"/>
      <c r="E28" s="145"/>
      <c r="F28" s="145"/>
      <c r="G28" s="145"/>
      <c r="H28" s="145"/>
      <c r="I28" s="146"/>
      <c r="J28" s="92"/>
      <c r="K28" s="203"/>
      <c r="L28" s="203"/>
      <c r="M28" s="203"/>
      <c r="N28" s="203"/>
    </row>
    <row r="29" spans="1:14" ht="14.25" customHeight="1">
      <c r="A29" s="144"/>
      <c r="B29" s="145"/>
      <c r="C29" s="145"/>
      <c r="D29" s="145"/>
      <c r="E29" s="145"/>
      <c r="F29" s="145"/>
      <c r="G29" s="145"/>
      <c r="H29" s="145"/>
      <c r="I29" s="146"/>
      <c r="J29" s="92"/>
      <c r="K29" s="203"/>
      <c r="L29" s="203"/>
      <c r="M29" s="203"/>
      <c r="N29" s="203"/>
    </row>
    <row r="30" spans="1:14">
      <c r="A30" s="144"/>
      <c r="B30" s="145"/>
      <c r="C30" s="145"/>
      <c r="D30" s="145"/>
      <c r="E30" s="145"/>
      <c r="F30" s="145"/>
      <c r="G30" s="145"/>
      <c r="H30" s="145"/>
      <c r="I30" s="146"/>
      <c r="J30" s="92"/>
      <c r="K30" s="203"/>
      <c r="L30" s="203"/>
      <c r="M30" s="203"/>
      <c r="N30" s="203"/>
    </row>
    <row r="31" spans="1:14">
      <c r="A31" s="144"/>
      <c r="B31" s="145"/>
      <c r="C31" s="145"/>
      <c r="D31" s="145"/>
      <c r="E31" s="145"/>
      <c r="F31" s="145"/>
      <c r="G31" s="145"/>
      <c r="H31" s="145"/>
      <c r="I31" s="146"/>
      <c r="J31" s="92"/>
      <c r="K31" s="203"/>
      <c r="L31" s="203"/>
      <c r="M31" s="203"/>
      <c r="N31" s="203"/>
    </row>
    <row r="32" spans="1:14">
      <c r="A32" s="144"/>
      <c r="B32" s="145"/>
      <c r="C32" s="145"/>
      <c r="D32" s="145"/>
      <c r="E32" s="145"/>
      <c r="F32" s="145"/>
      <c r="G32" s="145"/>
      <c r="H32" s="145"/>
      <c r="I32" s="146"/>
      <c r="J32" s="92"/>
      <c r="K32" s="92"/>
      <c r="L32" s="92"/>
      <c r="M32" s="92"/>
      <c r="N32" s="92"/>
    </row>
    <row r="33" spans="1:9">
      <c r="A33" s="147"/>
      <c r="B33" s="148"/>
      <c r="C33" s="148"/>
      <c r="D33" s="148"/>
      <c r="E33" s="148"/>
      <c r="F33" s="148"/>
      <c r="G33" s="148"/>
      <c r="H33" s="148"/>
      <c r="I33" s="149"/>
    </row>
    <row r="47" spans="1:9">
      <c r="A47" s="92"/>
      <c r="B47" s="92"/>
      <c r="C47" s="92"/>
      <c r="D47" s="92"/>
      <c r="E47" s="92"/>
      <c r="F47" s="3"/>
      <c r="G47" s="92"/>
      <c r="H47" s="92"/>
      <c r="I47" s="92"/>
    </row>
  </sheetData>
  <mergeCells count="4">
    <mergeCell ref="A5:I18"/>
    <mergeCell ref="A22:I33"/>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workbookViewId="0">
      <selection activeCell="L23" sqref="L23"/>
    </sheetView>
  </sheetViews>
  <sheetFormatPr defaultColWidth="9.28515625" defaultRowHeight="15"/>
  <cols>
    <col min="1" max="7" width="9.28515625" style="2"/>
    <col min="8" max="8" width="11.28515625" style="2" bestFit="1" customWidth="1"/>
    <col min="9" max="16384" width="9.28515625" style="2"/>
  </cols>
  <sheetData>
    <row r="1" spans="1:10" ht="15.6">
      <c r="A1" s="33">
        <f>+'Cover Page'!C39</f>
        <v>2022</v>
      </c>
      <c r="B1" s="34" t="s">
        <v>151</v>
      </c>
      <c r="C1" s="34"/>
      <c r="D1" s="34"/>
      <c r="E1" s="34"/>
      <c r="F1" s="34"/>
      <c r="G1" s="34"/>
      <c r="H1" s="34"/>
      <c r="I1" s="34"/>
      <c r="J1" s="34"/>
    </row>
    <row r="2" spans="1:10" ht="8.25" customHeight="1">
      <c r="A2" s="92"/>
      <c r="B2" s="92"/>
      <c r="C2" s="92"/>
      <c r="D2" s="92"/>
      <c r="E2" s="92"/>
      <c r="F2" s="92"/>
      <c r="G2" s="92"/>
      <c r="H2" s="92"/>
      <c r="I2" s="92"/>
      <c r="J2" s="92"/>
    </row>
    <row r="3" spans="1:10" s="3" customFormat="1" ht="13.9">
      <c r="A3" s="163" t="str">
        <f>+'Cover Page'!B31</f>
        <v>Permit EPR/UP3734HT/V004</v>
      </c>
      <c r="B3" s="163"/>
      <c r="C3" s="163"/>
      <c r="D3" s="163"/>
      <c r="E3" s="163"/>
      <c r="F3" s="3" t="s">
        <v>152</v>
      </c>
      <c r="G3" s="164">
        <f>+'Cover Page'!B37:I37</f>
        <v>0</v>
      </c>
      <c r="H3" s="164"/>
      <c r="I3" s="164"/>
    </row>
    <row r="4" spans="1:10" s="3" customFormat="1" ht="13.9">
      <c r="A4" s="3" t="s">
        <v>153</v>
      </c>
      <c r="B4" s="163" t="str">
        <f>+'Cover Page'!B33:I33</f>
        <v>Greatmoor Energy from Waste Facility</v>
      </c>
      <c r="C4" s="163"/>
      <c r="D4" s="163"/>
      <c r="E4" s="163"/>
      <c r="F4" s="3" t="s">
        <v>154</v>
      </c>
      <c r="G4" s="3" t="s">
        <v>155</v>
      </c>
    </row>
    <row r="5" spans="1:10" s="3" customFormat="1" ht="6.75" customHeight="1"/>
    <row r="6" spans="1:10" s="3" customFormat="1" ht="15.75" customHeight="1">
      <c r="A6" s="3" t="s">
        <v>156</v>
      </c>
      <c r="D6" s="165" t="s">
        <v>157</v>
      </c>
      <c r="E6" s="165"/>
      <c r="F6" s="35" t="s">
        <v>158</v>
      </c>
      <c r="G6" s="165" t="s">
        <v>159</v>
      </c>
      <c r="H6" s="165"/>
    </row>
    <row r="7" spans="1:10" s="3" customFormat="1" ht="7.5" customHeight="1"/>
    <row r="8" spans="1:10" s="3" customFormat="1" ht="15.6">
      <c r="A8" s="9">
        <f>+A1</f>
        <v>2022</v>
      </c>
      <c r="B8" s="34" t="s">
        <v>160</v>
      </c>
      <c r="C8"/>
      <c r="D8"/>
      <c r="E8"/>
      <c r="F8"/>
      <c r="G8"/>
    </row>
    <row r="9" spans="1:10" s="3" customFormat="1" ht="28.5" customHeight="1">
      <c r="A9" s="166" t="s">
        <v>161</v>
      </c>
      <c r="B9" s="166"/>
      <c r="C9" s="166" t="s">
        <v>162</v>
      </c>
      <c r="D9" s="166"/>
      <c r="E9" s="166" t="s">
        <v>163</v>
      </c>
      <c r="F9" s="166"/>
      <c r="G9" s="166" t="s">
        <v>164</v>
      </c>
      <c r="H9" s="166"/>
      <c r="I9" s="166" t="s">
        <v>165</v>
      </c>
      <c r="J9" s="166"/>
    </row>
    <row r="10" spans="1:10" s="3" customFormat="1" ht="14.25" customHeight="1">
      <c r="A10" s="334" t="s">
        <v>166</v>
      </c>
      <c r="B10" s="334"/>
      <c r="C10" s="334"/>
      <c r="D10" s="334"/>
      <c r="E10" s="334"/>
      <c r="F10" s="334"/>
      <c r="G10" s="334"/>
      <c r="H10" s="334"/>
      <c r="I10" s="334"/>
      <c r="J10" s="334"/>
    </row>
    <row r="11" spans="1:10" s="3" customFormat="1" ht="14.25" customHeight="1">
      <c r="A11" s="334" t="s">
        <v>167</v>
      </c>
      <c r="B11" s="334"/>
      <c r="C11" s="162" t="s">
        <v>168</v>
      </c>
      <c r="D11" s="162"/>
      <c r="E11" s="335">
        <v>7666.52</v>
      </c>
      <c r="F11" s="335"/>
      <c r="G11" s="335"/>
      <c r="H11" s="335"/>
      <c r="I11" s="336">
        <f>IF((E11+G11)&gt;0,(E11+G11)/'Operational Data'!$G$21, "-")</f>
        <v>2.5774306353080145E-2</v>
      </c>
      <c r="J11" s="336"/>
    </row>
    <row r="12" spans="1:10" s="3" customFormat="1" ht="14.25" customHeight="1">
      <c r="A12" s="334" t="s">
        <v>169</v>
      </c>
      <c r="B12" s="334"/>
      <c r="C12" s="162"/>
      <c r="D12" s="162"/>
      <c r="E12" s="335"/>
      <c r="F12" s="335"/>
      <c r="G12" s="335"/>
      <c r="H12" s="335"/>
      <c r="I12" s="336" t="str">
        <f>IF((E12+G12)&gt;0,(E12+G12)/'Operational Data'!$G$21, "-")</f>
        <v>-</v>
      </c>
      <c r="J12" s="336"/>
    </row>
    <row r="13" spans="1:10" s="3" customFormat="1" ht="14.25" customHeight="1">
      <c r="A13" s="337"/>
      <c r="B13" s="337"/>
      <c r="C13" s="162"/>
      <c r="D13" s="162"/>
      <c r="E13" s="335"/>
      <c r="F13" s="335"/>
      <c r="G13" s="335"/>
      <c r="H13" s="335"/>
      <c r="I13" s="336" t="str">
        <f>IF((E13+G13)&gt;0,(E13+G13)/'Operational Data'!$G$21, "-")</f>
        <v>-</v>
      </c>
      <c r="J13" s="336"/>
    </row>
    <row r="14" spans="1:10" s="3" customFormat="1" ht="14.25" customHeight="1">
      <c r="A14" s="337"/>
      <c r="B14" s="337"/>
      <c r="C14" s="162"/>
      <c r="D14" s="162"/>
      <c r="E14" s="335"/>
      <c r="F14" s="335"/>
      <c r="G14" s="335"/>
      <c r="H14" s="335"/>
      <c r="I14" s="336" t="str">
        <f>IF((E14+G14)&gt;0,(E14+G14)/'Operational Data'!$G$21, "-")</f>
        <v>-</v>
      </c>
      <c r="J14" s="336"/>
    </row>
    <row r="15" spans="1:10" s="3" customFormat="1" ht="14.25" customHeight="1">
      <c r="A15" s="338" t="s">
        <v>170</v>
      </c>
      <c r="B15" s="338"/>
      <c r="C15" s="338"/>
      <c r="D15" s="338"/>
      <c r="E15" s="339">
        <f>SUM(E11:F14)</f>
        <v>7666.52</v>
      </c>
      <c r="F15" s="339"/>
      <c r="G15" s="339">
        <f>SUM(G11:H14)</f>
        <v>0</v>
      </c>
      <c r="H15" s="339"/>
      <c r="I15" s="336">
        <f>IF((E15+G15)&gt;0,(E15+G15)/'Operational Data'!$G$21, "-")</f>
        <v>2.5774306353080145E-2</v>
      </c>
      <c r="J15" s="336"/>
    </row>
    <row r="16" spans="1:10" s="3" customFormat="1" ht="14.25" customHeight="1">
      <c r="A16" s="340"/>
      <c r="B16" s="341"/>
      <c r="C16" s="341"/>
      <c r="D16" s="341"/>
      <c r="E16" s="342"/>
      <c r="F16" s="342"/>
      <c r="G16" s="342"/>
      <c r="H16" s="342"/>
      <c r="I16" s="343"/>
      <c r="J16" s="344"/>
    </row>
    <row r="17" spans="1:10" s="3" customFormat="1" ht="14.25" customHeight="1">
      <c r="A17" s="345" t="s">
        <v>171</v>
      </c>
      <c r="B17" s="345"/>
      <c r="C17" s="345"/>
      <c r="D17" s="345"/>
      <c r="E17" s="345"/>
      <c r="F17" s="345"/>
      <c r="G17" s="345"/>
      <c r="H17" s="345"/>
      <c r="I17" s="345"/>
      <c r="J17" s="345"/>
    </row>
    <row r="18" spans="1:10" ht="14.25" customHeight="1">
      <c r="A18" s="334" t="s">
        <v>169</v>
      </c>
      <c r="B18" s="334"/>
      <c r="C18" s="162" t="s">
        <v>172</v>
      </c>
      <c r="D18" s="162"/>
      <c r="E18" s="335">
        <v>65037.7</v>
      </c>
      <c r="F18" s="335"/>
      <c r="G18" s="335"/>
      <c r="H18" s="335"/>
      <c r="I18" s="336">
        <f>IF((E18+G18)&gt;0,(E18+G18)/'Operational Data'!$G$21, "-")</f>
        <v>0.2186522182554432</v>
      </c>
      <c r="J18" s="336"/>
    </row>
    <row r="19" spans="1:10" s="3" customFormat="1" ht="14.25" customHeight="1">
      <c r="A19" s="334" t="s">
        <v>173</v>
      </c>
      <c r="B19" s="334"/>
      <c r="C19" s="162"/>
      <c r="D19" s="162"/>
      <c r="E19" s="335"/>
      <c r="F19" s="335"/>
      <c r="G19" s="335"/>
      <c r="H19" s="335"/>
      <c r="I19" s="336" t="str">
        <f>IF((E19+G19)&gt;0,(E19+G19)/'Operational Data'!$G$21, "-")</f>
        <v>-</v>
      </c>
      <c r="J19" s="336"/>
    </row>
    <row r="20" spans="1:10" s="3" customFormat="1" ht="14.25" customHeight="1">
      <c r="A20" s="334" t="s">
        <v>174</v>
      </c>
      <c r="B20" s="334"/>
      <c r="C20" s="162" t="s">
        <v>175</v>
      </c>
      <c r="D20" s="162"/>
      <c r="E20" s="335">
        <v>418.6</v>
      </c>
      <c r="F20" s="335"/>
      <c r="G20" s="335"/>
      <c r="H20" s="335"/>
      <c r="I20" s="336">
        <f>IF((E20+G20)&gt;0,(E20+G20)/'Operational Data'!$G$21, "-")</f>
        <v>1.4073040492165088E-3</v>
      </c>
      <c r="J20" s="336"/>
    </row>
    <row r="21" spans="1:10" s="3" customFormat="1" ht="14.25" customHeight="1">
      <c r="A21" s="346"/>
      <c r="B21" s="346"/>
      <c r="C21" s="162"/>
      <c r="D21" s="162"/>
      <c r="E21" s="335"/>
      <c r="F21" s="335"/>
      <c r="G21" s="335"/>
      <c r="H21" s="335"/>
      <c r="I21" s="336" t="str">
        <f>IF((E21+G21)&gt;0,(E21+G21)/'Operational Data'!$G$21, "-")</f>
        <v>-</v>
      </c>
      <c r="J21" s="336"/>
    </row>
    <row r="22" spans="1:10" s="3" customFormat="1" ht="14.25" customHeight="1">
      <c r="A22" s="346"/>
      <c r="B22" s="346"/>
      <c r="C22" s="162"/>
      <c r="D22" s="162"/>
      <c r="E22" s="335"/>
      <c r="F22" s="335"/>
      <c r="G22" s="335"/>
      <c r="H22" s="335"/>
      <c r="I22" s="336" t="str">
        <f>IF((E22+G22)&gt;0,(E22+G22)/'Operational Data'!$G$21, "-")</f>
        <v>-</v>
      </c>
      <c r="J22" s="336"/>
    </row>
    <row r="23" spans="1:10" s="3" customFormat="1" ht="14.25" customHeight="1">
      <c r="A23" s="347" t="s">
        <v>176</v>
      </c>
      <c r="B23" s="347"/>
      <c r="C23" s="347"/>
      <c r="D23" s="347"/>
      <c r="E23" s="339">
        <f>SUM(E18:F22)</f>
        <v>65456.299999999996</v>
      </c>
      <c r="F23" s="339"/>
      <c r="G23" s="339">
        <f>SUM(G18:H22)</f>
        <v>0</v>
      </c>
      <c r="H23" s="339"/>
      <c r="I23" s="336">
        <f>IF((E23+G23)&gt;0,(E23+G23)/'Operational Data'!$G$21, "-")</f>
        <v>0.22005952230465969</v>
      </c>
      <c r="J23" s="336"/>
    </row>
    <row r="24" spans="1:10" s="3" customFormat="1" ht="14.25" customHeight="1">
      <c r="A24" s="160" t="s">
        <v>177</v>
      </c>
      <c r="B24" s="160"/>
      <c r="C24" s="160"/>
      <c r="D24" s="160"/>
      <c r="E24" s="161">
        <f>+E23+E15</f>
        <v>73122.819999999992</v>
      </c>
      <c r="F24" s="161"/>
      <c r="G24" s="161">
        <f>+G23+G15</f>
        <v>0</v>
      </c>
      <c r="H24" s="161"/>
      <c r="I24" s="348">
        <f>IF((E24+G24)&gt;0,(E24+G24)/'Operational Data'!$G$21, "-")</f>
        <v>0.24583382865773984</v>
      </c>
      <c r="J24" s="348"/>
    </row>
    <row r="25" spans="1:10" s="3" customFormat="1" ht="8.25" customHeight="1">
      <c r="A25" s="349"/>
      <c r="B25"/>
      <c r="C25"/>
      <c r="D25"/>
      <c r="E25"/>
      <c r="F25"/>
      <c r="G25"/>
    </row>
    <row r="26" spans="1:10" s="3" customFormat="1" ht="14.25" customHeight="1">
      <c r="A26" s="152" t="s">
        <v>178</v>
      </c>
      <c r="B26" s="152"/>
      <c r="C26" s="152"/>
      <c r="D26" s="152"/>
      <c r="E26" s="152"/>
      <c r="F26" s="152"/>
      <c r="G26" s="152"/>
      <c r="H26" s="152"/>
      <c r="I26" s="152"/>
      <c r="J26" s="152"/>
    </row>
    <row r="27" spans="1:10" s="3" customFormat="1" ht="14.25" customHeight="1">
      <c r="A27" s="153"/>
      <c r="B27" s="153"/>
      <c r="C27" s="153"/>
      <c r="D27" s="153"/>
      <c r="E27" s="153"/>
      <c r="F27" s="153"/>
      <c r="G27" s="153"/>
      <c r="H27" s="153"/>
      <c r="I27" s="153"/>
      <c r="J27" s="153"/>
    </row>
    <row r="28" spans="1:10" s="3" customFormat="1" ht="14.25" customHeight="1">
      <c r="A28" s="153"/>
      <c r="B28" s="153"/>
      <c r="C28" s="153"/>
      <c r="D28" s="153"/>
      <c r="E28" s="153"/>
      <c r="F28" s="153"/>
      <c r="G28" s="153"/>
      <c r="H28" s="153"/>
      <c r="I28" s="153"/>
      <c r="J28" s="153"/>
    </row>
    <row r="29" spans="1:10" s="3" customFormat="1" ht="14.25" customHeight="1">
      <c r="A29" s="153"/>
      <c r="B29" s="153"/>
      <c r="C29" s="153"/>
      <c r="D29" s="153"/>
      <c r="E29" s="153"/>
      <c r="F29" s="153"/>
      <c r="G29" s="153"/>
      <c r="H29" s="153"/>
      <c r="I29" s="153"/>
      <c r="J29" s="153"/>
    </row>
    <row r="30" spans="1:10" s="3" customFormat="1" ht="14.25" customHeight="1">
      <c r="A30" s="349"/>
      <c r="B30"/>
      <c r="C30"/>
      <c r="D30"/>
      <c r="E30"/>
      <c r="F30"/>
      <c r="G30"/>
    </row>
    <row r="31" spans="1:10" s="3" customFormat="1" ht="14.25" customHeight="1">
      <c r="A31" s="1">
        <f>+A1</f>
        <v>2022</v>
      </c>
      <c r="B31" s="34" t="s">
        <v>179</v>
      </c>
      <c r="C31" s="34"/>
      <c r="D31" s="34"/>
      <c r="E31" s="34"/>
      <c r="F31" s="34"/>
    </row>
    <row r="32" spans="1:10" s="3" customFormat="1" ht="24.75" customHeight="1">
      <c r="A32" s="155" t="s">
        <v>180</v>
      </c>
      <c r="B32" s="156"/>
      <c r="C32" s="156"/>
      <c r="D32" s="157"/>
      <c r="E32" s="38" t="s">
        <v>181</v>
      </c>
      <c r="F32" s="39"/>
      <c r="G32" s="40" t="s">
        <v>76</v>
      </c>
      <c r="H32" s="158" t="s">
        <v>182</v>
      </c>
      <c r="I32" s="159"/>
      <c r="J32" s="41" t="s">
        <v>76</v>
      </c>
    </row>
    <row r="33" spans="1:10" s="3" customFormat="1" ht="14.25" customHeight="1">
      <c r="A33" s="340" t="s">
        <v>117</v>
      </c>
      <c r="B33" s="341"/>
      <c r="C33" s="341"/>
      <c r="D33" s="350"/>
      <c r="E33" s="351">
        <f>+'Operational Data'!G42</f>
        <v>55299000</v>
      </c>
      <c r="F33" s="344"/>
      <c r="G33" s="352" t="s">
        <v>183</v>
      </c>
      <c r="H33" s="353">
        <f>IF(E33&gt;0,E33/'Operational Data'!$G$21,"-")</f>
        <v>185.91138704640161</v>
      </c>
      <c r="I33" s="354"/>
      <c r="J33" s="352" t="s">
        <v>184</v>
      </c>
    </row>
    <row r="34" spans="1:10" s="3" customFormat="1" ht="14.25" customHeight="1">
      <c r="A34" s="340" t="s">
        <v>185</v>
      </c>
      <c r="B34" s="341"/>
      <c r="C34" s="341"/>
      <c r="D34" s="350"/>
      <c r="E34" s="351">
        <f>+'Operational Data'!G43+'Operational Data'!G42</f>
        <v>55299000</v>
      </c>
      <c r="F34" s="344"/>
      <c r="G34" s="352" t="s">
        <v>183</v>
      </c>
      <c r="H34" s="353">
        <f>IF(E34&gt;0,E34/'Operational Data'!$G$21,"-")</f>
        <v>185.91138704640161</v>
      </c>
      <c r="I34" s="354"/>
      <c r="J34" s="352" t="s">
        <v>184</v>
      </c>
    </row>
    <row r="35" spans="1:10" s="3" customFormat="1" ht="14.25" customHeight="1">
      <c r="A35" s="340" t="s">
        <v>186</v>
      </c>
      <c r="B35" s="341"/>
      <c r="C35" s="341"/>
      <c r="D35" s="350"/>
      <c r="E35" s="351">
        <f>+'Operational Data'!G44</f>
        <v>261367.44</v>
      </c>
      <c r="F35" s="344"/>
      <c r="G35" s="352" t="s">
        <v>187</v>
      </c>
      <c r="H35" s="353">
        <f>IF(E35&gt;0,E35/'Operational Data'!$G$21,"-")</f>
        <v>0.87869913197647609</v>
      </c>
      <c r="I35" s="354"/>
      <c r="J35" s="352" t="s">
        <v>188</v>
      </c>
    </row>
    <row r="36" spans="1:10" s="3" customFormat="1" ht="14.25" customHeight="1">
      <c r="A36" s="340" t="s">
        <v>123</v>
      </c>
      <c r="B36" s="341"/>
      <c r="C36" s="341"/>
      <c r="D36" s="350"/>
      <c r="E36" s="351">
        <f>+'Operational Data'!G46</f>
        <v>54604.42</v>
      </c>
      <c r="F36" s="344"/>
      <c r="G36" s="352" t="s">
        <v>187</v>
      </c>
      <c r="H36" s="353">
        <f>IF(E36&gt;0,E36/'Operational Data'!$G$21,"-")</f>
        <v>0.18357625745608913</v>
      </c>
      <c r="I36" s="354"/>
      <c r="J36" s="352" t="s">
        <v>188</v>
      </c>
    </row>
    <row r="37" spans="1:10" s="3" customFormat="1" ht="14.25" customHeight="1">
      <c r="A37" s="340" t="s">
        <v>189</v>
      </c>
      <c r="B37" s="341"/>
      <c r="C37" s="341"/>
      <c r="D37" s="350"/>
      <c r="E37" s="351">
        <f>+'Operational Data'!G47</f>
        <v>2673160</v>
      </c>
      <c r="F37" s="344"/>
      <c r="G37" s="352" t="s">
        <v>187</v>
      </c>
      <c r="H37" s="353">
        <f>IF(E37&gt;0,E37/'Operational Data'!$G$21,"-")</f>
        <v>8.9869777644615443</v>
      </c>
      <c r="I37" s="354"/>
      <c r="J37" s="352" t="s">
        <v>188</v>
      </c>
    </row>
    <row r="38" spans="1:10" s="3" customFormat="1" ht="14.25" customHeight="1">
      <c r="A38" s="355"/>
      <c r="B38" s="356"/>
      <c r="C38" s="356"/>
      <c r="D38" s="357"/>
      <c r="E38" s="358"/>
      <c r="F38" s="359"/>
      <c r="G38" s="360"/>
      <c r="H38" s="361"/>
      <c r="I38" s="362"/>
      <c r="J38" s="360"/>
    </row>
    <row r="39" spans="1:10" s="3" customFormat="1" ht="14.25" customHeight="1">
      <c r="A39" s="152" t="s">
        <v>178</v>
      </c>
      <c r="B39" s="152"/>
      <c r="C39" s="152"/>
      <c r="D39" s="152"/>
      <c r="E39" s="152"/>
      <c r="F39" s="152"/>
      <c r="G39" s="152"/>
      <c r="H39" s="152"/>
      <c r="I39" s="152"/>
      <c r="J39" s="152"/>
    </row>
    <row r="40" spans="1:10" s="3" customFormat="1" ht="14.25" customHeight="1">
      <c r="A40" s="153"/>
      <c r="B40" s="153"/>
      <c r="C40" s="153"/>
      <c r="D40" s="153"/>
      <c r="E40" s="153"/>
      <c r="F40" s="153"/>
      <c r="G40" s="153"/>
      <c r="H40" s="153"/>
      <c r="I40" s="153"/>
      <c r="J40" s="153"/>
    </row>
    <row r="41" spans="1:10" s="3" customFormat="1" ht="14.25" customHeight="1">
      <c r="A41" s="153"/>
      <c r="B41" s="153"/>
      <c r="C41" s="153"/>
      <c r="D41" s="153"/>
      <c r="E41" s="153"/>
      <c r="F41" s="153"/>
      <c r="G41" s="153"/>
      <c r="H41" s="153"/>
      <c r="I41" s="153"/>
      <c r="J41" s="153"/>
    </row>
    <row r="42" spans="1:10" s="3" customFormat="1" ht="14.25" customHeight="1">
      <c r="A42" s="42"/>
      <c r="B42" s="42"/>
      <c r="C42" s="42"/>
      <c r="D42" s="42"/>
      <c r="E42" s="42"/>
      <c r="F42" s="42"/>
      <c r="G42" s="42"/>
      <c r="H42" s="42"/>
      <c r="I42" s="42"/>
      <c r="J42" s="42"/>
    </row>
    <row r="43" spans="1:10" s="3" customFormat="1" ht="14.25" customHeight="1">
      <c r="A43" s="34">
        <f>+A31</f>
        <v>2022</v>
      </c>
      <c r="B43" s="34" t="s">
        <v>190</v>
      </c>
      <c r="C43" s="34"/>
      <c r="D43" s="34"/>
      <c r="E43" s="34"/>
      <c r="F43" s="34"/>
      <c r="G43" s="92"/>
    </row>
    <row r="44" spans="1:10" ht="14.25" customHeight="1">
      <c r="A44" s="154" t="s">
        <v>191</v>
      </c>
      <c r="B44" s="154"/>
      <c r="C44" s="154" t="s">
        <v>192</v>
      </c>
      <c r="D44" s="154"/>
      <c r="E44" s="154"/>
      <c r="F44" s="154"/>
      <c r="G44" s="154"/>
      <c r="H44" s="154"/>
      <c r="I44" s="154"/>
      <c r="J44" s="154"/>
    </row>
    <row r="45" spans="1:10" ht="14.25" customHeight="1">
      <c r="A45" s="43"/>
      <c r="B45" s="43"/>
      <c r="C45" s="36" t="s">
        <v>193</v>
      </c>
      <c r="D45" s="36" t="s">
        <v>194</v>
      </c>
      <c r="E45" s="36" t="s">
        <v>195</v>
      </c>
      <c r="F45" s="36" t="s">
        <v>196</v>
      </c>
      <c r="G45" s="36" t="s">
        <v>197</v>
      </c>
      <c r="H45" s="36"/>
      <c r="I45" s="36" t="s">
        <v>198</v>
      </c>
      <c r="J45" s="36" t="s">
        <v>199</v>
      </c>
    </row>
    <row r="46" spans="1:10" ht="31.5" customHeight="1">
      <c r="A46" s="334" t="s">
        <v>200</v>
      </c>
      <c r="B46" s="334"/>
      <c r="C46" s="363">
        <v>7882</v>
      </c>
      <c r="D46" s="363"/>
      <c r="E46" s="363"/>
      <c r="F46" s="364"/>
      <c r="G46" s="364"/>
      <c r="H46" s="364"/>
      <c r="I46" s="364">
        <v>7855</v>
      </c>
      <c r="J46" s="364"/>
    </row>
    <row r="47" spans="1:10" ht="43.5" customHeight="1">
      <c r="A47" s="334" t="s">
        <v>201</v>
      </c>
      <c r="B47" s="334"/>
      <c r="C47" s="363">
        <v>4</v>
      </c>
      <c r="D47" s="363"/>
      <c r="E47" s="363"/>
      <c r="F47" s="364"/>
      <c r="G47" s="364"/>
      <c r="H47" s="364"/>
      <c r="I47" s="364"/>
      <c r="J47" s="364"/>
    </row>
    <row r="48" spans="1:10" ht="42.75" customHeight="1">
      <c r="A48" s="334" t="s">
        <v>202</v>
      </c>
      <c r="B48" s="334"/>
      <c r="C48" s="365">
        <v>0.11319444444444444</v>
      </c>
      <c r="D48" s="363"/>
      <c r="E48" s="363"/>
      <c r="F48" s="364"/>
      <c r="G48" s="364"/>
      <c r="H48" s="364"/>
      <c r="I48" s="364"/>
      <c r="J48" s="364"/>
    </row>
    <row r="49" spans="1:10" ht="8.25" customHeight="1">
      <c r="A49" s="92"/>
      <c r="B49" s="92"/>
      <c r="C49" s="92"/>
      <c r="D49" s="92"/>
      <c r="E49" s="92"/>
      <c r="F49" s="92"/>
      <c r="G49" s="92"/>
      <c r="H49" s="92"/>
      <c r="I49" s="92"/>
      <c r="J49" s="92"/>
    </row>
    <row r="50" spans="1:10">
      <c r="A50" s="152" t="s">
        <v>178</v>
      </c>
      <c r="B50" s="152"/>
      <c r="C50" s="152"/>
      <c r="D50" s="152"/>
      <c r="E50" s="152"/>
      <c r="F50" s="152"/>
      <c r="G50" s="152"/>
      <c r="H50" s="152"/>
      <c r="I50" s="152"/>
      <c r="J50" s="152"/>
    </row>
    <row r="51" spans="1:10">
      <c r="A51" s="153"/>
      <c r="B51" s="153"/>
      <c r="C51" s="153"/>
      <c r="D51" s="153"/>
      <c r="E51" s="153"/>
      <c r="F51" s="153"/>
      <c r="G51" s="153"/>
      <c r="H51" s="153"/>
      <c r="I51" s="153"/>
      <c r="J51" s="153"/>
    </row>
    <row r="52" spans="1:10">
      <c r="A52" s="153"/>
      <c r="B52" s="153"/>
      <c r="C52" s="153"/>
      <c r="D52" s="153"/>
      <c r="E52" s="153"/>
      <c r="F52" s="153"/>
      <c r="G52" s="153"/>
      <c r="H52" s="153"/>
      <c r="I52" s="153"/>
      <c r="J52" s="153"/>
    </row>
    <row r="54" spans="1:10">
      <c r="A54" s="3" t="s">
        <v>203</v>
      </c>
      <c r="B54" s="44"/>
      <c r="C54" s="44"/>
      <c r="D54" s="44"/>
      <c r="E54" s="44"/>
      <c r="F54" s="3"/>
      <c r="G54" s="3" t="s">
        <v>204</v>
      </c>
      <c r="H54" s="101">
        <v>44944</v>
      </c>
      <c r="I54" s="44"/>
      <c r="J54" s="92"/>
    </row>
    <row r="62" spans="1:10">
      <c r="A62" s="92"/>
      <c r="B62" s="92"/>
      <c r="C62" s="92"/>
      <c r="D62" s="92"/>
      <c r="E62" s="92"/>
      <c r="F62" s="3"/>
      <c r="G62" s="92"/>
      <c r="H62" s="92"/>
      <c r="I62" s="92"/>
      <c r="J62" s="92"/>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drawing r:id="rId2"/>
  <legacyDrawing r:id="rId3"/>
  <oleObjects>
    <mc:AlternateContent xmlns:mc="http://schemas.openxmlformats.org/markup-compatibility/2006">
      <mc:Choice Requires="x14">
        <oleObject progId="Bitmap Image" shapeId="45058" r:id="rId4">
          <objectPr defaultSize="0" autoPict="0" r:id="rId5">
            <anchor moveWithCells="1">
              <from>
                <xdr:col>1</xdr:col>
                <xdr:colOff>457200</xdr:colOff>
                <xdr:row>52</xdr:row>
                <xdr:rowOff>38100</xdr:rowOff>
              </from>
              <to>
                <xdr:col>4</xdr:col>
                <xdr:colOff>114300</xdr:colOff>
                <xdr:row>53</xdr:row>
                <xdr:rowOff>160020</xdr:rowOff>
              </to>
            </anchor>
          </objectPr>
        </oleObject>
      </mc:Choice>
      <mc:Fallback>
        <oleObject progId="Bitmap Image" shapeId="45058"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M22" sqref="M22"/>
    </sheetView>
  </sheetViews>
  <sheetFormatPr defaultColWidth="9.28515625" defaultRowHeight="15"/>
  <cols>
    <col min="1" max="1" width="9.42578125" style="2" bestFit="1" customWidth="1"/>
    <col min="2" max="7" width="9.28515625" style="2"/>
    <col min="8" max="8" width="11.28515625" style="2" bestFit="1" customWidth="1"/>
    <col min="9" max="16384" width="9.28515625" style="2"/>
  </cols>
  <sheetData>
    <row r="1" spans="1:10" ht="15.6">
      <c r="A1" s="33">
        <f>+'Cover Page'!C39</f>
        <v>2022</v>
      </c>
      <c r="B1" s="34" t="s">
        <v>205</v>
      </c>
      <c r="C1" s="34"/>
      <c r="D1" s="34"/>
      <c r="E1" s="34"/>
      <c r="F1" s="34"/>
      <c r="G1" s="34"/>
      <c r="H1" s="34"/>
      <c r="I1" s="34"/>
      <c r="J1" s="34"/>
    </row>
    <row r="3" spans="1:10" s="3" customFormat="1" ht="15" customHeight="1">
      <c r="A3" s="3" t="str">
        <f>+'Cover Page'!B31</f>
        <v>Permit EPR/UP3734HT/V004</v>
      </c>
      <c r="F3" s="3" t="s">
        <v>152</v>
      </c>
      <c r="G3" s="167">
        <f>+'Cover Page'!B37:I37</f>
        <v>0</v>
      </c>
      <c r="H3" s="167"/>
      <c r="I3" s="167"/>
    </row>
    <row r="4" spans="1:10" s="3" customFormat="1" ht="13.9"/>
    <row r="5" spans="1:10" s="3" customFormat="1" ht="13.9">
      <c r="A5" s="3" t="s">
        <v>153</v>
      </c>
      <c r="B5" s="163" t="str">
        <f>+'Cover Page'!B33:I33</f>
        <v>Greatmoor Energy from Waste Facility</v>
      </c>
      <c r="C5" s="163"/>
      <c r="D5" s="163"/>
      <c r="E5" s="163"/>
      <c r="F5" s="3" t="s">
        <v>154</v>
      </c>
      <c r="G5" s="3" t="s">
        <v>206</v>
      </c>
    </row>
    <row r="6" spans="1:10" s="3" customFormat="1" ht="13.9"/>
    <row r="7" spans="1:10" s="3" customFormat="1" ht="15.75" customHeight="1">
      <c r="A7" s="3" t="s">
        <v>156</v>
      </c>
      <c r="D7" s="168" t="str">
        <f>+'Perf. Form 1'!D6:E6</f>
        <v>1st January 2022</v>
      </c>
      <c r="E7" s="168"/>
      <c r="F7" s="35" t="s">
        <v>158</v>
      </c>
      <c r="G7" s="168" t="str">
        <f>+'Perf. Form 1'!G6:H6</f>
        <v>31st December 2022</v>
      </c>
      <c r="H7" s="168"/>
    </row>
    <row r="8" spans="1:10" s="3" customFormat="1" ht="14.45">
      <c r="B8"/>
      <c r="C8"/>
      <c r="D8"/>
    </row>
    <row r="9" spans="1:10" s="3" customFormat="1" ht="37.5" customHeight="1">
      <c r="A9" s="154" t="s">
        <v>207</v>
      </c>
      <c r="B9" s="154"/>
      <c r="C9" s="154"/>
      <c r="D9" s="166" t="s">
        <v>208</v>
      </c>
      <c r="E9" s="166"/>
      <c r="F9" s="36" t="s">
        <v>76</v>
      </c>
      <c r="G9" s="154" t="s">
        <v>209</v>
      </c>
      <c r="H9" s="154"/>
      <c r="I9" s="154"/>
    </row>
    <row r="10" spans="1:10" s="3" customFormat="1" ht="24.75" customHeight="1">
      <c r="A10" s="334" t="s">
        <v>210</v>
      </c>
      <c r="B10" s="334"/>
      <c r="C10" s="334"/>
      <c r="D10" s="366">
        <f>+'Operational Data'!G24</f>
        <v>223823.41</v>
      </c>
      <c r="E10" s="366"/>
      <c r="F10" s="367" t="s">
        <v>100</v>
      </c>
      <c r="G10" s="368">
        <f>+'Operational Data'!H24</f>
        <v>752.4787176360411</v>
      </c>
      <c r="H10" s="368"/>
      <c r="I10" s="368"/>
    </row>
    <row r="11" spans="1:10" s="3" customFormat="1" ht="24.75" customHeight="1">
      <c r="A11" s="334" t="s">
        <v>211</v>
      </c>
      <c r="B11" s="334"/>
      <c r="C11" s="334"/>
      <c r="D11" s="369">
        <f>+'Operational Data'!G27</f>
        <v>767.41</v>
      </c>
      <c r="E11" s="369"/>
      <c r="F11" s="367" t="s">
        <v>100</v>
      </c>
      <c r="G11" s="368">
        <f>+'Operational Data'!H27</f>
        <v>2.579978978521837</v>
      </c>
      <c r="H11" s="368"/>
      <c r="I11" s="368"/>
    </row>
    <row r="12" spans="1:10" s="3" customFormat="1" ht="24.75" customHeight="1">
      <c r="A12" s="334" t="s">
        <v>212</v>
      </c>
      <c r="B12" s="334"/>
      <c r="C12" s="334"/>
      <c r="D12" s="366">
        <f>+'Operational Data'!G25</f>
        <v>201322.43</v>
      </c>
      <c r="E12" s="366"/>
      <c r="F12" s="367" t="s">
        <v>100</v>
      </c>
      <c r="G12" s="368">
        <f>+'Operational Data'!H25</f>
        <v>676.83198981630937</v>
      </c>
      <c r="H12" s="368"/>
      <c r="I12" s="368"/>
    </row>
    <row r="13" spans="1:10" s="3" customFormat="1" ht="24.75" customHeight="1">
      <c r="A13" s="334" t="s">
        <v>213</v>
      </c>
      <c r="B13" s="334"/>
      <c r="C13" s="334"/>
      <c r="D13" s="370"/>
      <c r="E13" s="370"/>
      <c r="F13" s="367" t="s">
        <v>84</v>
      </c>
      <c r="G13" s="371"/>
      <c r="H13" s="371"/>
      <c r="I13" s="371"/>
    </row>
    <row r="14" spans="1:10" s="3" customFormat="1" ht="24.75" customHeight="1">
      <c r="A14" s="334" t="s">
        <v>214</v>
      </c>
      <c r="B14" s="334"/>
      <c r="C14" s="334"/>
      <c r="D14" s="366">
        <f>+'Operational Data'!G30</f>
        <v>0</v>
      </c>
      <c r="E14" s="366"/>
      <c r="F14" s="367" t="s">
        <v>215</v>
      </c>
      <c r="G14" s="368" t="str">
        <f>+'Operational Data'!H30</f>
        <v>-</v>
      </c>
      <c r="H14" s="368"/>
      <c r="I14" s="368"/>
    </row>
    <row r="15" spans="1:10" s="3" customFormat="1" ht="24.75" customHeight="1">
      <c r="A15" s="337"/>
      <c r="B15" s="337"/>
      <c r="C15" s="337"/>
      <c r="D15" s="337"/>
      <c r="E15" s="337"/>
      <c r="F15" s="116"/>
      <c r="G15" s="174"/>
      <c r="H15" s="174"/>
      <c r="I15" s="174"/>
    </row>
    <row r="16" spans="1:10" s="3" customFormat="1" ht="24.75" customHeight="1">
      <c r="A16" s="337"/>
      <c r="B16" s="337"/>
      <c r="C16" s="337"/>
      <c r="D16" s="337"/>
      <c r="E16" s="337"/>
      <c r="F16" s="116"/>
      <c r="G16" s="174"/>
      <c r="H16" s="174"/>
      <c r="I16" s="174"/>
    </row>
    <row r="17" spans="1:9" s="3" customFormat="1" ht="14.45">
      <c r="A17" s="45"/>
      <c r="B17"/>
      <c r="C17"/>
      <c r="D17"/>
    </row>
    <row r="18" spans="1:9" s="3" customFormat="1" ht="24" customHeight="1">
      <c r="A18" s="152" t="s">
        <v>178</v>
      </c>
      <c r="B18" s="152"/>
      <c r="C18" s="152"/>
      <c r="D18" s="152"/>
      <c r="E18" s="152"/>
      <c r="F18" s="152"/>
      <c r="G18" s="152"/>
      <c r="H18" s="152"/>
      <c r="I18" s="152"/>
    </row>
    <row r="19" spans="1:9" s="3" customFormat="1" ht="13.9">
      <c r="A19" s="372"/>
      <c r="B19" s="372"/>
      <c r="C19" s="372"/>
      <c r="D19" s="372"/>
      <c r="E19" s="372"/>
      <c r="F19" s="372"/>
      <c r="G19" s="372"/>
      <c r="H19" s="372"/>
      <c r="I19" s="372"/>
    </row>
    <row r="20" spans="1:9" s="3" customFormat="1" ht="13.9">
      <c r="A20" s="372"/>
      <c r="B20" s="372"/>
      <c r="C20" s="372"/>
      <c r="D20" s="372"/>
      <c r="E20" s="372"/>
      <c r="F20" s="372"/>
      <c r="G20" s="372"/>
      <c r="H20" s="372"/>
      <c r="I20" s="372"/>
    </row>
    <row r="21" spans="1:9" s="3" customFormat="1" ht="13.9">
      <c r="A21" s="372"/>
      <c r="B21" s="372"/>
      <c r="C21" s="372"/>
      <c r="D21" s="372"/>
      <c r="E21" s="372"/>
      <c r="F21" s="372"/>
      <c r="G21" s="372"/>
      <c r="H21" s="372"/>
      <c r="I21" s="372"/>
    </row>
    <row r="22" spans="1:9" s="3" customFormat="1" ht="13.9">
      <c r="A22" s="372"/>
      <c r="B22" s="372"/>
      <c r="C22" s="372"/>
      <c r="D22" s="372"/>
      <c r="E22" s="372"/>
      <c r="F22" s="372"/>
      <c r="G22" s="372"/>
      <c r="H22" s="372"/>
      <c r="I22" s="372"/>
    </row>
    <row r="23" spans="1:9" s="3" customFormat="1" ht="13.9">
      <c r="A23" s="372"/>
      <c r="B23" s="372"/>
      <c r="C23" s="372"/>
      <c r="D23" s="372"/>
      <c r="E23" s="372"/>
      <c r="F23" s="372"/>
      <c r="G23" s="372"/>
      <c r="H23" s="372"/>
      <c r="I23" s="372"/>
    </row>
    <row r="24" spans="1:9" s="3" customFormat="1" ht="13.9">
      <c r="A24" s="372"/>
      <c r="B24" s="372"/>
      <c r="C24" s="372"/>
      <c r="D24" s="372"/>
      <c r="E24" s="372"/>
      <c r="F24" s="372"/>
      <c r="G24" s="372"/>
      <c r="H24" s="372"/>
      <c r="I24" s="372"/>
    </row>
    <row r="25" spans="1:9" s="3" customFormat="1" ht="13.9">
      <c r="A25" s="372"/>
      <c r="B25" s="372"/>
      <c r="C25" s="372"/>
      <c r="D25" s="372"/>
      <c r="E25" s="372"/>
      <c r="F25" s="372"/>
      <c r="G25" s="372"/>
      <c r="H25" s="372"/>
      <c r="I25" s="372"/>
    </row>
    <row r="26" spans="1:9" s="3" customFormat="1" ht="13.9">
      <c r="A26" s="42"/>
      <c r="B26" s="42"/>
      <c r="C26" s="42"/>
      <c r="D26" s="42"/>
      <c r="E26" s="42"/>
      <c r="F26" s="42"/>
      <c r="G26" s="42"/>
      <c r="H26" s="42"/>
      <c r="I26" s="42"/>
    </row>
    <row r="27" spans="1:9" s="3" customFormat="1" ht="13.9"/>
    <row r="28" spans="1:9" s="3" customFormat="1" ht="13.9"/>
    <row r="29" spans="1:9" s="3" customFormat="1" ht="13.9">
      <c r="A29" s="3" t="s">
        <v>203</v>
      </c>
      <c r="B29" s="44"/>
      <c r="C29" s="44"/>
      <c r="D29" s="44"/>
      <c r="E29" s="44"/>
      <c r="G29" s="3" t="s">
        <v>204</v>
      </c>
      <c r="H29" s="101">
        <v>44944</v>
      </c>
      <c r="I29" s="44"/>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92"/>
      <c r="B34" s="92"/>
      <c r="C34" s="92"/>
      <c r="D34" s="92"/>
      <c r="E34" s="92"/>
      <c r="F34" s="92"/>
      <c r="G34" s="92"/>
      <c r="H34" s="92"/>
      <c r="I34" s="92"/>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drawing r:id="rId2"/>
  <legacyDrawing r:id="rId3"/>
  <oleObjects>
    <mc:AlternateContent xmlns:mc="http://schemas.openxmlformats.org/markup-compatibility/2006">
      <mc:Choice Requires="x14">
        <oleObject progId="Bitmap Image" shapeId="46081" r:id="rId4">
          <objectPr defaultSize="0" autoPict="0" r:id="rId5">
            <anchor moveWithCells="1">
              <from>
                <xdr:col>1</xdr:col>
                <xdr:colOff>426720</xdr:colOff>
                <xdr:row>26</xdr:row>
                <xdr:rowOff>175260</xdr:rowOff>
              </from>
              <to>
                <xdr:col>4</xdr:col>
                <xdr:colOff>83820</xdr:colOff>
                <xdr:row>28</xdr:row>
                <xdr:rowOff>121920</xdr:rowOff>
              </to>
            </anchor>
          </objectPr>
        </oleObject>
      </mc:Choice>
      <mc:Fallback>
        <oleObject progId="Bitmap Image" shapeId="46081"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workbookViewId="0">
      <selection activeCell="L20" sqref="L20"/>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6" width="9.28515625" style="2"/>
    <col min="7" max="7" width="17.140625" style="2" customWidth="1"/>
    <col min="8"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2" t="str">
        <f>+'Cover Page'!$B$29</f>
        <v>Annual Performance Report 2022</v>
      </c>
      <c r="B1" s="92"/>
      <c r="C1" s="92"/>
      <c r="D1" s="92"/>
      <c r="E1" s="92" t="str">
        <f>+'Cover Page'!$B$33</f>
        <v>Greatmoor Energy from Waste Facility</v>
      </c>
      <c r="F1" s="92"/>
      <c r="G1" s="92"/>
      <c r="H1" s="92"/>
      <c r="I1" s="92"/>
      <c r="J1" s="92"/>
      <c r="K1" s="92"/>
      <c r="L1" s="92"/>
      <c r="M1" s="92"/>
      <c r="N1" s="92"/>
      <c r="O1" s="92"/>
    </row>
    <row r="3" spans="1:15" ht="15.6">
      <c r="A3" s="1" t="s">
        <v>216</v>
      </c>
      <c r="B3" s="92"/>
      <c r="C3" s="92"/>
      <c r="D3" s="92"/>
      <c r="E3" s="92"/>
      <c r="F3" s="92"/>
      <c r="G3" s="92"/>
      <c r="H3" s="92"/>
      <c r="I3" s="92"/>
      <c r="J3" s="92"/>
      <c r="K3" s="92"/>
      <c r="L3" s="92"/>
      <c r="M3" s="92"/>
      <c r="N3" s="92"/>
      <c r="O3" s="92"/>
    </row>
    <row r="4" spans="1:15" ht="15.6">
      <c r="A4" s="1"/>
      <c r="B4" s="92"/>
      <c r="C4" s="92"/>
      <c r="D4" s="92"/>
      <c r="E4" s="92"/>
      <c r="F4" s="92"/>
      <c r="G4" s="92"/>
      <c r="H4" s="92"/>
      <c r="I4" s="92"/>
      <c r="J4" s="92"/>
      <c r="K4" s="92"/>
      <c r="L4" s="92"/>
      <c r="M4" s="92"/>
      <c r="N4" s="92"/>
      <c r="O4" s="92"/>
    </row>
    <row r="5" spans="1:15">
      <c r="A5" s="9" t="s">
        <v>217</v>
      </c>
      <c r="B5" s="92"/>
      <c r="C5" s="92"/>
      <c r="D5" s="92"/>
      <c r="E5" s="92"/>
      <c r="F5" s="92"/>
      <c r="G5" s="92"/>
      <c r="H5" s="92"/>
      <c r="I5" s="92"/>
      <c r="J5" s="92"/>
      <c r="K5" s="92"/>
      <c r="L5" s="92"/>
      <c r="M5" s="92"/>
      <c r="N5" s="92"/>
      <c r="O5" s="92"/>
    </row>
    <row r="6" spans="1:15">
      <c r="A6" s="9"/>
      <c r="B6" s="92"/>
      <c r="C6" s="92"/>
      <c r="D6" s="92"/>
      <c r="E6" s="92"/>
      <c r="F6" s="92"/>
      <c r="G6" s="92"/>
      <c r="H6" s="92"/>
      <c r="I6" s="92"/>
      <c r="J6" s="92"/>
      <c r="K6" s="92"/>
      <c r="L6" s="92"/>
      <c r="M6" s="92"/>
      <c r="N6" s="92"/>
      <c r="O6" s="92"/>
    </row>
    <row r="7" spans="1:15">
      <c r="A7" s="286" t="s">
        <v>218</v>
      </c>
      <c r="B7" s="92"/>
      <c r="C7" s="92"/>
      <c r="D7" s="92"/>
      <c r="E7" s="92"/>
      <c r="F7" s="92"/>
      <c r="G7" s="92"/>
      <c r="H7" s="92"/>
      <c r="I7" s="92"/>
      <c r="J7" s="92"/>
      <c r="K7" s="92"/>
      <c r="L7" s="92"/>
      <c r="M7" s="92"/>
      <c r="N7" s="92"/>
      <c r="O7" s="92"/>
    </row>
    <row r="8" spans="1:15" s="3" customFormat="1" ht="25.5" customHeight="1">
      <c r="A8" s="181" t="s">
        <v>219</v>
      </c>
      <c r="B8" s="182"/>
      <c r="C8" s="181" t="s">
        <v>220</v>
      </c>
      <c r="D8" s="183"/>
      <c r="E8" s="183"/>
      <c r="F8" s="183"/>
      <c r="G8" s="183"/>
      <c r="H8" s="183"/>
      <c r="I8" s="182"/>
      <c r="L8" s="81" t="s">
        <v>3</v>
      </c>
    </row>
    <row r="9" spans="1:15" s="3" customFormat="1" ht="22.5" customHeight="1">
      <c r="A9" s="184"/>
      <c r="B9" s="185"/>
      <c r="C9" s="186" t="s">
        <v>221</v>
      </c>
      <c r="D9" s="186"/>
      <c r="E9" s="186"/>
      <c r="F9" s="186" t="s">
        <v>222</v>
      </c>
      <c r="G9" s="186"/>
      <c r="H9" s="186"/>
      <c r="I9" s="186"/>
      <c r="L9" s="203" t="s">
        <v>223</v>
      </c>
      <c r="M9" s="203"/>
      <c r="N9" s="203"/>
      <c r="O9" s="203"/>
    </row>
    <row r="10" spans="1:15" s="3" customFormat="1" ht="22.5" customHeight="1">
      <c r="A10" s="180" t="s">
        <v>224</v>
      </c>
      <c r="B10" s="180"/>
      <c r="C10" s="177">
        <v>1</v>
      </c>
      <c r="D10" s="373"/>
      <c r="E10" s="373"/>
      <c r="F10" s="177">
        <v>1</v>
      </c>
      <c r="G10" s="373"/>
      <c r="H10" s="373"/>
      <c r="I10" s="373"/>
      <c r="L10" s="203"/>
      <c r="M10" s="203"/>
      <c r="N10" s="203"/>
      <c r="O10" s="203"/>
    </row>
    <row r="11" spans="1:15" s="3" customFormat="1" ht="22.5" customHeight="1">
      <c r="A11" s="180" t="s">
        <v>225</v>
      </c>
      <c r="B11" s="180"/>
      <c r="C11" s="177">
        <v>1</v>
      </c>
      <c r="D11" s="373"/>
      <c r="E11" s="373"/>
      <c r="F11" s="177">
        <v>1</v>
      </c>
      <c r="G11" s="373"/>
      <c r="H11" s="373"/>
      <c r="I11" s="373"/>
      <c r="L11" s="203"/>
      <c r="M11" s="203"/>
      <c r="N11" s="203"/>
      <c r="O11" s="203"/>
    </row>
    <row r="12" spans="1:15" s="3" customFormat="1" ht="22.5" customHeight="1">
      <c r="A12" s="180" t="s">
        <v>226</v>
      </c>
      <c r="B12" s="180"/>
      <c r="C12" s="177">
        <v>1</v>
      </c>
      <c r="D12" s="373"/>
      <c r="E12" s="373"/>
      <c r="F12" s="177">
        <v>1</v>
      </c>
      <c r="G12" s="373"/>
      <c r="H12" s="373"/>
      <c r="I12" s="373"/>
      <c r="L12" s="203"/>
      <c r="M12" s="203"/>
      <c r="N12" s="203"/>
      <c r="O12" s="203"/>
    </row>
    <row r="13" spans="1:15" s="3" customFormat="1" ht="22.5" customHeight="1">
      <c r="A13" s="180" t="s">
        <v>227</v>
      </c>
      <c r="B13" s="180"/>
      <c r="C13" s="162" t="s">
        <v>228</v>
      </c>
      <c r="D13" s="373"/>
      <c r="E13" s="373"/>
      <c r="F13" s="177">
        <v>1</v>
      </c>
      <c r="G13" s="373"/>
      <c r="H13" s="373"/>
      <c r="I13" s="373"/>
      <c r="L13" s="203"/>
      <c r="M13" s="203"/>
      <c r="N13" s="203"/>
      <c r="O13" s="203"/>
    </row>
    <row r="14" spans="1:15" s="3" customFormat="1" ht="22.5" customHeight="1">
      <c r="A14" s="180" t="s">
        <v>229</v>
      </c>
      <c r="B14" s="180"/>
      <c r="C14" s="177">
        <v>1</v>
      </c>
      <c r="D14" s="373"/>
      <c r="E14" s="373"/>
      <c r="F14" s="177">
        <v>1</v>
      </c>
      <c r="G14" s="373"/>
      <c r="H14" s="373"/>
      <c r="I14" s="373"/>
      <c r="L14" s="203"/>
      <c r="M14" s="203"/>
      <c r="N14" s="203"/>
      <c r="O14" s="203"/>
    </row>
    <row r="15" spans="1:15" s="3" customFormat="1" ht="22.5" customHeight="1">
      <c r="A15" s="180" t="s">
        <v>230</v>
      </c>
      <c r="B15" s="180"/>
      <c r="C15" s="177">
        <v>1</v>
      </c>
      <c r="D15" s="373"/>
      <c r="E15" s="373"/>
      <c r="F15" s="177">
        <v>1</v>
      </c>
      <c r="G15" s="373"/>
      <c r="H15" s="373"/>
      <c r="I15" s="373"/>
      <c r="L15" s="203"/>
      <c r="M15" s="203"/>
      <c r="N15" s="203"/>
      <c r="O15" s="203"/>
    </row>
    <row r="16" spans="1:15" s="3" customFormat="1" ht="22.5" customHeight="1">
      <c r="A16" s="180" t="s">
        <v>231</v>
      </c>
      <c r="B16" s="180"/>
      <c r="C16" s="177">
        <v>1</v>
      </c>
      <c r="D16" s="373"/>
      <c r="E16" s="373"/>
      <c r="F16" s="177">
        <v>1</v>
      </c>
      <c r="G16" s="373"/>
      <c r="H16" s="373"/>
      <c r="I16" s="373"/>
      <c r="L16" s="203"/>
      <c r="M16" s="203"/>
      <c r="N16" s="203"/>
      <c r="O16" s="203"/>
    </row>
    <row r="17" spans="1:15" s="3" customFormat="1" ht="22.5" customHeight="1">
      <c r="A17" s="178"/>
      <c r="B17" s="179"/>
      <c r="C17" s="373" t="s">
        <v>232</v>
      </c>
      <c r="D17" s="373"/>
      <c r="E17" s="373"/>
      <c r="F17" s="177" t="s">
        <v>232</v>
      </c>
      <c r="G17" s="373"/>
      <c r="H17" s="373"/>
      <c r="I17" s="373"/>
      <c r="L17" s="203"/>
      <c r="M17" s="203"/>
      <c r="N17" s="203"/>
      <c r="O17" s="203"/>
    </row>
    <row r="18" spans="1:15" s="3" customFormat="1" ht="13.9">
      <c r="L18" s="203"/>
      <c r="M18" s="203"/>
      <c r="N18" s="203"/>
      <c r="O18" s="203"/>
    </row>
    <row r="19" spans="1:15" s="45" customFormat="1" ht="21.75" customHeight="1">
      <c r="A19" s="169" t="s">
        <v>233</v>
      </c>
      <c r="B19" s="170"/>
      <c r="C19" s="170"/>
      <c r="D19" s="170"/>
      <c r="E19" s="170"/>
      <c r="F19" s="170"/>
      <c r="G19" s="170"/>
      <c r="H19" s="170"/>
      <c r="I19" s="170"/>
      <c r="J19" s="170"/>
      <c r="K19" s="171"/>
    </row>
    <row r="20" spans="1:15" s="3" customFormat="1" ht="38.25" customHeight="1">
      <c r="A20" s="46" t="s">
        <v>54</v>
      </c>
      <c r="B20" s="172" t="s">
        <v>234</v>
      </c>
      <c r="C20" s="172"/>
      <c r="D20" s="172"/>
      <c r="E20" s="172" t="s">
        <v>235</v>
      </c>
      <c r="F20" s="172"/>
      <c r="G20" s="172"/>
      <c r="H20" s="172" t="s">
        <v>236</v>
      </c>
      <c r="I20" s="172"/>
      <c r="J20" s="173"/>
      <c r="K20" s="72"/>
    </row>
    <row r="21" spans="1:15" s="3" customFormat="1" ht="195.75" customHeight="1">
      <c r="A21" s="102">
        <v>44747</v>
      </c>
      <c r="B21" s="175" t="s">
        <v>237</v>
      </c>
      <c r="C21" s="174"/>
      <c r="D21" s="174"/>
      <c r="E21" s="175" t="s">
        <v>238</v>
      </c>
      <c r="F21" s="174"/>
      <c r="G21" s="174"/>
      <c r="H21" s="175" t="s">
        <v>239</v>
      </c>
      <c r="I21" s="174"/>
      <c r="J21" s="176"/>
      <c r="K21" s="72"/>
    </row>
    <row r="22" spans="1:15" s="3" customFormat="1" ht="13.9">
      <c r="A22" s="117"/>
      <c r="B22" s="174"/>
      <c r="C22" s="174"/>
      <c r="D22" s="174"/>
      <c r="E22" s="174"/>
      <c r="F22" s="174"/>
      <c r="G22" s="174"/>
      <c r="H22" s="174"/>
      <c r="I22" s="174"/>
      <c r="J22" s="176"/>
      <c r="K22" s="72"/>
    </row>
    <row r="23" spans="1:15" s="3" customFormat="1" ht="13.9">
      <c r="A23" s="117"/>
      <c r="B23" s="174"/>
      <c r="C23" s="174"/>
      <c r="D23" s="174"/>
      <c r="E23" s="174"/>
      <c r="F23" s="174"/>
      <c r="G23" s="174"/>
      <c r="H23" s="174"/>
      <c r="I23" s="174"/>
      <c r="J23" s="176"/>
      <c r="K23" s="72"/>
    </row>
    <row r="24" spans="1:15" s="3" customFormat="1" ht="13.9">
      <c r="A24" s="117"/>
      <c r="B24" s="174"/>
      <c r="C24" s="174"/>
      <c r="D24" s="174"/>
      <c r="E24" s="174"/>
      <c r="F24" s="174"/>
      <c r="G24" s="174"/>
      <c r="H24" s="174"/>
      <c r="I24" s="174"/>
      <c r="J24" s="176"/>
      <c r="K24" s="72"/>
    </row>
    <row r="25" spans="1:15" s="3" customFormat="1" ht="13.9">
      <c r="A25" s="117"/>
      <c r="B25" s="174"/>
      <c r="C25" s="174"/>
      <c r="D25" s="174"/>
      <c r="E25" s="174"/>
      <c r="F25" s="174"/>
      <c r="G25" s="174"/>
      <c r="H25" s="174"/>
      <c r="I25" s="174"/>
      <c r="J25" s="176"/>
      <c r="K25" s="72"/>
    </row>
    <row r="26" spans="1:15" s="3" customFormat="1" ht="13.9"/>
    <row r="27" spans="1:15" s="45" customFormat="1" ht="22.5" customHeight="1">
      <c r="A27" s="169" t="s">
        <v>240</v>
      </c>
      <c r="B27" s="170"/>
      <c r="C27" s="170"/>
      <c r="D27" s="170"/>
      <c r="E27" s="170"/>
      <c r="F27" s="170"/>
      <c r="G27" s="170"/>
      <c r="H27" s="170"/>
      <c r="I27" s="170"/>
      <c r="J27" s="170"/>
      <c r="K27" s="171"/>
    </row>
    <row r="28" spans="1:15" s="3" customFormat="1" ht="39" customHeight="1">
      <c r="A28" s="46" t="s">
        <v>54</v>
      </c>
      <c r="B28" s="172" t="s">
        <v>241</v>
      </c>
      <c r="C28" s="172"/>
      <c r="D28" s="172"/>
      <c r="E28" s="172" t="s">
        <v>242</v>
      </c>
      <c r="F28" s="172"/>
      <c r="G28" s="172"/>
      <c r="H28" s="172" t="s">
        <v>236</v>
      </c>
      <c r="I28" s="172"/>
      <c r="J28" s="173"/>
      <c r="K28" s="72"/>
    </row>
    <row r="29" spans="1:15" s="3" customFormat="1" ht="13.9">
      <c r="A29" s="102">
        <v>44689</v>
      </c>
      <c r="B29" s="174" t="s">
        <v>243</v>
      </c>
      <c r="C29" s="174"/>
      <c r="D29" s="174"/>
      <c r="E29" s="174" t="s">
        <v>244</v>
      </c>
      <c r="F29" s="174"/>
      <c r="G29" s="174"/>
      <c r="H29" s="174"/>
      <c r="I29" s="174"/>
      <c r="J29" s="176"/>
      <c r="K29" s="72"/>
    </row>
    <row r="30" spans="1:15" s="3" customFormat="1" ht="13.9">
      <c r="A30" s="102">
        <v>44861</v>
      </c>
      <c r="B30" s="174" t="s">
        <v>245</v>
      </c>
      <c r="C30" s="174"/>
      <c r="D30" s="174"/>
      <c r="E30" s="174" t="s">
        <v>246</v>
      </c>
      <c r="F30" s="174"/>
      <c r="G30" s="174"/>
      <c r="H30" s="174"/>
      <c r="I30" s="174"/>
      <c r="J30" s="176"/>
      <c r="K30" s="72"/>
    </row>
    <row r="31" spans="1:15" ht="14.25" customHeight="1">
      <c r="A31" s="117"/>
      <c r="B31" s="174"/>
      <c r="C31" s="174"/>
      <c r="D31" s="174"/>
      <c r="E31" s="174"/>
      <c r="F31" s="174"/>
      <c r="G31" s="174"/>
      <c r="H31" s="174"/>
      <c r="I31" s="174"/>
      <c r="J31" s="176"/>
      <c r="K31" s="72"/>
      <c r="L31" s="92"/>
      <c r="M31" s="92"/>
      <c r="N31" s="92"/>
      <c r="O31" s="92"/>
    </row>
    <row r="32" spans="1:15" s="3" customFormat="1" ht="13.9">
      <c r="A32" s="117"/>
      <c r="B32" s="174"/>
      <c r="C32" s="174"/>
      <c r="D32" s="174"/>
      <c r="E32" s="174"/>
      <c r="F32" s="174"/>
      <c r="G32" s="174"/>
      <c r="H32" s="174"/>
      <c r="I32" s="174"/>
      <c r="J32" s="176"/>
      <c r="K32" s="72"/>
    </row>
    <row r="33" spans="1:11" s="3" customFormat="1" ht="13.9">
      <c r="A33" s="117"/>
      <c r="B33" s="174"/>
      <c r="C33" s="174"/>
      <c r="D33" s="174"/>
      <c r="E33" s="174"/>
      <c r="F33" s="174"/>
      <c r="G33" s="174"/>
      <c r="H33" s="174"/>
      <c r="I33" s="174"/>
      <c r="J33" s="176"/>
      <c r="K33" s="72"/>
    </row>
    <row r="34" spans="1:11" s="3" customFormat="1" ht="29.25" customHeight="1">
      <c r="A34" s="286"/>
      <c r="E34" s="187" t="s">
        <v>247</v>
      </c>
      <c r="F34" s="187"/>
      <c r="G34" s="187"/>
      <c r="H34" s="187"/>
      <c r="I34" s="187"/>
      <c r="J34" s="286"/>
    </row>
    <row r="67" spans="6:6">
      <c r="F67" s="3"/>
    </row>
  </sheetData>
  <mergeCells count="6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L26" sqref="L26"/>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Greatmoor Energy from Waste Facility</v>
      </c>
      <c r="F1" s="92"/>
      <c r="G1" s="92"/>
      <c r="H1" s="92"/>
      <c r="I1" s="92"/>
    </row>
    <row r="3" spans="1:9" ht="15.6">
      <c r="A3" s="1" t="s">
        <v>248</v>
      </c>
      <c r="B3" s="92"/>
      <c r="C3" s="92"/>
      <c r="D3" s="92"/>
      <c r="E3" s="92"/>
      <c r="F3" s="92"/>
      <c r="G3" s="92"/>
      <c r="H3" s="92"/>
      <c r="I3" s="92"/>
    </row>
    <row r="4" spans="1:9" ht="15.6">
      <c r="A4" s="1"/>
      <c r="B4" s="92"/>
      <c r="C4" s="92"/>
      <c r="D4" s="92"/>
      <c r="E4" s="92"/>
      <c r="F4" s="92"/>
      <c r="G4" s="92"/>
      <c r="H4" s="92"/>
      <c r="I4" s="92"/>
    </row>
    <row r="5" spans="1:9" s="3" customFormat="1" ht="13.9">
      <c r="A5" s="192" t="s">
        <v>249</v>
      </c>
      <c r="B5" s="193"/>
      <c r="C5" s="193"/>
      <c r="D5" s="193"/>
      <c r="E5" s="193"/>
      <c r="F5" s="193"/>
      <c r="G5" s="193"/>
      <c r="H5" s="193"/>
      <c r="I5" s="194"/>
    </row>
    <row r="6" spans="1:9" s="3" customFormat="1" ht="15.75" customHeight="1">
      <c r="A6" s="195" t="s">
        <v>250</v>
      </c>
      <c r="B6" s="142"/>
      <c r="C6" s="142"/>
      <c r="D6" s="142"/>
      <c r="E6" s="142"/>
      <c r="F6" s="142"/>
      <c r="G6" s="142"/>
      <c r="H6" s="142"/>
      <c r="I6" s="143"/>
    </row>
    <row r="7" spans="1:9" s="3" customFormat="1" ht="15.75" customHeight="1">
      <c r="A7" s="144"/>
      <c r="B7" s="145"/>
      <c r="C7" s="145"/>
      <c r="D7" s="145"/>
      <c r="E7" s="145"/>
      <c r="F7" s="145"/>
      <c r="G7" s="145"/>
      <c r="H7" s="145"/>
      <c r="I7" s="146"/>
    </row>
    <row r="8" spans="1:9" s="3" customFormat="1" ht="15.75" customHeight="1">
      <c r="A8" s="144"/>
      <c r="B8" s="145"/>
      <c r="C8" s="145"/>
      <c r="D8" s="145"/>
      <c r="E8" s="145"/>
      <c r="F8" s="145"/>
      <c r="G8" s="145"/>
      <c r="H8" s="145"/>
      <c r="I8" s="146"/>
    </row>
    <row r="9" spans="1:9" s="3" customFormat="1" ht="15.75" customHeight="1">
      <c r="A9" s="144"/>
      <c r="B9" s="145"/>
      <c r="C9" s="145"/>
      <c r="D9" s="145"/>
      <c r="E9" s="145"/>
      <c r="F9" s="145"/>
      <c r="G9" s="145"/>
      <c r="H9" s="145"/>
      <c r="I9" s="146"/>
    </row>
    <row r="10" spans="1:9" s="3" customFormat="1" ht="15.75" customHeight="1">
      <c r="A10" s="144"/>
      <c r="B10" s="145"/>
      <c r="C10" s="145"/>
      <c r="D10" s="145"/>
      <c r="E10" s="145"/>
      <c r="F10" s="145"/>
      <c r="G10" s="145"/>
      <c r="H10" s="145"/>
      <c r="I10" s="146"/>
    </row>
    <row r="11" spans="1:9" s="3" customFormat="1" ht="15.75" customHeight="1">
      <c r="A11" s="144"/>
      <c r="B11" s="145"/>
      <c r="C11" s="145"/>
      <c r="D11" s="145"/>
      <c r="E11" s="145"/>
      <c r="F11" s="145"/>
      <c r="G11" s="145"/>
      <c r="H11" s="145"/>
      <c r="I11" s="146"/>
    </row>
    <row r="12" spans="1:9" s="3" customFormat="1" ht="15.75" customHeight="1">
      <c r="A12" s="144"/>
      <c r="B12" s="145"/>
      <c r="C12" s="145"/>
      <c r="D12" s="145"/>
      <c r="E12" s="145"/>
      <c r="F12" s="145"/>
      <c r="G12" s="145"/>
      <c r="H12" s="145"/>
      <c r="I12" s="146"/>
    </row>
    <row r="13" spans="1:9" s="3" customFormat="1" ht="15.75" customHeight="1">
      <c r="A13" s="144"/>
      <c r="B13" s="145"/>
      <c r="C13" s="145"/>
      <c r="D13" s="145"/>
      <c r="E13" s="145"/>
      <c r="F13" s="145"/>
      <c r="G13" s="145"/>
      <c r="H13" s="145"/>
      <c r="I13" s="146"/>
    </row>
    <row r="14" spans="1:9" s="3" customFormat="1" ht="15.75" customHeight="1">
      <c r="A14" s="147"/>
      <c r="B14" s="148"/>
      <c r="C14" s="148"/>
      <c r="D14" s="148"/>
      <c r="E14" s="148"/>
      <c r="F14" s="148"/>
      <c r="G14" s="148"/>
      <c r="H14" s="148"/>
      <c r="I14" s="149"/>
    </row>
    <row r="15" spans="1:9" s="3" customFormat="1" ht="13.9"/>
    <row r="16" spans="1:9" s="47" customFormat="1" ht="33.75" customHeight="1">
      <c r="A16" s="188" t="s">
        <v>251</v>
      </c>
      <c r="B16" s="189"/>
      <c r="C16" s="189"/>
      <c r="D16" s="189"/>
      <c r="E16" s="189"/>
      <c r="F16" s="189"/>
      <c r="G16" s="189"/>
      <c r="H16" s="189"/>
      <c r="I16" s="190"/>
    </row>
    <row r="17" spans="1:9" ht="15.75" customHeight="1">
      <c r="A17" s="195" t="s">
        <v>252</v>
      </c>
      <c r="B17" s="142"/>
      <c r="C17" s="142"/>
      <c r="D17" s="142"/>
      <c r="E17" s="142"/>
      <c r="F17" s="142"/>
      <c r="G17" s="142"/>
      <c r="H17" s="142"/>
      <c r="I17" s="143"/>
    </row>
    <row r="18" spans="1:9" ht="15.75" customHeight="1">
      <c r="A18" s="144"/>
      <c r="B18" s="145"/>
      <c r="C18" s="145"/>
      <c r="D18" s="145"/>
      <c r="E18" s="145"/>
      <c r="F18" s="145"/>
      <c r="G18" s="145"/>
      <c r="H18" s="145"/>
      <c r="I18" s="146"/>
    </row>
    <row r="19" spans="1:9" ht="15.75" customHeight="1">
      <c r="A19" s="144"/>
      <c r="B19" s="145"/>
      <c r="C19" s="145"/>
      <c r="D19" s="145"/>
      <c r="E19" s="145"/>
      <c r="F19" s="145"/>
      <c r="G19" s="145"/>
      <c r="H19" s="145"/>
      <c r="I19" s="146"/>
    </row>
    <row r="20" spans="1:9" ht="15.75" customHeight="1">
      <c r="A20" s="144"/>
      <c r="B20" s="145"/>
      <c r="C20" s="145"/>
      <c r="D20" s="145"/>
      <c r="E20" s="145"/>
      <c r="F20" s="145"/>
      <c r="G20" s="145"/>
      <c r="H20" s="145"/>
      <c r="I20" s="146"/>
    </row>
    <row r="21" spans="1:9" ht="15.75" customHeight="1">
      <c r="A21" s="144"/>
      <c r="B21" s="145"/>
      <c r="C21" s="145"/>
      <c r="D21" s="145"/>
      <c r="E21" s="145"/>
      <c r="F21" s="145"/>
      <c r="G21" s="145"/>
      <c r="H21" s="145"/>
      <c r="I21" s="146"/>
    </row>
    <row r="22" spans="1:9" ht="15.75" customHeight="1">
      <c r="A22" s="144"/>
      <c r="B22" s="145"/>
      <c r="C22" s="145"/>
      <c r="D22" s="145"/>
      <c r="E22" s="145"/>
      <c r="F22" s="145"/>
      <c r="G22" s="145"/>
      <c r="H22" s="145"/>
      <c r="I22" s="146"/>
    </row>
    <row r="23" spans="1:9" ht="15.75" customHeight="1">
      <c r="A23" s="144"/>
      <c r="B23" s="145"/>
      <c r="C23" s="145"/>
      <c r="D23" s="145"/>
      <c r="E23" s="145"/>
      <c r="F23" s="145"/>
      <c r="G23" s="145"/>
      <c r="H23" s="145"/>
      <c r="I23" s="146"/>
    </row>
    <row r="24" spans="1:9" ht="15.75" customHeight="1">
      <c r="A24" s="144"/>
      <c r="B24" s="145"/>
      <c r="C24" s="145"/>
      <c r="D24" s="145"/>
      <c r="E24" s="145"/>
      <c r="F24" s="145"/>
      <c r="G24" s="145"/>
      <c r="H24" s="145"/>
      <c r="I24" s="146"/>
    </row>
    <row r="25" spans="1:9" ht="15.75" customHeight="1">
      <c r="A25" s="147"/>
      <c r="B25" s="148"/>
      <c r="C25" s="148"/>
      <c r="D25" s="148"/>
      <c r="E25" s="148"/>
      <c r="F25" s="148"/>
      <c r="G25" s="148"/>
      <c r="H25" s="148"/>
      <c r="I25" s="149"/>
    </row>
    <row r="26" spans="1:9" ht="15.6">
      <c r="A26" s="1"/>
      <c r="B26" s="92"/>
      <c r="C26" s="92"/>
      <c r="D26" s="92"/>
      <c r="E26" s="92"/>
      <c r="F26" s="92"/>
      <c r="G26" s="92"/>
      <c r="H26" s="92"/>
      <c r="I26" s="92"/>
    </row>
    <row r="27" spans="1:9" ht="36.75" customHeight="1">
      <c r="A27" s="188" t="s">
        <v>253</v>
      </c>
      <c r="B27" s="189"/>
      <c r="C27" s="189"/>
      <c r="D27" s="189"/>
      <c r="E27" s="189"/>
      <c r="F27" s="189"/>
      <c r="G27" s="189"/>
      <c r="H27" s="189"/>
      <c r="I27" s="190"/>
    </row>
    <row r="28" spans="1:9" ht="15.75" customHeight="1">
      <c r="A28" s="195" t="s">
        <v>252</v>
      </c>
      <c r="B28" s="142"/>
      <c r="C28" s="142"/>
      <c r="D28" s="142"/>
      <c r="E28" s="142"/>
      <c r="F28" s="142"/>
      <c r="G28" s="142"/>
      <c r="H28" s="142"/>
      <c r="I28" s="143"/>
    </row>
    <row r="29" spans="1:9" ht="15.75" customHeight="1">
      <c r="A29" s="144"/>
      <c r="B29" s="145"/>
      <c r="C29" s="145"/>
      <c r="D29" s="145"/>
      <c r="E29" s="145"/>
      <c r="F29" s="145"/>
      <c r="G29" s="145"/>
      <c r="H29" s="145"/>
      <c r="I29" s="146"/>
    </row>
    <row r="30" spans="1:9" ht="15.75" customHeight="1">
      <c r="A30" s="144"/>
      <c r="B30" s="145"/>
      <c r="C30" s="145"/>
      <c r="D30" s="145"/>
      <c r="E30" s="145"/>
      <c r="F30" s="145"/>
      <c r="G30" s="145"/>
      <c r="H30" s="145"/>
      <c r="I30" s="146"/>
    </row>
    <row r="31" spans="1:9" ht="15.75" customHeight="1">
      <c r="A31" s="144"/>
      <c r="B31" s="145"/>
      <c r="C31" s="145"/>
      <c r="D31" s="145"/>
      <c r="E31" s="145"/>
      <c r="F31" s="145"/>
      <c r="G31" s="145"/>
      <c r="H31" s="145"/>
      <c r="I31" s="146"/>
    </row>
    <row r="32" spans="1:9" ht="15.75" customHeight="1">
      <c r="A32" s="144"/>
      <c r="B32" s="145"/>
      <c r="C32" s="145"/>
      <c r="D32" s="145"/>
      <c r="E32" s="145"/>
      <c r="F32" s="145"/>
      <c r="G32" s="145"/>
      <c r="H32" s="145"/>
      <c r="I32" s="146"/>
    </row>
    <row r="33" spans="1:9" ht="15.75" customHeight="1">
      <c r="A33" s="144"/>
      <c r="B33" s="145"/>
      <c r="C33" s="145"/>
      <c r="D33" s="145"/>
      <c r="E33" s="145"/>
      <c r="F33" s="145"/>
      <c r="G33" s="145"/>
      <c r="H33" s="145"/>
      <c r="I33" s="146"/>
    </row>
    <row r="34" spans="1:9" ht="15.75" customHeight="1">
      <c r="A34" s="144"/>
      <c r="B34" s="145"/>
      <c r="C34" s="145"/>
      <c r="D34" s="145"/>
      <c r="E34" s="145"/>
      <c r="F34" s="145"/>
      <c r="G34" s="145"/>
      <c r="H34" s="145"/>
      <c r="I34" s="146"/>
    </row>
    <row r="35" spans="1:9" ht="15.75" customHeight="1">
      <c r="A35" s="144"/>
      <c r="B35" s="145"/>
      <c r="C35" s="145"/>
      <c r="D35" s="145"/>
      <c r="E35" s="145"/>
      <c r="F35" s="145"/>
      <c r="G35" s="145"/>
      <c r="H35" s="145"/>
      <c r="I35" s="146"/>
    </row>
    <row r="36" spans="1:9" ht="15.75" customHeight="1">
      <c r="A36" s="147"/>
      <c r="B36" s="148"/>
      <c r="C36" s="148"/>
      <c r="D36" s="148"/>
      <c r="E36" s="148"/>
      <c r="F36" s="148"/>
      <c r="G36" s="148"/>
      <c r="H36" s="148"/>
      <c r="I36" s="149"/>
    </row>
    <row r="38" spans="1:9" ht="33" customHeight="1">
      <c r="A38" s="188" t="s">
        <v>254</v>
      </c>
      <c r="B38" s="189"/>
      <c r="C38" s="189"/>
      <c r="D38" s="189"/>
      <c r="E38" s="189"/>
      <c r="F38" s="189"/>
      <c r="G38" s="189"/>
      <c r="H38" s="189"/>
      <c r="I38" s="190"/>
    </row>
    <row r="39" spans="1:9" ht="15.75" customHeight="1">
      <c r="A39" s="191" t="s">
        <v>255</v>
      </c>
      <c r="B39" s="374"/>
      <c r="C39" s="374"/>
      <c r="D39" s="374"/>
      <c r="E39" s="374"/>
      <c r="F39" s="374"/>
      <c r="G39" s="374"/>
      <c r="H39" s="374"/>
      <c r="I39" s="375"/>
    </row>
    <row r="40" spans="1:9" ht="15.75" customHeight="1">
      <c r="A40" s="376"/>
      <c r="B40" s="377"/>
      <c r="C40" s="377"/>
      <c r="D40" s="377"/>
      <c r="E40" s="377"/>
      <c r="F40" s="377"/>
      <c r="G40" s="377"/>
      <c r="H40" s="377"/>
      <c r="I40" s="378"/>
    </row>
    <row r="41" spans="1:9" ht="15.75" customHeight="1">
      <c r="A41" s="376"/>
      <c r="B41" s="377"/>
      <c r="C41" s="377"/>
      <c r="D41" s="377"/>
      <c r="E41" s="377"/>
      <c r="F41" s="377"/>
      <c r="G41" s="377"/>
      <c r="H41" s="377"/>
      <c r="I41" s="378"/>
    </row>
    <row r="42" spans="1:9" ht="15.75" customHeight="1">
      <c r="A42" s="376"/>
      <c r="B42" s="377"/>
      <c r="C42" s="377"/>
      <c r="D42" s="377"/>
      <c r="E42" s="377"/>
      <c r="F42" s="377"/>
      <c r="G42" s="377"/>
      <c r="H42" s="377"/>
      <c r="I42" s="378"/>
    </row>
    <row r="43" spans="1:9" ht="15.75" customHeight="1">
      <c r="A43" s="376"/>
      <c r="B43" s="377"/>
      <c r="C43" s="377"/>
      <c r="D43" s="377"/>
      <c r="E43" s="377"/>
      <c r="F43" s="377"/>
      <c r="G43" s="377"/>
      <c r="H43" s="377"/>
      <c r="I43" s="378"/>
    </row>
    <row r="44" spans="1:9" ht="15.75" customHeight="1">
      <c r="A44" s="376"/>
      <c r="B44" s="377"/>
      <c r="C44" s="377"/>
      <c r="D44" s="377"/>
      <c r="E44" s="377"/>
      <c r="F44" s="377"/>
      <c r="G44" s="377"/>
      <c r="H44" s="377"/>
      <c r="I44" s="378"/>
    </row>
    <row r="45" spans="1:9" ht="15.75" customHeight="1">
      <c r="A45" s="376"/>
      <c r="B45" s="377"/>
      <c r="C45" s="377"/>
      <c r="D45" s="377"/>
      <c r="E45" s="377"/>
      <c r="F45" s="377"/>
      <c r="G45" s="377"/>
      <c r="H45" s="377"/>
      <c r="I45" s="378"/>
    </row>
    <row r="46" spans="1:9" ht="15.75" customHeight="1">
      <c r="A46" s="376"/>
      <c r="B46" s="377"/>
      <c r="C46" s="377"/>
      <c r="D46" s="377"/>
      <c r="E46" s="377"/>
      <c r="F46" s="377"/>
      <c r="G46" s="377"/>
      <c r="H46" s="377"/>
      <c r="I46" s="378"/>
    </row>
    <row r="47" spans="1:9" ht="15.75" customHeight="1">
      <c r="A47" s="376"/>
      <c r="B47" s="377"/>
      <c r="C47" s="377"/>
      <c r="D47" s="377"/>
      <c r="E47" s="377"/>
      <c r="F47" s="377"/>
      <c r="G47" s="377"/>
      <c r="H47" s="377"/>
      <c r="I47" s="378"/>
    </row>
    <row r="48" spans="1:9" ht="15.75" customHeight="1">
      <c r="A48" s="379"/>
      <c r="B48" s="380"/>
      <c r="C48" s="380"/>
      <c r="D48" s="380"/>
      <c r="E48" s="380"/>
      <c r="F48" s="380"/>
      <c r="G48" s="380"/>
      <c r="H48" s="380"/>
      <c r="I48" s="381"/>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C20" sqref="C20:I21"/>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Greatmoor Energy from Waste Facility</v>
      </c>
      <c r="F1" s="92"/>
      <c r="G1" s="92"/>
      <c r="H1" s="92"/>
      <c r="I1" s="92"/>
    </row>
    <row r="3" spans="1:9" ht="15.6">
      <c r="A3" s="1" t="s">
        <v>256</v>
      </c>
      <c r="B3" s="92"/>
      <c r="C3" s="92"/>
      <c r="D3" s="92"/>
      <c r="E3" s="92"/>
      <c r="F3" s="92"/>
      <c r="G3" s="92"/>
      <c r="H3" s="92"/>
      <c r="I3" s="92"/>
    </row>
    <row r="4" spans="1:9" ht="15.6">
      <c r="A4" s="1"/>
      <c r="B4" s="92"/>
      <c r="C4" s="92"/>
      <c r="D4" s="92"/>
      <c r="E4" s="92"/>
      <c r="F4" s="92"/>
      <c r="G4" s="92"/>
      <c r="H4" s="92"/>
      <c r="I4" s="92"/>
    </row>
    <row r="5" spans="1:9" s="3" customFormat="1" ht="28.5" customHeight="1">
      <c r="A5" s="48" t="s">
        <v>257</v>
      </c>
      <c r="B5" s="49"/>
      <c r="C5" s="49"/>
      <c r="D5" s="49"/>
      <c r="E5" s="49"/>
      <c r="F5" s="49"/>
      <c r="G5" s="49"/>
      <c r="H5" s="49"/>
      <c r="I5" s="50"/>
    </row>
    <row r="6" spans="1:9" s="3" customFormat="1" ht="15.75" customHeight="1">
      <c r="A6" s="192" t="s">
        <v>54</v>
      </c>
      <c r="B6" s="194"/>
      <c r="C6" s="192" t="s">
        <v>258</v>
      </c>
      <c r="D6" s="193"/>
      <c r="E6" s="193"/>
      <c r="F6" s="193"/>
      <c r="G6" s="193"/>
      <c r="H6" s="193"/>
      <c r="I6" s="194"/>
    </row>
    <row r="7" spans="1:9" s="3" customFormat="1" ht="15.75" customHeight="1">
      <c r="A7" s="195" t="s">
        <v>259</v>
      </c>
      <c r="B7" s="143"/>
      <c r="C7" s="133" t="s">
        <v>260</v>
      </c>
      <c r="D7" s="142"/>
      <c r="E7" s="142"/>
      <c r="F7" s="142"/>
      <c r="G7" s="142"/>
      <c r="H7" s="142"/>
      <c r="I7" s="143"/>
    </row>
    <row r="8" spans="1:9" s="3" customFormat="1" ht="15.75" customHeight="1">
      <c r="A8" s="147"/>
      <c r="B8" s="149"/>
      <c r="C8" s="147"/>
      <c r="D8" s="148"/>
      <c r="E8" s="148"/>
      <c r="F8" s="148"/>
      <c r="G8" s="148"/>
      <c r="H8" s="148"/>
      <c r="I8" s="149"/>
    </row>
    <row r="9" spans="1:9" s="3" customFormat="1" ht="15.75" customHeight="1">
      <c r="A9" s="195" t="s">
        <v>259</v>
      </c>
      <c r="B9" s="143"/>
      <c r="C9" s="133" t="s">
        <v>261</v>
      </c>
      <c r="D9" s="142"/>
      <c r="E9" s="142"/>
      <c r="F9" s="142"/>
      <c r="G9" s="142"/>
      <c r="H9" s="142"/>
      <c r="I9" s="143"/>
    </row>
    <row r="10" spans="1:9" s="3" customFormat="1" ht="15.75" customHeight="1">
      <c r="A10" s="147"/>
      <c r="B10" s="149"/>
      <c r="C10" s="147"/>
      <c r="D10" s="148"/>
      <c r="E10" s="148"/>
      <c r="F10" s="148"/>
      <c r="G10" s="148"/>
      <c r="H10" s="148"/>
      <c r="I10" s="149"/>
    </row>
    <row r="11" spans="1:9" s="3" customFormat="1" ht="15.75" customHeight="1">
      <c r="A11" s="382">
        <v>44197</v>
      </c>
      <c r="B11" s="143"/>
      <c r="C11" s="195" t="s">
        <v>262</v>
      </c>
      <c r="D11" s="142"/>
      <c r="E11" s="142"/>
      <c r="F11" s="142"/>
      <c r="G11" s="142"/>
      <c r="H11" s="142"/>
      <c r="I11" s="143"/>
    </row>
    <row r="12" spans="1:9" s="3" customFormat="1" ht="15.75" customHeight="1">
      <c r="A12" s="147"/>
      <c r="B12" s="149"/>
      <c r="C12" s="147"/>
      <c r="D12" s="148"/>
      <c r="E12" s="148"/>
      <c r="F12" s="148"/>
      <c r="G12" s="148"/>
      <c r="H12" s="148"/>
      <c r="I12" s="149"/>
    </row>
    <row r="13" spans="1:9" s="3" customFormat="1" ht="15.75" customHeight="1">
      <c r="A13" s="195" t="s">
        <v>263</v>
      </c>
      <c r="B13" s="143"/>
      <c r="C13" s="195" t="s">
        <v>264</v>
      </c>
      <c r="D13" s="142"/>
      <c r="E13" s="142"/>
      <c r="F13" s="142"/>
      <c r="G13" s="142"/>
      <c r="H13" s="142"/>
      <c r="I13" s="143"/>
    </row>
    <row r="14" spans="1:9" s="3" customFormat="1" ht="15.75" customHeight="1">
      <c r="A14" s="147"/>
      <c r="B14" s="149"/>
      <c r="C14" s="147"/>
      <c r="D14" s="148"/>
      <c r="E14" s="148"/>
      <c r="F14" s="148"/>
      <c r="G14" s="148"/>
      <c r="H14" s="148"/>
      <c r="I14" s="149"/>
    </row>
    <row r="15" spans="1:9" s="3" customFormat="1" ht="13.9"/>
    <row r="16" spans="1:9" s="47" customFormat="1" ht="33.75" customHeight="1">
      <c r="A16" s="188" t="s">
        <v>265</v>
      </c>
      <c r="B16" s="189"/>
      <c r="C16" s="189"/>
      <c r="D16" s="189"/>
      <c r="E16" s="189"/>
      <c r="F16" s="189"/>
      <c r="G16" s="189"/>
      <c r="H16" s="189"/>
      <c r="I16" s="190"/>
    </row>
    <row r="17" spans="1:9" ht="15.75" customHeight="1">
      <c r="A17" s="192" t="s">
        <v>54</v>
      </c>
      <c r="B17" s="194"/>
      <c r="C17" s="192" t="s">
        <v>258</v>
      </c>
      <c r="D17" s="193"/>
      <c r="E17" s="193"/>
      <c r="F17" s="193"/>
      <c r="G17" s="193"/>
      <c r="H17" s="193"/>
      <c r="I17" s="193"/>
    </row>
    <row r="18" spans="1:9" ht="15.75" customHeight="1">
      <c r="A18" s="195"/>
      <c r="B18" s="143"/>
      <c r="C18" s="133" t="s">
        <v>266</v>
      </c>
      <c r="D18" s="134"/>
      <c r="E18" s="134"/>
      <c r="F18" s="134"/>
      <c r="G18" s="134"/>
      <c r="H18" s="134"/>
      <c r="I18" s="135"/>
    </row>
    <row r="19" spans="1:9" ht="15.75" customHeight="1">
      <c r="A19" s="147"/>
      <c r="B19" s="149"/>
      <c r="C19" s="139"/>
      <c r="D19" s="140"/>
      <c r="E19" s="140"/>
      <c r="F19" s="140"/>
      <c r="G19" s="140"/>
      <c r="H19" s="140"/>
      <c r="I19" s="141"/>
    </row>
    <row r="20" spans="1:9" ht="15.75" customHeight="1">
      <c r="A20" s="195"/>
      <c r="B20" s="143"/>
      <c r="C20" s="195"/>
      <c r="D20" s="142"/>
      <c r="E20" s="142"/>
      <c r="F20" s="142"/>
      <c r="G20" s="142"/>
      <c r="H20" s="142"/>
      <c r="I20" s="143"/>
    </row>
    <row r="21" spans="1:9" ht="15.75" customHeight="1">
      <c r="A21" s="147"/>
      <c r="B21" s="149"/>
      <c r="C21" s="147"/>
      <c r="D21" s="148"/>
      <c r="E21" s="148"/>
      <c r="F21" s="148"/>
      <c r="G21" s="148"/>
      <c r="H21" s="148"/>
      <c r="I21" s="149"/>
    </row>
    <row r="22" spans="1:9" ht="15.75" customHeight="1">
      <c r="A22" s="195"/>
      <c r="B22" s="143"/>
      <c r="C22" s="195"/>
      <c r="D22" s="142"/>
      <c r="E22" s="142"/>
      <c r="F22" s="142"/>
      <c r="G22" s="142"/>
      <c r="H22" s="142"/>
      <c r="I22" s="143"/>
    </row>
    <row r="23" spans="1:9" ht="15.75" customHeight="1">
      <c r="A23" s="147"/>
      <c r="B23" s="149"/>
      <c r="C23" s="147"/>
      <c r="D23" s="148"/>
      <c r="E23" s="148"/>
      <c r="F23" s="148"/>
      <c r="G23" s="148"/>
      <c r="H23" s="148"/>
      <c r="I23" s="149"/>
    </row>
    <row r="24" spans="1:9" ht="15.75" customHeight="1">
      <c r="A24" s="195"/>
      <c r="B24" s="143"/>
      <c r="C24" s="195"/>
      <c r="D24" s="142"/>
      <c r="E24" s="142"/>
      <c r="F24" s="142"/>
      <c r="G24" s="142"/>
      <c r="H24" s="142"/>
      <c r="I24" s="143"/>
    </row>
    <row r="25" spans="1:9" ht="15.75" customHeight="1">
      <c r="A25" s="147"/>
      <c r="B25" s="149"/>
      <c r="C25" s="147"/>
      <c r="D25" s="148"/>
      <c r="E25" s="148"/>
      <c r="F25" s="148"/>
      <c r="G25" s="148"/>
      <c r="H25" s="148"/>
      <c r="I25" s="149"/>
    </row>
    <row r="26" spans="1:9" ht="15.75" customHeight="1">
      <c r="A26" s="195"/>
      <c r="B26" s="143"/>
      <c r="C26" s="195"/>
      <c r="D26" s="142"/>
      <c r="E26" s="142"/>
      <c r="F26" s="142"/>
      <c r="G26" s="142"/>
      <c r="H26" s="142"/>
      <c r="I26" s="143"/>
    </row>
    <row r="27" spans="1:9" ht="15.75" customHeight="1">
      <c r="A27" s="147"/>
      <c r="B27" s="149"/>
      <c r="C27" s="147"/>
      <c r="D27" s="148"/>
      <c r="E27" s="148"/>
      <c r="F27" s="148"/>
      <c r="G27" s="148"/>
      <c r="H27" s="148"/>
      <c r="I27" s="149"/>
    </row>
    <row r="28" spans="1:9" ht="15.6">
      <c r="A28" s="1"/>
      <c r="B28" s="92"/>
      <c r="C28" s="92"/>
      <c r="D28" s="92"/>
      <c r="E28" s="92"/>
      <c r="F28" s="92"/>
      <c r="G28" s="92"/>
      <c r="H28" s="92"/>
      <c r="I28" s="92"/>
    </row>
    <row r="29" spans="1:9" ht="36.75" customHeight="1">
      <c r="A29" s="188" t="s">
        <v>267</v>
      </c>
      <c r="B29" s="189"/>
      <c r="C29" s="189"/>
      <c r="D29" s="189"/>
      <c r="E29" s="189"/>
      <c r="F29" s="189"/>
      <c r="G29" s="189"/>
      <c r="H29" s="189"/>
      <c r="I29" s="190"/>
    </row>
    <row r="66" spans="6:6">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pageSetUpPr fitToPage="1"/>
  </sheetPr>
  <dimension ref="A1:O24"/>
  <sheetViews>
    <sheetView zoomScale="85" zoomScaleNormal="85" workbookViewId="0">
      <selection activeCell="E14" sqref="E14"/>
    </sheetView>
  </sheetViews>
  <sheetFormatPr defaultColWidth="8.85546875" defaultRowHeight="15"/>
  <cols>
    <col min="1" max="1" width="36.7109375" style="92" customWidth="1"/>
    <col min="2" max="2" width="17.7109375" style="92" customWidth="1"/>
    <col min="3" max="3" width="37.28515625" style="92" customWidth="1"/>
    <col min="4" max="14" width="8.85546875" style="92"/>
    <col min="15" max="15" width="9" style="92" customWidth="1"/>
    <col min="16" max="16384" width="8.85546875" style="92"/>
  </cols>
  <sheetData>
    <row r="1" spans="1:15">
      <c r="A1" s="92" t="str">
        <f>+'Cover Page'!$B$29</f>
        <v>Annual Performance Report 2022</v>
      </c>
      <c r="C1" s="92" t="str">
        <f>+'Cover Page'!$B$33</f>
        <v>Greatmoor Energy from Waste Facility</v>
      </c>
    </row>
    <row r="2" spans="1:15" ht="10.15" customHeight="1"/>
    <row r="3" spans="1:15" ht="15.6">
      <c r="A3" s="1" t="s">
        <v>268</v>
      </c>
      <c r="E3" s="81" t="s">
        <v>3</v>
      </c>
    </row>
    <row r="4" spans="1:15" ht="9.4" customHeight="1"/>
    <row r="5" spans="1:15">
      <c r="A5" s="196" t="s">
        <v>269</v>
      </c>
      <c r="B5" s="197"/>
      <c r="C5" s="197"/>
    </row>
    <row r="6" spans="1:15" ht="30">
      <c r="A6" s="93" t="s">
        <v>270</v>
      </c>
      <c r="B6" s="97" t="s">
        <v>271</v>
      </c>
      <c r="C6" s="112">
        <v>282279.46999999997</v>
      </c>
    </row>
    <row r="7" spans="1:15" ht="30">
      <c r="A7" s="93" t="s">
        <v>272</v>
      </c>
      <c r="B7" s="97" t="s">
        <v>271</v>
      </c>
      <c r="C7" s="113">
        <f>C6/'Operational Data'!G21</f>
        <v>0.94900392054870986</v>
      </c>
    </row>
    <row r="8" spans="1:15" ht="45">
      <c r="A8" s="93" t="s">
        <v>273</v>
      </c>
      <c r="B8" s="97" t="s">
        <v>271</v>
      </c>
      <c r="C8" s="113">
        <f>C6/'Operational Data'!G25</f>
        <v>1.4021262807129835</v>
      </c>
    </row>
    <row r="9" spans="1:15" ht="89.45" customHeight="1">
      <c r="A9" s="93" t="s">
        <v>274</v>
      </c>
      <c r="B9" s="198" t="s">
        <v>275</v>
      </c>
      <c r="C9" s="199"/>
      <c r="E9" s="205" t="s">
        <v>276</v>
      </c>
      <c r="F9" s="204"/>
      <c r="G9" s="204"/>
      <c r="H9" s="204"/>
      <c r="I9" s="204"/>
      <c r="J9" s="204"/>
      <c r="K9" s="204"/>
      <c r="L9" s="204"/>
      <c r="M9" s="204"/>
      <c r="N9" s="204"/>
      <c r="O9" s="204"/>
    </row>
    <row r="10" spans="1:15" ht="8.65" customHeight="1">
      <c r="A10" s="94"/>
      <c r="B10" s="95"/>
      <c r="C10" s="95"/>
    </row>
    <row r="11" spans="1:15">
      <c r="A11" s="200" t="s">
        <v>277</v>
      </c>
      <c r="B11" s="197"/>
      <c r="C11" s="197"/>
    </row>
    <row r="12" spans="1:15" ht="33.4" customHeight="1">
      <c r="A12" s="93" t="s">
        <v>278</v>
      </c>
      <c r="B12" s="97" t="s">
        <v>271</v>
      </c>
      <c r="C12" s="96">
        <v>0.433</v>
      </c>
    </row>
    <row r="13" spans="1:15" ht="101.45" customHeight="1">
      <c r="A13" s="93" t="s">
        <v>279</v>
      </c>
      <c r="B13" s="201" t="s">
        <v>280</v>
      </c>
      <c r="C13" s="202"/>
      <c r="E13" s="203" t="s">
        <v>281</v>
      </c>
      <c r="F13" s="204"/>
      <c r="G13" s="204"/>
      <c r="H13" s="204"/>
      <c r="I13" s="204"/>
      <c r="J13" s="204"/>
      <c r="K13" s="204"/>
      <c r="L13" s="204"/>
      <c r="M13" s="204"/>
      <c r="N13" s="204"/>
      <c r="O13" s="204"/>
    </row>
    <row r="14" spans="1:15" ht="58.9" customHeight="1">
      <c r="A14" s="93" t="s">
        <v>282</v>
      </c>
      <c r="B14" s="98" t="s">
        <v>283</v>
      </c>
      <c r="C14" s="114">
        <f>SUM(C6+(C12*298))</f>
        <v>282408.50399999996</v>
      </c>
    </row>
    <row r="15" spans="1:15" ht="6.4" customHeight="1">
      <c r="A15" s="94"/>
      <c r="B15" s="95"/>
      <c r="C15" s="95"/>
    </row>
    <row r="16" spans="1:15" ht="39" customHeight="1">
      <c r="A16" s="196" t="s">
        <v>284</v>
      </c>
      <c r="B16" s="197"/>
      <c r="C16" s="197"/>
    </row>
    <row r="17" spans="1:15" ht="49.15" customHeight="1">
      <c r="A17" s="93" t="s">
        <v>285</v>
      </c>
      <c r="B17" s="97" t="s">
        <v>132</v>
      </c>
      <c r="C17" s="96">
        <v>62.94</v>
      </c>
    </row>
    <row r="18" spans="1:15" ht="103.15" customHeight="1">
      <c r="A18" s="93" t="s">
        <v>286</v>
      </c>
      <c r="B18" s="201" t="s">
        <v>287</v>
      </c>
      <c r="C18" s="202"/>
      <c r="E18" s="203" t="s">
        <v>288</v>
      </c>
      <c r="F18" s="204"/>
      <c r="G18" s="204"/>
      <c r="H18" s="204"/>
      <c r="I18" s="204"/>
      <c r="J18" s="204"/>
      <c r="K18" s="204"/>
      <c r="L18" s="204"/>
      <c r="M18" s="204"/>
      <c r="N18" s="204"/>
      <c r="O18" s="204"/>
    </row>
    <row r="19" spans="1:15" ht="45">
      <c r="A19" s="93" t="s">
        <v>289</v>
      </c>
      <c r="B19" s="97" t="s">
        <v>132</v>
      </c>
      <c r="C19" s="96">
        <v>62.94</v>
      </c>
    </row>
    <row r="20" spans="1:15" ht="92.45" customHeight="1">
      <c r="A20" s="93" t="s">
        <v>290</v>
      </c>
      <c r="B20" s="201" t="s">
        <v>291</v>
      </c>
      <c r="C20" s="202"/>
      <c r="E20" s="203" t="s">
        <v>292</v>
      </c>
      <c r="F20" s="204"/>
      <c r="G20" s="204"/>
      <c r="H20" s="204"/>
      <c r="I20" s="204"/>
      <c r="J20" s="204"/>
      <c r="K20" s="204"/>
      <c r="L20" s="204"/>
      <c r="M20" s="204"/>
      <c r="N20" s="204"/>
      <c r="O20" s="204"/>
    </row>
    <row r="21" spans="1:15" ht="10.15" customHeight="1"/>
    <row r="22" spans="1:15">
      <c r="A22" s="92" t="s">
        <v>293</v>
      </c>
    </row>
    <row r="23" spans="1:15">
      <c r="A23" s="372"/>
      <c r="B23" s="372"/>
      <c r="C23" s="372"/>
    </row>
    <row r="24" spans="1:15" ht="64.900000000000006" customHeight="1">
      <c r="A24" s="372"/>
      <c r="B24" s="372"/>
      <c r="C24" s="372"/>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scale="81"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topLeftCell="A13" workbookViewId="0">
      <selection activeCell="J26" sqref="J26"/>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2" t="str">
        <f>+'Cover Page'!$B$29</f>
        <v>Annual Performance Report 2022</v>
      </c>
      <c r="B1" s="92"/>
      <c r="C1" s="92"/>
      <c r="D1" s="92"/>
      <c r="E1" s="92" t="str">
        <f>+'Cover Page'!$B$33</f>
        <v>Greatmoor Energy from Waste Facility</v>
      </c>
      <c r="F1" s="92"/>
      <c r="G1" s="92"/>
    </row>
    <row r="3" spans="1:7" ht="15.6">
      <c r="A3" s="1" t="s">
        <v>294</v>
      </c>
      <c r="B3" s="92"/>
      <c r="C3" s="92"/>
      <c r="D3" s="92"/>
      <c r="E3" s="92"/>
      <c r="F3" s="92"/>
      <c r="G3" s="92"/>
    </row>
    <row r="4" spans="1:7" ht="15.6">
      <c r="A4" s="1"/>
      <c r="B4" s="92"/>
      <c r="C4" s="92"/>
      <c r="D4" s="92"/>
      <c r="E4" s="92"/>
      <c r="F4" s="92"/>
      <c r="G4" s="92"/>
    </row>
    <row r="5" spans="1:7" s="3" customFormat="1" ht="21.75" customHeight="1">
      <c r="A5" s="48" t="s">
        <v>295</v>
      </c>
      <c r="B5" s="49"/>
      <c r="C5" s="49"/>
      <c r="D5" s="49"/>
      <c r="E5" s="49"/>
      <c r="F5" s="49"/>
      <c r="G5" s="50"/>
    </row>
    <row r="6" spans="1:7" s="3" customFormat="1" ht="15.75" customHeight="1">
      <c r="A6" s="195" t="s">
        <v>296</v>
      </c>
      <c r="B6" s="142"/>
      <c r="C6" s="142"/>
      <c r="D6" s="142"/>
      <c r="E6" s="142"/>
      <c r="F6" s="142"/>
      <c r="G6" s="143"/>
    </row>
    <row r="7" spans="1:7" s="3" customFormat="1" ht="15.75" customHeight="1">
      <c r="A7" s="147"/>
      <c r="B7" s="148"/>
      <c r="C7" s="148"/>
      <c r="D7" s="148"/>
      <c r="E7" s="148"/>
      <c r="F7" s="148"/>
      <c r="G7" s="149"/>
    </row>
    <row r="8" spans="1:7" s="3" customFormat="1" ht="15.75" customHeight="1">
      <c r="A8" s="133"/>
      <c r="B8" s="134"/>
      <c r="C8" s="134"/>
      <c r="D8" s="134"/>
      <c r="E8" s="134"/>
      <c r="F8" s="134"/>
      <c r="G8" s="135"/>
    </row>
    <row r="9" spans="1:7" s="3" customFormat="1" ht="15.75" customHeight="1">
      <c r="A9" s="139"/>
      <c r="B9" s="140"/>
      <c r="C9" s="140"/>
      <c r="D9" s="140"/>
      <c r="E9" s="140"/>
      <c r="F9" s="140"/>
      <c r="G9" s="141"/>
    </row>
    <row r="10" spans="1:7" s="3" customFormat="1" ht="15.75" customHeight="1">
      <c r="A10" s="133"/>
      <c r="B10" s="134"/>
      <c r="C10" s="134"/>
      <c r="D10" s="134"/>
      <c r="E10" s="134"/>
      <c r="F10" s="134"/>
      <c r="G10" s="135"/>
    </row>
    <row r="11" spans="1:7" s="3" customFormat="1" ht="15.75" customHeight="1">
      <c r="A11" s="139"/>
      <c r="B11" s="140"/>
      <c r="C11" s="140"/>
      <c r="D11" s="140"/>
      <c r="E11" s="140"/>
      <c r="F11" s="140"/>
      <c r="G11" s="141"/>
    </row>
    <row r="12" spans="1:7" s="3" customFormat="1" ht="13.9"/>
    <row r="13" spans="1:7" s="47" customFormat="1" ht="33.75" customHeight="1">
      <c r="A13" s="188" t="s">
        <v>297</v>
      </c>
      <c r="B13" s="189"/>
      <c r="C13" s="189"/>
      <c r="D13" s="189"/>
      <c r="E13" s="189"/>
      <c r="F13" s="189"/>
      <c r="G13" s="190"/>
    </row>
    <row r="14" spans="1:7" ht="15.75" customHeight="1">
      <c r="A14" s="192" t="s">
        <v>298</v>
      </c>
      <c r="B14" s="194"/>
      <c r="C14" s="192" t="s">
        <v>258</v>
      </c>
      <c r="D14" s="193"/>
      <c r="E14" s="193"/>
      <c r="F14" s="193"/>
      <c r="G14" s="193"/>
    </row>
    <row r="15" spans="1:7" ht="15.75" customHeight="1">
      <c r="A15" s="133"/>
      <c r="B15" s="135"/>
      <c r="C15" s="195"/>
      <c r="D15" s="142"/>
      <c r="E15" s="142"/>
      <c r="F15" s="142"/>
      <c r="G15" s="143"/>
    </row>
    <row r="16" spans="1:7" ht="15.75" customHeight="1">
      <c r="A16" s="139"/>
      <c r="B16" s="141"/>
      <c r="C16" s="147"/>
      <c r="D16" s="148"/>
      <c r="E16" s="148"/>
      <c r="F16" s="148"/>
      <c r="G16" s="149"/>
    </row>
    <row r="17" spans="1:11" ht="15.75" customHeight="1">
      <c r="A17" s="195"/>
      <c r="B17" s="143"/>
      <c r="C17" s="195"/>
      <c r="D17" s="142"/>
      <c r="E17" s="142"/>
      <c r="F17" s="142"/>
      <c r="G17" s="143"/>
      <c r="H17" s="92"/>
      <c r="I17" s="92"/>
      <c r="J17" s="92"/>
      <c r="K17" s="92"/>
    </row>
    <row r="18" spans="1:11" ht="15.75" customHeight="1">
      <c r="A18" s="147"/>
      <c r="B18" s="149"/>
      <c r="C18" s="147"/>
      <c r="D18" s="148"/>
      <c r="E18" s="148"/>
      <c r="F18" s="148"/>
      <c r="G18" s="149"/>
      <c r="H18" s="92"/>
      <c r="I18" s="92"/>
      <c r="J18" s="92"/>
      <c r="K18" s="92"/>
    </row>
    <row r="19" spans="1:11" ht="15.75" customHeight="1">
      <c r="A19" s="195"/>
      <c r="B19" s="143"/>
      <c r="C19" s="195"/>
      <c r="D19" s="142"/>
      <c r="E19" s="142"/>
      <c r="F19" s="142"/>
      <c r="G19" s="143"/>
      <c r="H19" s="92"/>
      <c r="I19" s="92"/>
      <c r="J19" s="92"/>
      <c r="K19" s="92"/>
    </row>
    <row r="20" spans="1:11" ht="15.75" customHeight="1">
      <c r="A20" s="147"/>
      <c r="B20" s="149"/>
      <c r="C20" s="147"/>
      <c r="D20" s="148"/>
      <c r="E20" s="148"/>
      <c r="F20" s="148"/>
      <c r="G20" s="149"/>
      <c r="H20" s="92"/>
      <c r="I20" s="92"/>
      <c r="J20" s="92"/>
      <c r="K20" s="92"/>
    </row>
    <row r="21" spans="1:11" ht="15.75" customHeight="1">
      <c r="A21" s="195"/>
      <c r="B21" s="143"/>
      <c r="C21" s="195"/>
      <c r="D21" s="142"/>
      <c r="E21" s="142"/>
      <c r="F21" s="142"/>
      <c r="G21" s="143"/>
      <c r="H21" s="92"/>
      <c r="I21" s="92"/>
      <c r="J21" s="92"/>
      <c r="K21" s="92"/>
    </row>
    <row r="22" spans="1:11" ht="15.75" customHeight="1">
      <c r="A22" s="147"/>
      <c r="B22" s="149"/>
      <c r="C22" s="147"/>
      <c r="D22" s="148"/>
      <c r="E22" s="148"/>
      <c r="F22" s="148"/>
      <c r="G22" s="149"/>
      <c r="H22" s="92"/>
      <c r="I22" s="92"/>
      <c r="J22" s="92"/>
      <c r="K22" s="92"/>
    </row>
    <row r="23" spans="1:11" ht="15.75" customHeight="1">
      <c r="A23" s="195"/>
      <c r="B23" s="143"/>
      <c r="C23" s="195"/>
      <c r="D23" s="142"/>
      <c r="E23" s="142"/>
      <c r="F23" s="142"/>
      <c r="G23" s="143"/>
      <c r="H23" s="92"/>
      <c r="I23" s="92"/>
      <c r="J23" s="92"/>
      <c r="K23" s="92"/>
    </row>
    <row r="24" spans="1:11" ht="15.75" customHeight="1">
      <c r="A24" s="147"/>
      <c r="B24" s="149"/>
      <c r="C24" s="147"/>
      <c r="D24" s="148"/>
      <c r="E24" s="148"/>
      <c r="F24" s="148"/>
      <c r="G24" s="149"/>
      <c r="H24" s="92"/>
      <c r="I24" s="92"/>
      <c r="J24" s="92"/>
      <c r="K24" s="92"/>
    </row>
    <row r="26" spans="1:11">
      <c r="A26" s="286"/>
      <c r="B26" s="286"/>
      <c r="C26" s="286"/>
      <c r="D26" s="286"/>
      <c r="E26" s="286"/>
      <c r="F26" s="286"/>
      <c r="G26" s="286"/>
      <c r="H26" s="92"/>
      <c r="I26" s="92"/>
      <c r="J26" s="92"/>
      <c r="K26" s="92"/>
    </row>
    <row r="27" spans="1:11" s="56" customFormat="1" ht="16.5" customHeight="1">
      <c r="A27" s="208" t="s">
        <v>299</v>
      </c>
      <c r="B27" s="208"/>
      <c r="C27" s="208"/>
      <c r="D27" s="208"/>
      <c r="E27" s="208"/>
      <c r="F27" s="208"/>
      <c r="G27" s="208"/>
    </row>
    <row r="28" spans="1:11" s="12" customFormat="1" ht="17.25" customHeight="1">
      <c r="A28" s="207" t="s">
        <v>300</v>
      </c>
      <c r="B28" s="207"/>
      <c r="C28" s="172" t="s">
        <v>301</v>
      </c>
      <c r="D28" s="172" t="s">
        <v>302</v>
      </c>
      <c r="E28" s="172"/>
      <c r="F28" s="172"/>
      <c r="G28" s="172"/>
      <c r="H28" s="286"/>
      <c r="I28" s="286"/>
      <c r="J28" s="286"/>
      <c r="K28" s="286"/>
    </row>
    <row r="29" spans="1:11" s="12" customFormat="1" ht="17.25" customHeight="1">
      <c r="A29" s="207"/>
      <c r="B29" s="207"/>
      <c r="C29" s="172"/>
      <c r="D29" s="172" t="s">
        <v>303</v>
      </c>
      <c r="E29" s="172"/>
      <c r="F29" s="172" t="s">
        <v>167</v>
      </c>
      <c r="G29" s="172"/>
      <c r="H29" s="286"/>
      <c r="I29" s="286"/>
      <c r="J29" s="286"/>
      <c r="K29" s="286"/>
    </row>
    <row r="30" spans="1:11" s="37" customFormat="1" ht="38.1" customHeight="1">
      <c r="A30" s="334" t="s">
        <v>304</v>
      </c>
      <c r="B30" s="334"/>
      <c r="C30" s="383" t="s">
        <v>305</v>
      </c>
      <c r="D30" s="370">
        <v>2.62</v>
      </c>
      <c r="E30" s="370"/>
      <c r="F30" s="384"/>
      <c r="G30" s="385"/>
      <c r="H30" s="349"/>
      <c r="I30" s="349"/>
      <c r="J30" s="286"/>
      <c r="K30" s="286"/>
    </row>
    <row r="31" spans="1:11" s="37" customFormat="1" ht="38.1" customHeight="1">
      <c r="A31" s="334" t="s">
        <v>306</v>
      </c>
      <c r="B31" s="334"/>
      <c r="C31" s="367" t="s">
        <v>307</v>
      </c>
      <c r="D31" s="370">
        <v>0.83</v>
      </c>
      <c r="E31" s="370"/>
      <c r="F31" s="384"/>
      <c r="G31" s="385"/>
      <c r="H31" s="349"/>
      <c r="I31" s="349"/>
      <c r="J31" s="286"/>
      <c r="K31" s="286"/>
    </row>
    <row r="32" spans="1:11" s="37" customFormat="1" ht="38.1" customHeight="1">
      <c r="A32" s="334" t="s">
        <v>308</v>
      </c>
      <c r="B32" s="334"/>
      <c r="C32" s="367" t="s">
        <v>309</v>
      </c>
      <c r="D32" s="370">
        <v>24</v>
      </c>
      <c r="E32" s="370"/>
      <c r="F32" s="386">
        <v>4</v>
      </c>
      <c r="G32" s="387"/>
      <c r="H32" s="349"/>
      <c r="I32" s="349"/>
      <c r="J32" s="286"/>
      <c r="K32" s="286"/>
    </row>
    <row r="33" spans="1:7" s="37" customFormat="1" ht="38.1" customHeight="1">
      <c r="A33" s="334" t="s">
        <v>310</v>
      </c>
      <c r="B33" s="334"/>
      <c r="C33" s="367" t="s">
        <v>309</v>
      </c>
      <c r="D33" s="370">
        <v>0</v>
      </c>
      <c r="E33" s="370"/>
      <c r="F33" s="384"/>
      <c r="G33" s="385"/>
    </row>
    <row r="35" spans="1:7">
      <c r="A35" s="152" t="s">
        <v>311</v>
      </c>
      <c r="B35" s="152"/>
      <c r="C35" s="152"/>
      <c r="D35" s="152"/>
      <c r="E35" s="152"/>
      <c r="F35" s="152"/>
      <c r="G35" s="152"/>
    </row>
    <row r="36" spans="1:7">
      <c r="A36" s="206"/>
      <c r="B36" s="206"/>
      <c r="C36" s="206"/>
      <c r="D36" s="206"/>
      <c r="E36" s="206"/>
      <c r="F36" s="206"/>
      <c r="G36" s="206"/>
    </row>
    <row r="37" spans="1:7">
      <c r="A37" s="206"/>
      <c r="B37" s="206"/>
      <c r="C37" s="206"/>
      <c r="D37" s="206"/>
      <c r="E37" s="206"/>
      <c r="F37" s="206"/>
      <c r="G37" s="206"/>
    </row>
    <row r="38" spans="1:7">
      <c r="A38" s="206"/>
      <c r="B38" s="206"/>
      <c r="C38" s="206"/>
      <c r="D38" s="206"/>
      <c r="E38" s="206"/>
      <c r="F38" s="206"/>
      <c r="G38" s="206"/>
    </row>
    <row r="39" spans="1:7">
      <c r="A39" s="206"/>
      <c r="B39" s="206"/>
      <c r="C39" s="206"/>
      <c r="D39" s="206"/>
      <c r="E39" s="206"/>
      <c r="F39" s="206"/>
      <c r="G39" s="206"/>
    </row>
    <row r="40" spans="1:7">
      <c r="A40" s="206"/>
      <c r="B40" s="206"/>
      <c r="C40" s="206"/>
      <c r="D40" s="206"/>
      <c r="E40" s="206"/>
      <c r="F40" s="206"/>
      <c r="G40" s="206"/>
    </row>
    <row r="41" spans="1:7">
      <c r="A41" s="206"/>
      <c r="B41" s="206"/>
      <c r="C41" s="206"/>
      <c r="D41" s="206"/>
      <c r="E41" s="206"/>
      <c r="F41" s="206"/>
      <c r="G41" s="206"/>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election activeCell="K25" sqref="K25"/>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Greatmoor Energy from Waste Facility</v>
      </c>
      <c r="F1" s="92"/>
      <c r="G1" s="92"/>
      <c r="H1" s="92"/>
      <c r="I1" s="92"/>
    </row>
    <row r="3" spans="1:9" ht="15.6">
      <c r="A3" s="1" t="s">
        <v>42</v>
      </c>
      <c r="B3" s="92"/>
      <c r="C3" s="92"/>
      <c r="D3" s="92"/>
      <c r="E3" s="92"/>
      <c r="F3" s="92"/>
      <c r="G3" s="92"/>
      <c r="H3" s="92"/>
      <c r="I3" s="92"/>
    </row>
    <row r="4" spans="1:9" ht="15.6">
      <c r="A4" s="1"/>
      <c r="B4" s="92"/>
      <c r="C4" s="92"/>
      <c r="D4" s="92"/>
      <c r="E4" s="92"/>
      <c r="F4" s="92"/>
      <c r="G4" s="92"/>
      <c r="H4" s="92"/>
      <c r="I4" s="92"/>
    </row>
    <row r="5" spans="1:9" s="3" customFormat="1" ht="21.75" customHeight="1">
      <c r="A5" s="48" t="s">
        <v>295</v>
      </c>
      <c r="B5" s="49"/>
      <c r="C5" s="49"/>
      <c r="D5" s="49"/>
      <c r="E5" s="49"/>
      <c r="F5" s="49"/>
      <c r="G5" s="49"/>
      <c r="H5" s="49"/>
      <c r="I5" s="50"/>
    </row>
    <row r="6" spans="1:9" s="3" customFormat="1" ht="15.75" customHeight="1">
      <c r="A6" s="195"/>
      <c r="B6" s="142"/>
      <c r="C6" s="142"/>
      <c r="D6" s="142"/>
      <c r="E6" s="142"/>
      <c r="F6" s="142"/>
      <c r="G6" s="142"/>
      <c r="H6" s="142"/>
      <c r="I6" s="143"/>
    </row>
    <row r="7" spans="1:9" s="3" customFormat="1" ht="15.75" customHeight="1">
      <c r="A7" s="147"/>
      <c r="B7" s="148"/>
      <c r="C7" s="148"/>
      <c r="D7" s="148"/>
      <c r="E7" s="148"/>
      <c r="F7" s="148"/>
      <c r="G7" s="148"/>
      <c r="H7" s="148"/>
      <c r="I7" s="149"/>
    </row>
    <row r="8" spans="1:9" s="3" customFormat="1" ht="15.75" customHeight="1">
      <c r="A8" s="133"/>
      <c r="B8" s="134"/>
      <c r="C8" s="134"/>
      <c r="D8" s="134"/>
      <c r="E8" s="134"/>
      <c r="F8" s="134"/>
      <c r="G8" s="134"/>
      <c r="H8" s="134"/>
      <c r="I8" s="135"/>
    </row>
    <row r="9" spans="1:9" s="3" customFormat="1" ht="15.75" customHeight="1">
      <c r="A9" s="139"/>
      <c r="B9" s="140"/>
      <c r="C9" s="140"/>
      <c r="D9" s="140"/>
      <c r="E9" s="140"/>
      <c r="F9" s="140"/>
      <c r="G9" s="140"/>
      <c r="H9" s="140"/>
      <c r="I9" s="141"/>
    </row>
    <row r="10" spans="1:9" s="3" customFormat="1" ht="15.75" customHeight="1">
      <c r="A10" s="133"/>
      <c r="B10" s="134"/>
      <c r="C10" s="134"/>
      <c r="D10" s="134"/>
      <c r="E10" s="134"/>
      <c r="F10" s="134"/>
      <c r="G10" s="134"/>
      <c r="H10" s="134"/>
      <c r="I10" s="135"/>
    </row>
    <row r="11" spans="1:9" s="3" customFormat="1" ht="15.75" customHeight="1">
      <c r="A11" s="139"/>
      <c r="B11" s="140"/>
      <c r="C11" s="140"/>
      <c r="D11" s="140"/>
      <c r="E11" s="140"/>
      <c r="F11" s="140"/>
      <c r="G11" s="140"/>
      <c r="H11" s="140"/>
      <c r="I11" s="141"/>
    </row>
    <row r="12" spans="1:9" s="3" customFormat="1" ht="13.9"/>
    <row r="13" spans="1:9" s="47" customFormat="1" ht="33.75" customHeight="1">
      <c r="A13" s="188" t="s">
        <v>297</v>
      </c>
      <c r="B13" s="189"/>
      <c r="C13" s="189"/>
      <c r="D13" s="189"/>
      <c r="E13" s="189"/>
      <c r="F13" s="189"/>
      <c r="G13" s="189"/>
      <c r="H13" s="189"/>
      <c r="I13" s="190"/>
    </row>
    <row r="14" spans="1:9" ht="15.75" customHeight="1">
      <c r="A14" s="192" t="s">
        <v>298</v>
      </c>
      <c r="B14" s="194"/>
      <c r="C14" s="192" t="s">
        <v>258</v>
      </c>
      <c r="D14" s="193"/>
      <c r="E14" s="193"/>
      <c r="F14" s="193"/>
      <c r="G14" s="193"/>
      <c r="H14" s="193"/>
      <c r="I14" s="193"/>
    </row>
    <row r="15" spans="1:9" ht="15.75" customHeight="1">
      <c r="A15" s="133"/>
      <c r="B15" s="135"/>
      <c r="C15" s="195"/>
      <c r="D15" s="142"/>
      <c r="E15" s="142"/>
      <c r="F15" s="142"/>
      <c r="G15" s="142"/>
      <c r="H15" s="142"/>
      <c r="I15" s="143"/>
    </row>
    <row r="16" spans="1:9" ht="15.75" customHeight="1">
      <c r="A16" s="139"/>
      <c r="B16" s="141"/>
      <c r="C16" s="147"/>
      <c r="D16" s="148"/>
      <c r="E16" s="148"/>
      <c r="F16" s="148"/>
      <c r="G16" s="148"/>
      <c r="H16" s="148"/>
      <c r="I16" s="149"/>
    </row>
    <row r="17" spans="1:9" ht="15.75" customHeight="1">
      <c r="A17" s="195"/>
      <c r="B17" s="143"/>
      <c r="C17" s="195"/>
      <c r="D17" s="142"/>
      <c r="E17" s="142"/>
      <c r="F17" s="142"/>
      <c r="G17" s="142"/>
      <c r="H17" s="142"/>
      <c r="I17" s="143"/>
    </row>
    <row r="18" spans="1:9" ht="15.75" customHeight="1">
      <c r="A18" s="147"/>
      <c r="B18" s="149"/>
      <c r="C18" s="147"/>
      <c r="D18" s="148"/>
      <c r="E18" s="148"/>
      <c r="F18" s="148"/>
      <c r="G18" s="148"/>
      <c r="H18" s="148"/>
      <c r="I18" s="149"/>
    </row>
    <row r="19" spans="1:9" ht="15.75" customHeight="1">
      <c r="A19" s="195"/>
      <c r="B19" s="143"/>
      <c r="C19" s="195"/>
      <c r="D19" s="142"/>
      <c r="E19" s="142"/>
      <c r="F19" s="142"/>
      <c r="G19" s="142"/>
      <c r="H19" s="142"/>
      <c r="I19" s="143"/>
    </row>
    <row r="20" spans="1:9" ht="15.75" customHeight="1">
      <c r="A20" s="147"/>
      <c r="B20" s="149"/>
      <c r="C20" s="147"/>
      <c r="D20" s="148"/>
      <c r="E20" s="148"/>
      <c r="F20" s="148"/>
      <c r="G20" s="148"/>
      <c r="H20" s="148"/>
      <c r="I20" s="149"/>
    </row>
    <row r="22" spans="1:9" ht="22.5" customHeight="1">
      <c r="A22" s="209" t="s">
        <v>312</v>
      </c>
      <c r="B22" s="210"/>
      <c r="C22" s="210"/>
      <c r="D22" s="210"/>
      <c r="E22" s="210"/>
      <c r="F22" s="210"/>
      <c r="G22" s="210"/>
      <c r="H22" s="210"/>
      <c r="I22" s="210"/>
    </row>
    <row r="23" spans="1:9" ht="19.5" customHeight="1">
      <c r="A23" s="211" t="s">
        <v>191</v>
      </c>
      <c r="B23" s="212"/>
      <c r="C23" s="213"/>
      <c r="D23" s="214" t="s">
        <v>313</v>
      </c>
      <c r="E23" s="215"/>
      <c r="F23" s="54" t="s">
        <v>301</v>
      </c>
      <c r="G23" s="54" t="s">
        <v>314</v>
      </c>
      <c r="H23" s="54" t="s">
        <v>315</v>
      </c>
      <c r="I23" s="54" t="s">
        <v>316</v>
      </c>
    </row>
    <row r="24" spans="1:9">
      <c r="A24" s="388"/>
      <c r="B24" s="389"/>
      <c r="C24" s="390"/>
      <c r="D24" s="391"/>
      <c r="E24" s="392"/>
      <c r="F24" s="103"/>
      <c r="G24" s="103"/>
      <c r="H24" s="103"/>
      <c r="I24" s="103"/>
    </row>
    <row r="25" spans="1:9">
      <c r="A25" s="388"/>
      <c r="B25" s="389"/>
      <c r="C25" s="390"/>
      <c r="D25" s="391"/>
      <c r="E25" s="392"/>
      <c r="F25" s="103"/>
      <c r="G25" s="103"/>
      <c r="H25" s="103"/>
      <c r="I25" s="103"/>
    </row>
    <row r="26" spans="1:9">
      <c r="A26" s="388"/>
      <c r="B26" s="389"/>
      <c r="C26" s="390"/>
      <c r="D26" s="391"/>
      <c r="E26" s="392"/>
      <c r="F26" s="103"/>
      <c r="G26" s="103"/>
      <c r="H26" s="103"/>
      <c r="I26" s="103"/>
    </row>
    <row r="27" spans="1:9">
      <c r="A27" s="388"/>
      <c r="B27" s="389"/>
      <c r="C27" s="390"/>
      <c r="D27" s="391"/>
      <c r="E27" s="392"/>
      <c r="F27" s="103"/>
      <c r="G27" s="103"/>
      <c r="H27" s="103"/>
      <c r="I27" s="103"/>
    </row>
    <row r="28" spans="1:9">
      <c r="A28" s="388"/>
      <c r="B28" s="389"/>
      <c r="C28" s="390"/>
      <c r="D28" s="391"/>
      <c r="E28" s="392"/>
      <c r="F28" s="103"/>
      <c r="G28" s="103"/>
      <c r="H28" s="103"/>
      <c r="I28" s="103"/>
    </row>
    <row r="29" spans="1:9">
      <c r="A29" s="388"/>
      <c r="B29" s="389"/>
      <c r="C29" s="390"/>
      <c r="D29" s="391"/>
      <c r="E29" s="392"/>
      <c r="F29" s="103"/>
      <c r="G29" s="103"/>
      <c r="H29" s="103"/>
      <c r="I29" s="103"/>
    </row>
    <row r="30" spans="1:9">
      <c r="A30" s="393"/>
      <c r="B30" s="393"/>
      <c r="C30" s="393"/>
      <c r="D30" s="391"/>
      <c r="E30" s="392"/>
      <c r="F30" s="103"/>
      <c r="G30" s="103"/>
      <c r="H30" s="103"/>
      <c r="I30" s="103"/>
    </row>
    <row r="31" spans="1:9">
      <c r="A31" s="286"/>
      <c r="B31" s="286"/>
      <c r="C31" s="286"/>
      <c r="D31" s="286"/>
      <c r="E31" s="286"/>
      <c r="F31" s="286"/>
      <c r="G31" s="286"/>
      <c r="H31" s="286"/>
      <c r="I31" s="286"/>
    </row>
    <row r="32" spans="1:9">
      <c r="A32" s="286"/>
      <c r="B32" s="286"/>
      <c r="C32" s="286"/>
      <c r="D32" s="286"/>
      <c r="E32" s="286"/>
      <c r="F32" s="286"/>
      <c r="G32" s="286"/>
      <c r="H32" s="286"/>
      <c r="I32" s="286"/>
    </row>
    <row r="33" spans="1:9">
      <c r="A33" s="286"/>
      <c r="B33" s="286"/>
      <c r="C33" s="286"/>
      <c r="D33" s="286"/>
      <c r="E33" s="286"/>
      <c r="F33" s="286"/>
      <c r="G33" s="286"/>
      <c r="H33" s="286"/>
      <c r="I33" s="286"/>
    </row>
    <row r="66" spans="5: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zoomScaleNormal="100" workbookViewId="0">
      <selection activeCell="N17" sqref="N17"/>
    </sheetView>
  </sheetViews>
  <sheetFormatPr defaultColWidth="9.28515625" defaultRowHeight="15"/>
  <cols>
    <col min="1" max="1" width="9.28515625" style="2" customWidth="1"/>
    <col min="2" max="2" width="14.5703125" style="2" bestFit="1" customWidth="1"/>
    <col min="3" max="5" width="9.28515625" style="2"/>
    <col min="6" max="6" width="10.42578125" style="2" bestFit="1" customWidth="1"/>
    <col min="7" max="9" width="9.28515625" style="2"/>
    <col min="10" max="10" width="10.42578125" style="2" customWidth="1"/>
    <col min="11" max="16384" width="9.28515625" style="2"/>
  </cols>
  <sheetData>
    <row r="1" spans="1:16">
      <c r="A1" s="92" t="str">
        <f>+'Cover Page'!$B$29</f>
        <v>Annual Performance Report 2022</v>
      </c>
      <c r="B1" s="92"/>
      <c r="C1" s="92"/>
      <c r="D1" s="92"/>
      <c r="E1" s="92" t="str">
        <f>+'Cover Page'!$B$33</f>
        <v>Greatmoor Energy from Waste Facility</v>
      </c>
      <c r="F1" s="92"/>
      <c r="G1" s="92"/>
      <c r="H1" s="92"/>
      <c r="I1" s="92"/>
      <c r="J1" s="92"/>
      <c r="K1" s="92"/>
      <c r="L1" s="92"/>
      <c r="M1" s="92"/>
      <c r="N1" s="92"/>
      <c r="O1" s="92"/>
      <c r="P1" s="92"/>
    </row>
    <row r="2" spans="1:16" ht="7.5" customHeight="1">
      <c r="A2" s="92"/>
      <c r="B2" s="92"/>
      <c r="C2" s="92"/>
      <c r="D2" s="92"/>
      <c r="E2" s="92"/>
      <c r="F2" s="92"/>
      <c r="G2" s="92"/>
      <c r="H2" s="92"/>
      <c r="I2" s="92"/>
      <c r="J2" s="92"/>
      <c r="K2" s="92"/>
      <c r="L2" s="92"/>
      <c r="M2" s="92"/>
      <c r="N2" s="92"/>
      <c r="O2" s="92"/>
      <c r="P2" s="92"/>
    </row>
    <row r="3" spans="1:16" ht="15.6">
      <c r="A3" s="1" t="s">
        <v>43</v>
      </c>
      <c r="B3" s="92"/>
      <c r="C3" s="92"/>
      <c r="D3" s="92"/>
      <c r="E3" s="92"/>
      <c r="F3" s="92"/>
      <c r="G3" s="92"/>
      <c r="H3" s="92"/>
      <c r="I3" s="92"/>
      <c r="J3" s="92"/>
      <c r="K3" s="92"/>
      <c r="L3" s="92"/>
      <c r="M3" s="92"/>
      <c r="N3" s="92"/>
      <c r="O3" s="92"/>
      <c r="P3" s="92"/>
    </row>
    <row r="4" spans="1:16" ht="9.75" customHeight="1">
      <c r="A4" s="1"/>
      <c r="B4" s="92"/>
      <c r="C4" s="92"/>
      <c r="D4" s="92"/>
      <c r="E4" s="92"/>
      <c r="F4" s="92"/>
      <c r="G4" s="92"/>
      <c r="H4" s="92"/>
      <c r="I4" s="92"/>
      <c r="J4" s="92"/>
      <c r="K4" s="92"/>
      <c r="L4" s="92"/>
      <c r="M4" s="92"/>
      <c r="N4" s="92"/>
      <c r="O4" s="92"/>
      <c r="P4" s="92"/>
    </row>
    <row r="5" spans="1:16" s="3" customFormat="1" ht="21.75" customHeight="1">
      <c r="A5" s="48" t="s">
        <v>317</v>
      </c>
      <c r="B5" s="49"/>
      <c r="C5" s="49"/>
      <c r="D5" s="49"/>
      <c r="E5" s="49"/>
      <c r="F5" s="49"/>
      <c r="G5" s="49"/>
      <c r="H5" s="49"/>
      <c r="I5" s="49"/>
      <c r="J5" s="50"/>
      <c r="M5" s="82" t="s">
        <v>3</v>
      </c>
    </row>
    <row r="6" spans="1:16" s="3" customFormat="1" ht="15.75" customHeight="1">
      <c r="A6" s="133" t="s">
        <v>318</v>
      </c>
      <c r="B6" s="134"/>
      <c r="C6" s="134"/>
      <c r="D6" s="134"/>
      <c r="E6" s="134"/>
      <c r="F6" s="134"/>
      <c r="G6" s="134"/>
      <c r="H6" s="134"/>
      <c r="I6" s="134"/>
      <c r="J6" s="135"/>
      <c r="M6" s="229" t="s">
        <v>319</v>
      </c>
      <c r="N6" s="229"/>
      <c r="O6" s="229"/>
      <c r="P6" s="229"/>
    </row>
    <row r="7" spans="1:16" s="3" customFormat="1" ht="15.75" customHeight="1">
      <c r="A7" s="139"/>
      <c r="B7" s="140"/>
      <c r="C7" s="140"/>
      <c r="D7" s="140"/>
      <c r="E7" s="140"/>
      <c r="F7" s="140"/>
      <c r="G7" s="140"/>
      <c r="H7" s="140"/>
      <c r="I7" s="140"/>
      <c r="J7" s="141"/>
      <c r="M7" s="229"/>
      <c r="N7" s="229"/>
      <c r="O7" s="229"/>
      <c r="P7" s="229"/>
    </row>
    <row r="8" spans="1:16" s="3" customFormat="1" ht="13.9">
      <c r="M8" s="229"/>
      <c r="N8" s="229"/>
      <c r="O8" s="229"/>
      <c r="P8" s="229"/>
    </row>
    <row r="9" spans="1:16" s="56" customFormat="1" ht="16.5" customHeight="1">
      <c r="A9" s="208" t="s">
        <v>320</v>
      </c>
      <c r="B9" s="208"/>
      <c r="C9" s="208"/>
      <c r="D9" s="208"/>
      <c r="E9" s="208"/>
      <c r="F9" s="208"/>
      <c r="G9" s="208"/>
      <c r="H9" s="208"/>
      <c r="I9" s="208"/>
      <c r="J9" s="208"/>
      <c r="M9" s="229"/>
      <c r="N9" s="229"/>
      <c r="O9" s="229"/>
      <c r="P9" s="229"/>
    </row>
    <row r="10" spans="1:16" s="56" customFormat="1" ht="16.5" customHeight="1">
      <c r="A10" s="216" t="s">
        <v>219</v>
      </c>
      <c r="B10" s="217"/>
      <c r="C10" s="227" t="s">
        <v>321</v>
      </c>
      <c r="D10" s="223" t="s">
        <v>322</v>
      </c>
      <c r="E10" s="224"/>
      <c r="F10" s="220" t="s">
        <v>316</v>
      </c>
      <c r="G10" s="221"/>
      <c r="H10" s="221"/>
      <c r="I10" s="221"/>
      <c r="J10" s="222"/>
      <c r="M10" s="229" t="s">
        <v>323</v>
      </c>
      <c r="N10" s="229"/>
      <c r="O10" s="229"/>
      <c r="P10" s="229"/>
    </row>
    <row r="11" spans="1:16" s="12" customFormat="1" ht="17.25" customHeight="1">
      <c r="A11" s="218"/>
      <c r="B11" s="219"/>
      <c r="C11" s="228"/>
      <c r="D11" s="225"/>
      <c r="E11" s="226"/>
      <c r="F11" s="46" t="s">
        <v>193</v>
      </c>
      <c r="G11" s="46" t="s">
        <v>194</v>
      </c>
      <c r="H11" s="46" t="s">
        <v>195</v>
      </c>
      <c r="I11" s="46" t="s">
        <v>196</v>
      </c>
      <c r="J11" s="46" t="s">
        <v>197</v>
      </c>
      <c r="K11" s="286"/>
      <c r="L11" s="286"/>
      <c r="M11" s="229"/>
      <c r="N11" s="229"/>
      <c r="O11" s="229"/>
      <c r="P11" s="229"/>
    </row>
    <row r="12" spans="1:16" s="12" customFormat="1" ht="23.25" customHeight="1">
      <c r="A12" s="334" t="s">
        <v>231</v>
      </c>
      <c r="B12" s="334"/>
      <c r="C12" s="394" t="s">
        <v>324</v>
      </c>
      <c r="D12" s="369" t="s">
        <v>325</v>
      </c>
      <c r="E12" s="369"/>
      <c r="F12" s="103">
        <v>0.182</v>
      </c>
      <c r="G12" s="103"/>
      <c r="H12" s="103"/>
      <c r="I12" s="103"/>
      <c r="J12" s="103"/>
      <c r="K12" s="286"/>
      <c r="L12" s="286"/>
      <c r="M12" s="229"/>
      <c r="N12" s="229"/>
      <c r="O12" s="229"/>
      <c r="P12" s="229"/>
    </row>
    <row r="13" spans="1:16" s="12" customFormat="1" ht="23.25" customHeight="1">
      <c r="A13" s="334" t="s">
        <v>326</v>
      </c>
      <c r="B13" s="334"/>
      <c r="C13" s="394" t="s">
        <v>327</v>
      </c>
      <c r="D13" s="369" t="s">
        <v>328</v>
      </c>
      <c r="E13" s="369"/>
      <c r="F13" s="103">
        <v>1E-3</v>
      </c>
      <c r="G13" s="103"/>
      <c r="H13" s="103"/>
      <c r="I13" s="103"/>
      <c r="J13" s="103"/>
      <c r="K13" s="286"/>
      <c r="L13" s="286"/>
      <c r="M13" s="286"/>
      <c r="N13" s="286"/>
      <c r="O13" s="286"/>
      <c r="P13" s="286"/>
    </row>
    <row r="14" spans="1:16" s="12" customFormat="1" ht="23.25" customHeight="1">
      <c r="A14" s="334" t="s">
        <v>329</v>
      </c>
      <c r="B14" s="334"/>
      <c r="C14" s="394" t="s">
        <v>327</v>
      </c>
      <c r="D14" s="369" t="s">
        <v>328</v>
      </c>
      <c r="E14" s="369"/>
      <c r="F14" s="103">
        <v>7.5799999999999999E-3</v>
      </c>
      <c r="G14" s="103"/>
      <c r="H14" s="103"/>
      <c r="I14" s="103"/>
      <c r="J14" s="103"/>
      <c r="K14" s="286"/>
      <c r="L14" s="286"/>
      <c r="M14" s="286"/>
      <c r="N14" s="286"/>
      <c r="O14" s="286"/>
      <c r="P14" s="286"/>
    </row>
    <row r="15" spans="1:16" s="12" customFormat="1" ht="23.25" customHeight="1">
      <c r="A15" s="334" t="s">
        <v>330</v>
      </c>
      <c r="B15" s="334"/>
      <c r="C15" s="394" t="s">
        <v>327</v>
      </c>
      <c r="D15" s="369" t="s">
        <v>331</v>
      </c>
      <c r="E15" s="369"/>
      <c r="F15" s="103">
        <v>4.0399999999999998E-2</v>
      </c>
      <c r="G15" s="103"/>
      <c r="H15" s="103"/>
      <c r="I15" s="103"/>
      <c r="J15" s="103"/>
      <c r="K15" s="286"/>
      <c r="L15" s="286"/>
      <c r="M15" s="286"/>
      <c r="N15" s="286"/>
      <c r="O15" s="286"/>
      <c r="P15" s="286"/>
    </row>
    <row r="16" spans="1:16" s="12" customFormat="1" ht="23.25" customHeight="1">
      <c r="A16" s="334" t="s">
        <v>332</v>
      </c>
      <c r="B16" s="334"/>
      <c r="C16" s="394" t="s">
        <v>327</v>
      </c>
      <c r="D16" s="369" t="s">
        <v>333</v>
      </c>
      <c r="E16" s="369"/>
      <c r="F16" s="103">
        <v>6.8999999999999999E-3</v>
      </c>
      <c r="G16" s="103"/>
      <c r="H16" s="103"/>
      <c r="I16" s="103"/>
      <c r="J16" s="103"/>
      <c r="K16" s="286"/>
      <c r="L16" s="286"/>
      <c r="M16" s="286"/>
      <c r="N16" s="286"/>
      <c r="O16" s="286"/>
      <c r="P16" s="286"/>
    </row>
    <row r="17" spans="1:10" s="12" customFormat="1" ht="23.25" customHeight="1">
      <c r="A17" s="334" t="s">
        <v>334</v>
      </c>
      <c r="B17" s="334"/>
      <c r="C17" s="394" t="s">
        <v>327</v>
      </c>
      <c r="D17" s="369" t="s">
        <v>335</v>
      </c>
      <c r="E17" s="369"/>
      <c r="F17" s="103">
        <v>5.4000000000000001E-4</v>
      </c>
      <c r="G17" s="103"/>
      <c r="H17" s="103"/>
      <c r="I17" s="103"/>
      <c r="J17" s="103"/>
    </row>
    <row r="18" spans="1:10" s="12" customFormat="1" ht="23.25" customHeight="1">
      <c r="A18" s="334" t="s">
        <v>336</v>
      </c>
      <c r="B18" s="334"/>
      <c r="C18" s="394" t="s">
        <v>327</v>
      </c>
      <c r="D18" s="369" t="s">
        <v>335</v>
      </c>
      <c r="E18" s="369"/>
      <c r="F18" s="103">
        <v>1.95E-5</v>
      </c>
      <c r="G18" s="103"/>
      <c r="H18" s="103"/>
      <c r="I18" s="103"/>
      <c r="J18" s="103"/>
    </row>
    <row r="19" spans="1:10" s="12" customFormat="1" ht="23.25" customHeight="1">
      <c r="A19" s="334" t="s">
        <v>337</v>
      </c>
      <c r="B19" s="334"/>
      <c r="C19" s="394" t="s">
        <v>327</v>
      </c>
      <c r="D19" s="369" t="s">
        <v>335</v>
      </c>
      <c r="E19" s="369"/>
      <c r="F19" s="103">
        <v>1.5499999999999999E-3</v>
      </c>
      <c r="G19" s="103"/>
      <c r="H19" s="103"/>
      <c r="I19" s="103"/>
      <c r="J19" s="103"/>
    </row>
    <row r="20" spans="1:10" s="12" customFormat="1" ht="23.25" customHeight="1">
      <c r="A20" s="334" t="s">
        <v>338</v>
      </c>
      <c r="B20" s="334"/>
      <c r="C20" s="394" t="s">
        <v>327</v>
      </c>
      <c r="D20" s="369" t="s">
        <v>335</v>
      </c>
      <c r="E20" s="369"/>
      <c r="F20" s="103">
        <v>7.1000000000000004E-3</v>
      </c>
      <c r="G20" s="103"/>
      <c r="H20" s="103"/>
      <c r="I20" s="103"/>
      <c r="J20" s="103"/>
    </row>
    <row r="21" spans="1:10" s="12" customFormat="1" ht="23.25" customHeight="1">
      <c r="A21" s="334" t="s">
        <v>339</v>
      </c>
      <c r="B21" s="334"/>
      <c r="C21" s="394" t="s">
        <v>327</v>
      </c>
      <c r="D21" s="369" t="s">
        <v>335</v>
      </c>
      <c r="E21" s="369"/>
      <c r="F21" s="103">
        <v>7.2499999999999995E-3</v>
      </c>
      <c r="G21" s="103"/>
      <c r="H21" s="103"/>
      <c r="I21" s="103"/>
      <c r="J21" s="103"/>
    </row>
    <row r="22" spans="1:10" s="12" customFormat="1" ht="23.25" customHeight="1">
      <c r="A22" s="334" t="s">
        <v>340</v>
      </c>
      <c r="B22" s="334"/>
      <c r="C22" s="394" t="s">
        <v>327</v>
      </c>
      <c r="D22" s="369" t="s">
        <v>335</v>
      </c>
      <c r="E22" s="369"/>
      <c r="F22" s="103">
        <v>1.175E-2</v>
      </c>
      <c r="G22" s="103"/>
      <c r="H22" s="103"/>
      <c r="I22" s="103"/>
      <c r="J22" s="103"/>
    </row>
    <row r="23" spans="1:10" s="12" customFormat="1" ht="23.25" customHeight="1">
      <c r="A23" s="334" t="s">
        <v>341</v>
      </c>
      <c r="B23" s="334"/>
      <c r="C23" s="394" t="s">
        <v>327</v>
      </c>
      <c r="D23" s="369" t="s">
        <v>342</v>
      </c>
      <c r="E23" s="369"/>
      <c r="F23" s="103">
        <v>8.0000000000000004E-4</v>
      </c>
      <c r="G23" s="103"/>
      <c r="H23" s="103"/>
      <c r="I23" s="103"/>
      <c r="J23" s="103"/>
    </row>
    <row r="24" spans="1:10" s="12" customFormat="1" ht="23.25" customHeight="1">
      <c r="A24" s="334" t="s">
        <v>343</v>
      </c>
      <c r="B24" s="334"/>
      <c r="C24" s="394" t="s">
        <v>327</v>
      </c>
      <c r="D24" s="369" t="s">
        <v>342</v>
      </c>
      <c r="E24" s="369"/>
      <c r="F24" s="103">
        <v>8.0000000000000004E-4</v>
      </c>
      <c r="G24" s="103"/>
      <c r="H24" s="103"/>
      <c r="I24" s="103"/>
      <c r="J24" s="103"/>
    </row>
    <row r="25" spans="1:10" s="12" customFormat="1" ht="23.25" customHeight="1">
      <c r="A25" s="334" t="s">
        <v>344</v>
      </c>
      <c r="B25" s="334"/>
      <c r="C25" s="394" t="s">
        <v>327</v>
      </c>
      <c r="D25" s="369" t="s">
        <v>342</v>
      </c>
      <c r="E25" s="369"/>
      <c r="F25" s="103">
        <v>8.0000000000000004E-4</v>
      </c>
      <c r="G25" s="103"/>
      <c r="H25" s="103"/>
      <c r="I25" s="103"/>
      <c r="J25" s="103"/>
    </row>
    <row r="26" spans="1:10" s="12" customFormat="1" ht="23.25" customHeight="1">
      <c r="A26" s="334" t="s">
        <v>345</v>
      </c>
      <c r="B26" s="334"/>
      <c r="C26" s="394" t="s">
        <v>327</v>
      </c>
      <c r="D26" s="369" t="s">
        <v>342</v>
      </c>
      <c r="E26" s="369"/>
      <c r="F26" s="103">
        <v>8.0000000000000004E-4</v>
      </c>
      <c r="G26" s="103"/>
      <c r="H26" s="103"/>
      <c r="I26" s="103"/>
      <c r="J26" s="103"/>
    </row>
    <row r="27" spans="1:10" s="12" customFormat="1" ht="23.25" customHeight="1">
      <c r="A27" s="334" t="s">
        <v>346</v>
      </c>
      <c r="B27" s="334"/>
      <c r="C27" s="394" t="s">
        <v>327</v>
      </c>
      <c r="D27" s="369" t="s">
        <v>342</v>
      </c>
      <c r="E27" s="369"/>
      <c r="F27" s="103">
        <v>4.0000000000000002E-4</v>
      </c>
      <c r="G27" s="103"/>
      <c r="H27" s="103"/>
      <c r="I27" s="103"/>
      <c r="J27" s="103"/>
    </row>
    <row r="28" spans="1:10" s="12" customFormat="1" ht="23.25" customHeight="1">
      <c r="A28" s="334" t="s">
        <v>347</v>
      </c>
      <c r="B28" s="334"/>
      <c r="C28" s="394" t="s">
        <v>327</v>
      </c>
      <c r="D28" s="369" t="s">
        <v>342</v>
      </c>
      <c r="E28" s="369"/>
      <c r="F28" s="103">
        <v>8.0000000000000004E-4</v>
      </c>
      <c r="G28" s="103"/>
      <c r="H28" s="103"/>
      <c r="I28" s="103"/>
      <c r="J28" s="103"/>
    </row>
    <row r="29" spans="1:10" s="12" customFormat="1" ht="23.25" customHeight="1">
      <c r="A29" s="334" t="s">
        <v>348</v>
      </c>
      <c r="B29" s="334"/>
      <c r="C29" s="394" t="s">
        <v>327</v>
      </c>
      <c r="D29" s="369" t="s">
        <v>342</v>
      </c>
      <c r="E29" s="369"/>
      <c r="F29" s="103">
        <v>9.5000000000000011E-4</v>
      </c>
      <c r="G29" s="103"/>
      <c r="H29" s="103"/>
      <c r="I29" s="103"/>
      <c r="J29" s="103"/>
    </row>
    <row r="30" spans="1:10" s="12" customFormat="1" ht="23.25" customHeight="1">
      <c r="A30" s="334" t="s">
        <v>349</v>
      </c>
      <c r="B30" s="334"/>
      <c r="C30" s="394" t="s">
        <v>327</v>
      </c>
      <c r="D30" s="369" t="s">
        <v>342</v>
      </c>
      <c r="E30" s="369"/>
      <c r="F30" s="103">
        <v>8.0000000000000004E-4</v>
      </c>
      <c r="G30" s="103"/>
      <c r="H30" s="103"/>
      <c r="I30" s="103"/>
      <c r="J30" s="103"/>
    </row>
    <row r="31" spans="1:10" s="12" customFormat="1" ht="23.25" customHeight="1">
      <c r="A31" s="334" t="s">
        <v>350</v>
      </c>
      <c r="B31" s="334"/>
      <c r="C31" s="394" t="s">
        <v>327</v>
      </c>
      <c r="D31" s="369" t="s">
        <v>342</v>
      </c>
      <c r="E31" s="369"/>
      <c r="F31" s="103">
        <v>8.0000000000000004E-4</v>
      </c>
      <c r="G31" s="103"/>
      <c r="H31" s="103"/>
      <c r="I31" s="103"/>
      <c r="J31" s="103"/>
    </row>
    <row r="32" spans="1:10" s="12" customFormat="1" ht="23.25" customHeight="1">
      <c r="A32" s="334" t="s">
        <v>351</v>
      </c>
      <c r="B32" s="334"/>
      <c r="C32" s="394" t="s">
        <v>327</v>
      </c>
      <c r="D32" s="369" t="s">
        <v>342</v>
      </c>
      <c r="E32" s="369"/>
      <c r="F32" s="103">
        <v>4.0000000000000002E-4</v>
      </c>
      <c r="G32" s="103"/>
      <c r="H32" s="103"/>
      <c r="I32" s="103"/>
      <c r="J32" s="103"/>
    </row>
    <row r="33" spans="1:10" s="12" customFormat="1" ht="23.25" customHeight="1">
      <c r="A33" s="334" t="s">
        <v>352</v>
      </c>
      <c r="B33" s="334"/>
      <c r="C33" s="394" t="s">
        <v>327</v>
      </c>
      <c r="D33" s="369" t="s">
        <v>342</v>
      </c>
      <c r="E33" s="369"/>
      <c r="F33" s="103">
        <v>8.0000000000000004E-4</v>
      </c>
      <c r="G33" s="103"/>
      <c r="H33" s="103"/>
      <c r="I33" s="103"/>
      <c r="J33" s="103"/>
    </row>
    <row r="34" spans="1:10" s="12" customFormat="1" ht="23.25" customHeight="1">
      <c r="A34" s="334" t="s">
        <v>353</v>
      </c>
      <c r="B34" s="334"/>
      <c r="C34" s="394" t="s">
        <v>327</v>
      </c>
      <c r="D34" s="369" t="s">
        <v>342</v>
      </c>
      <c r="E34" s="369"/>
      <c r="F34" s="103">
        <v>8.0000000000000004E-4</v>
      </c>
      <c r="G34" s="103"/>
      <c r="H34" s="103"/>
      <c r="I34" s="103"/>
      <c r="J34" s="103"/>
    </row>
    <row r="35" spans="1:10" s="12" customFormat="1" ht="23.25" customHeight="1">
      <c r="A35" s="334" t="s">
        <v>354</v>
      </c>
      <c r="B35" s="334"/>
      <c r="C35" s="394" t="s">
        <v>327</v>
      </c>
      <c r="D35" s="369" t="s">
        <v>342</v>
      </c>
      <c r="E35" s="369"/>
      <c r="F35" s="103">
        <v>8.0000000000000004E-4</v>
      </c>
      <c r="G35" s="103"/>
      <c r="H35" s="103"/>
      <c r="I35" s="103"/>
      <c r="J35" s="103"/>
    </row>
    <row r="36" spans="1:10" s="12" customFormat="1" ht="23.25" customHeight="1">
      <c r="A36" s="334" t="s">
        <v>355</v>
      </c>
      <c r="B36" s="334"/>
      <c r="C36" s="394" t="s">
        <v>327</v>
      </c>
      <c r="D36" s="369" t="s">
        <v>342</v>
      </c>
      <c r="E36" s="369"/>
      <c r="F36" s="103">
        <v>7.6500000000000005E-3</v>
      </c>
      <c r="G36" s="103"/>
      <c r="H36" s="103"/>
      <c r="I36" s="103"/>
      <c r="J36" s="103"/>
    </row>
    <row r="37" spans="1:10" s="12" customFormat="1" ht="23.25" customHeight="1">
      <c r="A37" s="334" t="s">
        <v>356</v>
      </c>
      <c r="B37" s="334"/>
      <c r="C37" s="394" t="s">
        <v>327</v>
      </c>
      <c r="D37" s="369" t="s">
        <v>342</v>
      </c>
      <c r="E37" s="369"/>
      <c r="F37" s="103">
        <v>8.0000000000000004E-4</v>
      </c>
      <c r="G37" s="103"/>
      <c r="H37" s="103"/>
      <c r="I37" s="103"/>
      <c r="J37" s="103"/>
    </row>
    <row r="38" spans="1:10" s="12" customFormat="1" ht="23.25" customHeight="1">
      <c r="A38" s="334" t="s">
        <v>357</v>
      </c>
      <c r="B38" s="334"/>
      <c r="C38" s="394" t="s">
        <v>327</v>
      </c>
      <c r="D38" s="369" t="s">
        <v>342</v>
      </c>
      <c r="E38" s="369"/>
      <c r="F38" s="103">
        <v>5.7499999999999996E-2</v>
      </c>
      <c r="G38" s="103"/>
      <c r="H38" s="103"/>
      <c r="I38" s="103"/>
      <c r="J38" s="103"/>
    </row>
    <row r="39" spans="1:10">
      <c r="A39" s="152" t="s">
        <v>311</v>
      </c>
      <c r="B39" s="152"/>
      <c r="C39" s="152"/>
      <c r="D39" s="152"/>
      <c r="E39" s="152"/>
      <c r="F39" s="152"/>
      <c r="G39" s="152"/>
      <c r="H39" s="152"/>
      <c r="I39" s="152"/>
      <c r="J39" s="152"/>
    </row>
    <row r="40" spans="1:10">
      <c r="A40" s="206"/>
      <c r="B40" s="206"/>
      <c r="C40" s="206"/>
      <c r="D40" s="206"/>
      <c r="E40" s="206"/>
      <c r="F40" s="206"/>
      <c r="G40" s="206"/>
      <c r="H40" s="206"/>
      <c r="I40" s="206"/>
      <c r="J40" s="206"/>
    </row>
    <row r="41" spans="1:10">
      <c r="A41" s="206"/>
      <c r="B41" s="206"/>
      <c r="C41" s="206"/>
      <c r="D41" s="206"/>
      <c r="E41" s="206"/>
      <c r="F41" s="206"/>
      <c r="G41" s="206"/>
      <c r="H41" s="206"/>
      <c r="I41" s="206"/>
      <c r="J41" s="206"/>
    </row>
    <row r="64" spans="6:6">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workbookViewId="0">
      <selection activeCell="S17" sqref="S17"/>
    </sheetView>
  </sheetViews>
  <sheetFormatPr defaultColWidth="9.28515625" defaultRowHeight="15"/>
  <cols>
    <col min="1" max="1" width="21.28515625" style="2" customWidth="1"/>
    <col min="2" max="2" width="13.7109375" style="2" customWidth="1"/>
    <col min="3" max="3" width="16.28515625" style="2" customWidth="1"/>
    <col min="4" max="4" width="9.28515625" style="2"/>
    <col min="5" max="5" width="11.5703125" style="2" bestFit="1" customWidth="1"/>
    <col min="6" max="12" width="9.28515625" style="2"/>
    <col min="13" max="13" width="10.42578125" style="2" customWidth="1"/>
    <col min="14" max="16384" width="9.28515625" style="2"/>
  </cols>
  <sheetData>
    <row r="1" spans="1:16">
      <c r="A1" s="92" t="str">
        <f>+'Cover Page'!$B$29</f>
        <v>Annual Performance Report 2022</v>
      </c>
      <c r="B1" s="92"/>
      <c r="C1" s="92"/>
      <c r="D1" s="92"/>
      <c r="E1" s="92"/>
      <c r="F1" s="92"/>
      <c r="G1" s="92"/>
      <c r="H1" s="92"/>
      <c r="I1" s="92" t="str">
        <f>+'Cover Page'!$B$33</f>
        <v>Greatmoor Energy from Waste Facility</v>
      </c>
      <c r="J1" s="92"/>
      <c r="K1" s="92"/>
      <c r="L1" s="92"/>
      <c r="M1" s="92"/>
      <c r="N1" s="92"/>
      <c r="O1" s="92"/>
      <c r="P1" s="92"/>
    </row>
    <row r="3" spans="1:16" ht="15.6">
      <c r="A3" s="1" t="s">
        <v>358</v>
      </c>
      <c r="B3" s="92"/>
      <c r="C3" s="92"/>
      <c r="D3" s="92"/>
      <c r="E3" s="92"/>
      <c r="F3" s="92"/>
      <c r="G3" s="92"/>
      <c r="H3" s="92"/>
      <c r="I3" s="92"/>
      <c r="J3" s="92"/>
      <c r="K3" s="92"/>
      <c r="L3" s="92"/>
      <c r="M3" s="92"/>
      <c r="N3" s="92"/>
      <c r="O3" s="92"/>
      <c r="P3" s="92"/>
    </row>
    <row r="4" spans="1:16" ht="15.6">
      <c r="A4" s="1"/>
      <c r="B4" s="92"/>
      <c r="C4" s="92"/>
      <c r="D4" s="92"/>
      <c r="E4" s="92"/>
      <c r="F4" s="92"/>
      <c r="G4" s="92"/>
      <c r="H4" s="92"/>
      <c r="I4" s="92"/>
      <c r="J4" s="92"/>
      <c r="K4" s="92"/>
      <c r="L4" s="92"/>
      <c r="M4" s="92"/>
      <c r="N4" s="92"/>
      <c r="O4" s="92"/>
      <c r="P4" s="73" t="s">
        <v>3</v>
      </c>
    </row>
    <row r="5" spans="1:16" s="3" customFormat="1" ht="21.75" customHeight="1">
      <c r="A5" s="48" t="s">
        <v>317</v>
      </c>
      <c r="B5" s="49"/>
      <c r="C5" s="49"/>
      <c r="D5" s="49"/>
      <c r="E5" s="49"/>
      <c r="F5" s="49"/>
      <c r="G5" s="49"/>
      <c r="H5" s="49"/>
      <c r="I5" s="49"/>
      <c r="J5" s="49"/>
      <c r="K5" s="49"/>
      <c r="L5" s="49"/>
      <c r="M5" s="50"/>
      <c r="P5" s="74" t="s">
        <v>359</v>
      </c>
    </row>
    <row r="6" spans="1:16" s="3" customFormat="1" ht="15.75" customHeight="1">
      <c r="A6" s="195"/>
      <c r="B6" s="142"/>
      <c r="C6" s="142"/>
      <c r="D6" s="142"/>
      <c r="E6" s="142"/>
      <c r="F6" s="142"/>
      <c r="G6" s="142"/>
      <c r="H6" s="142"/>
      <c r="I6" s="142"/>
      <c r="J6" s="142"/>
      <c r="K6" s="142"/>
      <c r="L6" s="142"/>
      <c r="M6" s="143"/>
      <c r="P6" s="3" t="s">
        <v>360</v>
      </c>
    </row>
    <row r="7" spans="1:16" s="3" customFormat="1" ht="15.75" customHeight="1">
      <c r="A7" s="147"/>
      <c r="B7" s="148"/>
      <c r="C7" s="148"/>
      <c r="D7" s="148"/>
      <c r="E7" s="148"/>
      <c r="F7" s="148"/>
      <c r="G7" s="148"/>
      <c r="H7" s="148"/>
      <c r="I7" s="148"/>
      <c r="J7" s="148"/>
      <c r="K7" s="148"/>
      <c r="L7" s="148"/>
      <c r="M7" s="149"/>
    </row>
    <row r="8" spans="1:16" s="3" customFormat="1" ht="15.75" customHeight="1">
      <c r="A8" s="133"/>
      <c r="B8" s="134"/>
      <c r="C8" s="134"/>
      <c r="D8" s="134"/>
      <c r="E8" s="134"/>
      <c r="F8" s="134"/>
      <c r="G8" s="134"/>
      <c r="H8" s="134"/>
      <c r="I8" s="134"/>
      <c r="J8" s="134"/>
      <c r="K8" s="134"/>
      <c r="L8" s="134"/>
      <c r="M8" s="135"/>
    </row>
    <row r="9" spans="1:16" s="3" customFormat="1" ht="15.75" customHeight="1">
      <c r="A9" s="139"/>
      <c r="B9" s="140"/>
      <c r="C9" s="140"/>
      <c r="D9" s="140"/>
      <c r="E9" s="140"/>
      <c r="F9" s="140"/>
      <c r="G9" s="140"/>
      <c r="H9" s="140"/>
      <c r="I9" s="140"/>
      <c r="J9" s="140"/>
      <c r="K9" s="140"/>
      <c r="L9" s="140"/>
      <c r="M9" s="141"/>
    </row>
    <row r="10" spans="1:16" s="3" customFormat="1" ht="13.9"/>
    <row r="11" spans="1:16" s="56" customFormat="1" ht="16.5" customHeight="1">
      <c r="A11" s="208" t="s">
        <v>361</v>
      </c>
      <c r="B11" s="208"/>
      <c r="C11" s="208"/>
      <c r="D11" s="208"/>
      <c r="E11" s="208"/>
      <c r="F11" s="208"/>
      <c r="G11" s="208"/>
      <c r="H11" s="208"/>
      <c r="I11" s="208"/>
      <c r="J11" s="208"/>
      <c r="K11" s="208"/>
      <c r="L11" s="208"/>
      <c r="M11" s="208"/>
    </row>
    <row r="12" spans="1:16" s="56" customFormat="1" ht="16.5" customHeight="1">
      <c r="A12" s="234" t="s">
        <v>219</v>
      </c>
      <c r="B12" s="227" t="s">
        <v>362</v>
      </c>
      <c r="C12" s="172" t="s">
        <v>322</v>
      </c>
      <c r="D12" s="173" t="s">
        <v>193</v>
      </c>
      <c r="E12" s="236"/>
      <c r="F12" s="173" t="s">
        <v>194</v>
      </c>
      <c r="G12" s="236"/>
      <c r="H12" s="173" t="s">
        <v>195</v>
      </c>
      <c r="I12" s="236"/>
      <c r="J12" s="173" t="s">
        <v>196</v>
      </c>
      <c r="K12" s="236"/>
      <c r="L12" s="173" t="s">
        <v>197</v>
      </c>
      <c r="M12" s="236"/>
    </row>
    <row r="13" spans="1:16" s="12" customFormat="1" ht="17.25" customHeight="1">
      <c r="A13" s="234"/>
      <c r="B13" s="235"/>
      <c r="C13" s="172"/>
      <c r="D13" s="46" t="s">
        <v>315</v>
      </c>
      <c r="E13" s="57" t="s">
        <v>363</v>
      </c>
      <c r="F13" s="46" t="s">
        <v>315</v>
      </c>
      <c r="G13" s="57" t="s">
        <v>363</v>
      </c>
      <c r="H13" s="46" t="s">
        <v>315</v>
      </c>
      <c r="I13" s="57" t="s">
        <v>363</v>
      </c>
      <c r="J13" s="46" t="s">
        <v>315</v>
      </c>
      <c r="K13" s="57" t="s">
        <v>363</v>
      </c>
      <c r="L13" s="46" t="s">
        <v>315</v>
      </c>
      <c r="M13" s="57" t="s">
        <v>363</v>
      </c>
      <c r="N13" s="286"/>
      <c r="O13" s="286"/>
      <c r="P13" s="286"/>
    </row>
    <row r="14" spans="1:16" s="12" customFormat="1" ht="23.25" customHeight="1">
      <c r="A14" s="334" t="s">
        <v>225</v>
      </c>
      <c r="B14" s="367" t="s">
        <v>364</v>
      </c>
      <c r="C14" s="367" t="s">
        <v>365</v>
      </c>
      <c r="D14" s="395">
        <v>181</v>
      </c>
      <c r="E14" s="111">
        <f>NOx!N19</f>
        <v>178.6966946800959</v>
      </c>
      <c r="F14" s="103"/>
      <c r="G14" s="103"/>
      <c r="H14" s="103"/>
      <c r="I14" s="103"/>
      <c r="J14" s="103"/>
      <c r="K14" s="103"/>
      <c r="L14" s="103"/>
      <c r="M14" s="103"/>
      <c r="N14" s="286"/>
      <c r="O14" s="286"/>
      <c r="P14" s="286"/>
    </row>
    <row r="15" spans="1:16" s="12" customFormat="1" ht="23.25" customHeight="1">
      <c r="A15" s="334"/>
      <c r="B15" s="367" t="s">
        <v>366</v>
      </c>
      <c r="C15" s="367" t="s">
        <v>367</v>
      </c>
      <c r="D15" s="395">
        <v>270</v>
      </c>
      <c r="E15" s="111">
        <f>NOx!L19</f>
        <v>178.75</v>
      </c>
      <c r="F15" s="103"/>
      <c r="G15" s="103"/>
      <c r="H15" s="103"/>
      <c r="I15" s="103"/>
      <c r="J15" s="103"/>
      <c r="K15" s="103"/>
      <c r="L15" s="103"/>
      <c r="M15" s="103"/>
      <c r="N15" s="286"/>
      <c r="O15" s="286"/>
      <c r="P15" s="286"/>
    </row>
    <row r="16" spans="1:16" s="12" customFormat="1" ht="23.25" customHeight="1">
      <c r="A16" s="396" t="s">
        <v>224</v>
      </c>
      <c r="B16" s="397" t="s">
        <v>364</v>
      </c>
      <c r="C16" s="367" t="s">
        <v>368</v>
      </c>
      <c r="D16" s="395">
        <v>4</v>
      </c>
      <c r="E16" s="111">
        <f>Particulates!N19</f>
        <v>1.7803718870734999</v>
      </c>
      <c r="F16" s="103"/>
      <c r="G16" s="103"/>
      <c r="H16" s="103"/>
      <c r="I16" s="103"/>
      <c r="J16" s="103"/>
      <c r="K16" s="103"/>
      <c r="L16" s="103"/>
      <c r="M16" s="103"/>
      <c r="N16" s="286"/>
      <c r="O16" s="286"/>
      <c r="P16" s="286"/>
    </row>
    <row r="17" spans="1:13" s="12" customFormat="1" ht="23.25" customHeight="1">
      <c r="A17" s="396"/>
      <c r="B17" s="367" t="s">
        <v>366</v>
      </c>
      <c r="C17" s="367" t="s">
        <v>369</v>
      </c>
      <c r="D17" s="395">
        <v>15</v>
      </c>
      <c r="E17" s="111">
        <f>Particulates!L19</f>
        <v>2</v>
      </c>
      <c r="F17" s="103"/>
      <c r="G17" s="103"/>
      <c r="H17" s="103"/>
      <c r="I17" s="103"/>
      <c r="J17" s="103"/>
      <c r="K17" s="103"/>
      <c r="L17" s="103"/>
      <c r="M17" s="103"/>
    </row>
    <row r="18" spans="1:13" s="12" customFormat="1" ht="23.25" customHeight="1">
      <c r="A18" s="396" t="s">
        <v>370</v>
      </c>
      <c r="B18" s="367" t="s">
        <v>364</v>
      </c>
      <c r="C18" s="367" t="s">
        <v>371</v>
      </c>
      <c r="D18" s="395">
        <v>1</v>
      </c>
      <c r="E18" s="111">
        <f>TOC!N19</f>
        <v>0.53614685739887358</v>
      </c>
      <c r="F18" s="103"/>
      <c r="G18" s="103"/>
      <c r="H18" s="103"/>
      <c r="I18" s="103"/>
      <c r="J18" s="103"/>
      <c r="K18" s="103"/>
      <c r="L18" s="103"/>
      <c r="M18" s="103"/>
    </row>
    <row r="19" spans="1:13" s="12" customFormat="1" ht="23.25" customHeight="1">
      <c r="A19" s="396"/>
      <c r="B19" s="367" t="s">
        <v>366</v>
      </c>
      <c r="C19" s="367" t="s">
        <v>372</v>
      </c>
      <c r="D19" s="395">
        <v>6</v>
      </c>
      <c r="E19" s="111">
        <f>TOC!L19</f>
        <v>0.91666666666666663</v>
      </c>
      <c r="F19" s="103"/>
      <c r="G19" s="103"/>
      <c r="H19" s="103"/>
      <c r="I19" s="103"/>
      <c r="J19" s="103"/>
      <c r="K19" s="103"/>
      <c r="L19" s="103"/>
      <c r="M19" s="103"/>
    </row>
    <row r="20" spans="1:13" s="12" customFormat="1" ht="23.25" customHeight="1">
      <c r="A20" s="396" t="s">
        <v>373</v>
      </c>
      <c r="B20" s="367" t="s">
        <v>364</v>
      </c>
      <c r="C20" s="367" t="s">
        <v>371</v>
      </c>
      <c r="D20" s="395">
        <v>9</v>
      </c>
      <c r="E20" s="111">
        <f>HCl!N19</f>
        <v>4.4957904913187168</v>
      </c>
      <c r="F20" s="103"/>
      <c r="G20" s="103"/>
      <c r="H20" s="103"/>
      <c r="I20" s="103"/>
      <c r="J20" s="103"/>
      <c r="K20" s="103"/>
      <c r="L20" s="103"/>
      <c r="M20" s="103"/>
    </row>
    <row r="21" spans="1:13" s="12" customFormat="1" ht="23.25" customHeight="1">
      <c r="A21" s="396"/>
      <c r="B21" s="367" t="s">
        <v>366</v>
      </c>
      <c r="C21" s="367" t="s">
        <v>374</v>
      </c>
      <c r="D21" s="395">
        <v>16</v>
      </c>
      <c r="E21" s="111">
        <f>HCl!L19</f>
        <v>4.5</v>
      </c>
      <c r="F21" s="103"/>
      <c r="G21" s="103"/>
      <c r="H21" s="103"/>
      <c r="I21" s="103"/>
      <c r="J21" s="103"/>
      <c r="K21" s="103"/>
      <c r="L21" s="103"/>
      <c r="M21" s="103"/>
    </row>
    <row r="22" spans="1:13" s="12" customFormat="1" ht="23.25" customHeight="1">
      <c r="A22" s="396" t="s">
        <v>226</v>
      </c>
      <c r="B22" s="367" t="s">
        <v>364</v>
      </c>
      <c r="C22" s="367" t="s">
        <v>375</v>
      </c>
      <c r="D22" s="395">
        <v>14</v>
      </c>
      <c r="E22" s="111">
        <f>'SO2'!N19</f>
        <v>7.4364212953265367</v>
      </c>
      <c r="F22" s="103"/>
      <c r="G22" s="103"/>
      <c r="H22" s="103"/>
      <c r="I22" s="103"/>
      <c r="J22" s="103"/>
      <c r="K22" s="103"/>
      <c r="L22" s="103"/>
      <c r="M22" s="103"/>
    </row>
    <row r="23" spans="1:13" s="12" customFormat="1" ht="23.25" customHeight="1">
      <c r="A23" s="396"/>
      <c r="B23" s="367" t="s">
        <v>366</v>
      </c>
      <c r="C23" s="367" t="s">
        <v>365</v>
      </c>
      <c r="D23" s="395">
        <v>56</v>
      </c>
      <c r="E23" s="111">
        <f>'SO2'!L19</f>
        <v>7.416666666666667</v>
      </c>
      <c r="F23" s="103"/>
      <c r="G23" s="103"/>
      <c r="H23" s="103"/>
      <c r="I23" s="103"/>
      <c r="J23" s="103"/>
      <c r="K23" s="103"/>
      <c r="L23" s="103"/>
      <c r="M23" s="103"/>
    </row>
    <row r="24" spans="1:13" s="12" customFormat="1" ht="23.25" customHeight="1">
      <c r="A24" s="396" t="s">
        <v>376</v>
      </c>
      <c r="B24" s="367" t="s">
        <v>364</v>
      </c>
      <c r="C24" s="367" t="s">
        <v>375</v>
      </c>
      <c r="D24" s="395">
        <v>14</v>
      </c>
      <c r="E24" s="111">
        <f>'CO 95% 10 min'!P19</f>
        <v>5.9565034736768609</v>
      </c>
      <c r="F24" s="103"/>
      <c r="G24" s="103"/>
      <c r="H24" s="103"/>
      <c r="I24" s="103"/>
      <c r="J24" s="103"/>
      <c r="K24" s="103"/>
      <c r="L24" s="103"/>
      <c r="M24" s="103"/>
    </row>
    <row r="25" spans="1:13" s="12" customFormat="1" ht="23.25" customHeight="1">
      <c r="A25" s="396"/>
      <c r="B25" s="103" t="s">
        <v>377</v>
      </c>
      <c r="C25" s="103" t="s">
        <v>378</v>
      </c>
      <c r="D25" s="103" t="s">
        <v>134</v>
      </c>
      <c r="E25" s="111" t="s">
        <v>134</v>
      </c>
      <c r="F25" s="103"/>
      <c r="G25" s="103"/>
      <c r="H25" s="103"/>
      <c r="I25" s="103"/>
      <c r="J25" s="103"/>
      <c r="K25" s="103"/>
      <c r="L25" s="103"/>
      <c r="M25" s="103"/>
    </row>
    <row r="26" spans="1:13" s="12" customFormat="1" ht="23.25" customHeight="1">
      <c r="A26" s="396"/>
      <c r="B26" s="103" t="s">
        <v>379</v>
      </c>
      <c r="C26" s="103" t="s">
        <v>380</v>
      </c>
      <c r="D26" s="103">
        <v>8.89</v>
      </c>
      <c r="E26" s="111">
        <f>'CO 95% 10 min'!M19</f>
        <v>7.6108333333333329</v>
      </c>
      <c r="F26" s="103"/>
      <c r="G26" s="103"/>
      <c r="H26" s="103"/>
      <c r="I26" s="103"/>
      <c r="J26" s="103"/>
      <c r="K26" s="103"/>
      <c r="L26" s="103"/>
      <c r="M26" s="103"/>
    </row>
    <row r="27" spans="1:13" s="12" customFormat="1" ht="23.25" customHeight="1">
      <c r="A27" s="398" t="s">
        <v>381</v>
      </c>
      <c r="B27" s="399" t="s">
        <v>364</v>
      </c>
      <c r="C27" s="399" t="s">
        <v>382</v>
      </c>
      <c r="D27" s="400">
        <v>1</v>
      </c>
      <c r="E27" s="401">
        <f>'NH3'!N19</f>
        <v>0.26632719184936926</v>
      </c>
      <c r="F27" s="402"/>
      <c r="G27" s="402"/>
      <c r="H27" s="402"/>
      <c r="I27" s="402"/>
      <c r="J27" s="402"/>
      <c r="K27" s="402"/>
      <c r="L27" s="402"/>
      <c r="M27" s="402"/>
    </row>
    <row r="28" spans="1:13">
      <c r="A28" s="230" t="s">
        <v>383</v>
      </c>
      <c r="B28" s="231"/>
      <c r="C28" s="231"/>
      <c r="D28" s="231"/>
      <c r="E28" s="231"/>
      <c r="F28" s="231"/>
      <c r="G28" s="231"/>
      <c r="H28" s="231"/>
      <c r="I28" s="231"/>
      <c r="J28" s="231"/>
      <c r="K28" s="231"/>
      <c r="L28" s="231"/>
      <c r="M28" s="232"/>
    </row>
    <row r="29" spans="1:13">
      <c r="A29" s="83" t="s">
        <v>311</v>
      </c>
      <c r="B29" s="84"/>
      <c r="C29" s="84"/>
      <c r="D29" s="84"/>
      <c r="E29" s="84"/>
      <c r="F29" s="84"/>
      <c r="G29" s="84"/>
      <c r="H29" s="84"/>
      <c r="I29" s="84"/>
      <c r="J29" s="84"/>
      <c r="K29" s="84"/>
      <c r="L29" s="84"/>
      <c r="M29" s="85"/>
    </row>
    <row r="30" spans="1:13">
      <c r="A30" s="233"/>
      <c r="B30" s="233"/>
      <c r="C30" s="233"/>
      <c r="D30" s="233"/>
      <c r="E30" s="233"/>
      <c r="F30" s="233"/>
      <c r="G30" s="233"/>
      <c r="H30" s="233"/>
      <c r="I30" s="233"/>
      <c r="J30" s="233"/>
      <c r="K30" s="233"/>
      <c r="L30" s="233"/>
      <c r="M30" s="233"/>
    </row>
    <row r="31" spans="1:13">
      <c r="A31" s="206"/>
      <c r="B31" s="206"/>
      <c r="C31" s="206"/>
      <c r="D31" s="206"/>
      <c r="E31" s="206"/>
      <c r="F31" s="206"/>
      <c r="G31" s="206"/>
      <c r="H31" s="206"/>
      <c r="I31" s="206"/>
      <c r="J31" s="206"/>
      <c r="K31" s="206"/>
      <c r="L31" s="206"/>
      <c r="M31" s="206"/>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H21" sqref="H21"/>
    </sheetView>
  </sheetViews>
  <sheetFormatPr defaultRowHeight="13.9"/>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Greatmoor Energy from Waste Facility</v>
      </c>
      <c r="F1" s="92"/>
      <c r="G1" s="92"/>
    </row>
    <row r="3" spans="1:19" ht="14.45">
      <c r="A3" s="60" t="s">
        <v>384</v>
      </c>
      <c r="D3" s="76" t="s">
        <v>385</v>
      </c>
      <c r="G3" s="80" t="s">
        <v>386</v>
      </c>
      <c r="J3" s="9" t="str">
        <f>+A3</f>
        <v>Monitoring of Hydrogen Chloride emissions</v>
      </c>
      <c r="L3" s="9"/>
      <c r="N3" s="9" t="s">
        <v>387</v>
      </c>
      <c r="Q3" s="79" t="s">
        <v>3</v>
      </c>
      <c r="R3" s="74"/>
      <c r="S3" s="74"/>
    </row>
    <row r="4" spans="1:19" ht="13.9" customHeight="1">
      <c r="Q4" s="229" t="s">
        <v>388</v>
      </c>
      <c r="R4" s="229"/>
      <c r="S4" s="229"/>
    </row>
    <row r="5" spans="1:19" ht="16.149999999999999">
      <c r="A5" s="68" t="s">
        <v>389</v>
      </c>
      <c r="B5" s="240" t="s">
        <v>390</v>
      </c>
      <c r="C5" s="240"/>
      <c r="D5" s="240"/>
      <c r="E5" s="240" t="s">
        <v>391</v>
      </c>
      <c r="F5" s="240"/>
      <c r="G5" s="240"/>
      <c r="J5" s="239"/>
      <c r="K5" s="239"/>
      <c r="L5" s="239"/>
      <c r="M5" s="239"/>
      <c r="N5" s="239"/>
      <c r="O5" s="239"/>
      <c r="Q5" s="229"/>
      <c r="R5" s="229"/>
      <c r="S5" s="229"/>
    </row>
    <row r="6" spans="1:19" s="58" customFormat="1" ht="37.5" customHeight="1">
      <c r="A6" s="65">
        <f>+'Cover Page'!C39</f>
        <v>2022</v>
      </c>
      <c r="B6" s="55" t="s">
        <v>392</v>
      </c>
      <c r="C6" s="55" t="s">
        <v>393</v>
      </c>
      <c r="D6" s="55" t="s">
        <v>394</v>
      </c>
      <c r="E6" s="55" t="s">
        <v>395</v>
      </c>
      <c r="F6" s="55" t="s">
        <v>396</v>
      </c>
      <c r="G6" s="55" t="s">
        <v>397</v>
      </c>
      <c r="H6" s="59"/>
      <c r="J6" s="61">
        <f>+A6</f>
        <v>2022</v>
      </c>
      <c r="K6" s="61" t="s">
        <v>398</v>
      </c>
      <c r="L6" s="67" t="s">
        <v>393</v>
      </c>
      <c r="M6" s="67" t="s">
        <v>399</v>
      </c>
      <c r="N6" s="67" t="s">
        <v>396</v>
      </c>
      <c r="O6" s="67" t="s">
        <v>400</v>
      </c>
      <c r="Q6" s="229"/>
      <c r="R6" s="229"/>
      <c r="S6" s="229"/>
    </row>
    <row r="7" spans="1:19" ht="13.9" customHeight="1">
      <c r="A7" s="66" t="s">
        <v>401</v>
      </c>
      <c r="B7" s="63">
        <v>60</v>
      </c>
      <c r="C7" s="64">
        <v>4</v>
      </c>
      <c r="D7" s="64">
        <v>11</v>
      </c>
      <c r="E7" s="63">
        <v>10</v>
      </c>
      <c r="F7" s="106">
        <v>3.5632258064516127</v>
      </c>
      <c r="G7" s="64">
        <v>6</v>
      </c>
      <c r="J7" s="238" t="s">
        <v>193</v>
      </c>
      <c r="K7" s="66" t="s">
        <v>401</v>
      </c>
      <c r="L7" s="64">
        <v>4</v>
      </c>
      <c r="M7" s="64">
        <v>11</v>
      </c>
      <c r="N7" s="106">
        <v>3.5632258064516127</v>
      </c>
      <c r="O7" s="64">
        <v>6</v>
      </c>
      <c r="Q7" s="229"/>
      <c r="R7" s="229"/>
      <c r="S7" s="229"/>
    </row>
    <row r="8" spans="1:19">
      <c r="A8" s="66" t="s">
        <v>402</v>
      </c>
      <c r="B8" s="63">
        <v>60</v>
      </c>
      <c r="C8" s="64">
        <v>5</v>
      </c>
      <c r="D8" s="64">
        <v>10</v>
      </c>
      <c r="E8" s="63">
        <v>10</v>
      </c>
      <c r="F8" s="106">
        <v>4.6285714285714281</v>
      </c>
      <c r="G8" s="64">
        <v>7</v>
      </c>
      <c r="J8" s="238"/>
      <c r="K8" s="66" t="s">
        <v>402</v>
      </c>
      <c r="L8" s="64">
        <v>5</v>
      </c>
      <c r="M8" s="64">
        <v>10</v>
      </c>
      <c r="N8" s="106">
        <v>4.6285714285714281</v>
      </c>
      <c r="O8" s="64">
        <v>7</v>
      </c>
      <c r="Q8" s="229"/>
      <c r="R8" s="229"/>
      <c r="S8" s="229"/>
    </row>
    <row r="9" spans="1:19">
      <c r="A9" s="66" t="s">
        <v>403</v>
      </c>
      <c r="B9" s="63">
        <v>60</v>
      </c>
      <c r="C9" s="64">
        <v>5</v>
      </c>
      <c r="D9" s="64">
        <v>11</v>
      </c>
      <c r="E9" s="63">
        <v>10</v>
      </c>
      <c r="F9" s="106">
        <v>5.4403225806451623</v>
      </c>
      <c r="G9" s="64">
        <v>7</v>
      </c>
      <c r="J9" s="238"/>
      <c r="K9" s="66" t="s">
        <v>403</v>
      </c>
      <c r="L9" s="64">
        <v>5</v>
      </c>
      <c r="M9" s="64">
        <v>11</v>
      </c>
      <c r="N9" s="106">
        <v>5.4403225806451623</v>
      </c>
      <c r="O9" s="64">
        <v>7</v>
      </c>
      <c r="Q9" s="78" t="s">
        <v>404</v>
      </c>
    </row>
    <row r="10" spans="1:19" ht="13.9" customHeight="1">
      <c r="A10" s="66" t="s">
        <v>405</v>
      </c>
      <c r="B10" s="63">
        <v>60</v>
      </c>
      <c r="C10" s="64">
        <v>5</v>
      </c>
      <c r="D10" s="64">
        <v>10</v>
      </c>
      <c r="E10" s="63">
        <v>10</v>
      </c>
      <c r="F10" s="106">
        <v>5.3106666666666671</v>
      </c>
      <c r="G10" s="64">
        <v>7</v>
      </c>
      <c r="J10" s="238"/>
      <c r="K10" s="66" t="s">
        <v>405</v>
      </c>
      <c r="L10" s="64">
        <v>5</v>
      </c>
      <c r="M10" s="64">
        <v>10</v>
      </c>
      <c r="N10" s="106">
        <v>5.3106666666666671</v>
      </c>
      <c r="O10" s="64">
        <v>7</v>
      </c>
      <c r="Q10" s="237" t="s">
        <v>406</v>
      </c>
      <c r="R10" s="237"/>
      <c r="S10" s="237"/>
    </row>
    <row r="11" spans="1:19">
      <c r="A11" s="66" t="s">
        <v>407</v>
      </c>
      <c r="B11" s="63">
        <v>60</v>
      </c>
      <c r="C11" s="64">
        <v>5</v>
      </c>
      <c r="D11" s="64">
        <v>10</v>
      </c>
      <c r="E11" s="63">
        <v>10</v>
      </c>
      <c r="F11" s="106">
        <v>5.4349999999999996</v>
      </c>
      <c r="G11" s="64">
        <v>7</v>
      </c>
      <c r="J11" s="238"/>
      <c r="K11" s="66" t="s">
        <v>407</v>
      </c>
      <c r="L11" s="64">
        <v>5</v>
      </c>
      <c r="M11" s="64">
        <v>10</v>
      </c>
      <c r="N11" s="106">
        <v>5.4349999999999996</v>
      </c>
      <c r="O11" s="64">
        <v>7</v>
      </c>
      <c r="Q11" s="237"/>
      <c r="R11" s="237"/>
      <c r="S11" s="237"/>
    </row>
    <row r="12" spans="1:19">
      <c r="A12" s="66" t="s">
        <v>408</v>
      </c>
      <c r="B12" s="63">
        <v>60</v>
      </c>
      <c r="C12" s="64">
        <v>5</v>
      </c>
      <c r="D12" s="64">
        <v>13</v>
      </c>
      <c r="E12" s="63">
        <v>10</v>
      </c>
      <c r="F12" s="106">
        <v>5.0908333333333333</v>
      </c>
      <c r="G12" s="64">
        <v>9</v>
      </c>
      <c r="J12" s="238"/>
      <c r="K12" s="66" t="s">
        <v>408</v>
      </c>
      <c r="L12" s="64">
        <v>5</v>
      </c>
      <c r="M12" s="64">
        <v>13</v>
      </c>
      <c r="N12" s="106">
        <v>5.0908333333333333</v>
      </c>
      <c r="O12" s="64">
        <v>9</v>
      </c>
      <c r="Q12" s="237"/>
      <c r="R12" s="237"/>
      <c r="S12" s="237"/>
    </row>
    <row r="13" spans="1:19" ht="13.9" customHeight="1">
      <c r="A13" s="66" t="s">
        <v>409</v>
      </c>
      <c r="B13" s="63">
        <v>60</v>
      </c>
      <c r="C13" s="64">
        <v>6</v>
      </c>
      <c r="D13" s="64">
        <v>12</v>
      </c>
      <c r="E13" s="63">
        <v>10</v>
      </c>
      <c r="F13" s="106">
        <v>5.9474193548387086</v>
      </c>
      <c r="G13" s="64">
        <v>9</v>
      </c>
      <c r="J13" s="238"/>
      <c r="K13" s="66" t="s">
        <v>409</v>
      </c>
      <c r="L13" s="64">
        <v>6</v>
      </c>
      <c r="M13" s="64">
        <v>12</v>
      </c>
      <c r="N13" s="106">
        <v>5.9474193548387086</v>
      </c>
      <c r="O13" s="64">
        <v>9</v>
      </c>
      <c r="Q13" s="237" t="s">
        <v>410</v>
      </c>
      <c r="R13" s="237"/>
      <c r="S13" s="237"/>
    </row>
    <row r="14" spans="1:19">
      <c r="A14" s="66" t="s">
        <v>411</v>
      </c>
      <c r="B14" s="63">
        <v>60</v>
      </c>
      <c r="C14" s="64">
        <v>4</v>
      </c>
      <c r="D14" s="64">
        <v>8</v>
      </c>
      <c r="E14" s="63">
        <v>10</v>
      </c>
      <c r="F14" s="106">
        <v>4.2712903225806444</v>
      </c>
      <c r="G14" s="64">
        <v>7</v>
      </c>
      <c r="J14" s="238"/>
      <c r="K14" s="66" t="s">
        <v>411</v>
      </c>
      <c r="L14" s="64">
        <v>4</v>
      </c>
      <c r="M14" s="64">
        <v>8</v>
      </c>
      <c r="N14" s="106">
        <v>4.2712903225806444</v>
      </c>
      <c r="O14" s="64">
        <v>7</v>
      </c>
      <c r="Q14" s="237"/>
      <c r="R14" s="237"/>
      <c r="S14" s="237"/>
    </row>
    <row r="15" spans="1:19">
      <c r="A15" s="66" t="s">
        <v>412</v>
      </c>
      <c r="B15" s="63">
        <v>60</v>
      </c>
      <c r="C15" s="64">
        <v>4</v>
      </c>
      <c r="D15" s="64">
        <v>7</v>
      </c>
      <c r="E15" s="63">
        <v>10</v>
      </c>
      <c r="F15" s="106">
        <v>3.5636666666666659</v>
      </c>
      <c r="G15" s="64">
        <v>5</v>
      </c>
      <c r="J15" s="238"/>
      <c r="K15" s="66" t="s">
        <v>412</v>
      </c>
      <c r="L15" s="64">
        <v>4</v>
      </c>
      <c r="M15" s="64">
        <v>7</v>
      </c>
      <c r="N15" s="106">
        <v>3.5636666666666659</v>
      </c>
      <c r="O15" s="64">
        <v>5</v>
      </c>
      <c r="Q15" s="237"/>
      <c r="R15" s="237"/>
      <c r="S15" s="237"/>
    </row>
    <row r="16" spans="1:19">
      <c r="A16" s="66" t="s">
        <v>413</v>
      </c>
      <c r="B16" s="63">
        <v>60</v>
      </c>
      <c r="C16" s="64">
        <v>3</v>
      </c>
      <c r="D16" s="64">
        <v>9</v>
      </c>
      <c r="E16" s="63">
        <v>10</v>
      </c>
      <c r="F16" s="106">
        <v>3.2480645161290322</v>
      </c>
      <c r="G16" s="64">
        <v>5</v>
      </c>
      <c r="J16" s="238"/>
      <c r="K16" s="66" t="s">
        <v>413</v>
      </c>
      <c r="L16" s="64">
        <v>3</v>
      </c>
      <c r="M16" s="64">
        <v>9</v>
      </c>
      <c r="N16" s="106">
        <v>3.2480645161290322</v>
      </c>
      <c r="O16" s="64">
        <v>5</v>
      </c>
      <c r="Q16" s="237"/>
      <c r="R16" s="237"/>
      <c r="S16" s="237"/>
    </row>
    <row r="17" spans="1:15">
      <c r="A17" s="66" t="s">
        <v>414</v>
      </c>
      <c r="B17" s="63">
        <v>60</v>
      </c>
      <c r="C17" s="64">
        <v>3</v>
      </c>
      <c r="D17" s="64">
        <v>10</v>
      </c>
      <c r="E17" s="63">
        <v>10</v>
      </c>
      <c r="F17" s="106">
        <v>2.8759090909090905</v>
      </c>
      <c r="G17" s="64">
        <v>5</v>
      </c>
      <c r="J17" s="238"/>
      <c r="K17" s="66" t="s">
        <v>414</v>
      </c>
      <c r="L17" s="64">
        <v>3</v>
      </c>
      <c r="M17" s="64">
        <v>10</v>
      </c>
      <c r="N17" s="106">
        <v>2.8759090909090905</v>
      </c>
      <c r="O17" s="64">
        <v>5</v>
      </c>
    </row>
    <row r="18" spans="1:15">
      <c r="A18" s="66" t="s">
        <v>415</v>
      </c>
      <c r="B18" s="63">
        <v>60</v>
      </c>
      <c r="C18" s="64">
        <v>5</v>
      </c>
      <c r="D18" s="64">
        <v>16</v>
      </c>
      <c r="E18" s="63">
        <v>10</v>
      </c>
      <c r="F18" s="106">
        <v>4.5745161290322569</v>
      </c>
      <c r="G18" s="64">
        <v>6</v>
      </c>
      <c r="J18" s="238"/>
      <c r="K18" s="66" t="s">
        <v>415</v>
      </c>
      <c r="L18" s="64">
        <v>5</v>
      </c>
      <c r="M18" s="64">
        <v>16</v>
      </c>
      <c r="N18" s="106">
        <v>4.5745161290322569</v>
      </c>
      <c r="O18" s="64">
        <v>6</v>
      </c>
    </row>
    <row r="19" spans="1:15">
      <c r="J19" s="238"/>
      <c r="K19" s="62" t="s">
        <v>416</v>
      </c>
      <c r="L19" s="62">
        <f>AVERAGE(L7:L18)</f>
        <v>4.5</v>
      </c>
      <c r="M19" s="62">
        <f>MAX(M7:M18)</f>
        <v>16</v>
      </c>
      <c r="N19" s="104">
        <f>AVERAGE(N7:N18)</f>
        <v>4.4957904913187168</v>
      </c>
      <c r="O19" s="62">
        <f>MAX(O7:O18)</f>
        <v>9</v>
      </c>
    </row>
    <row r="21" spans="1:15" ht="41.45">
      <c r="J21" s="61">
        <f>+A6</f>
        <v>2022</v>
      </c>
      <c r="K21" s="61" t="s">
        <v>398</v>
      </c>
      <c r="L21" s="67" t="s">
        <v>393</v>
      </c>
      <c r="M21" s="67" t="s">
        <v>399</v>
      </c>
      <c r="N21" s="67" t="s">
        <v>396</v>
      </c>
      <c r="O21" s="67" t="s">
        <v>400</v>
      </c>
    </row>
    <row r="22" spans="1:15">
      <c r="J22" s="238" t="s">
        <v>194</v>
      </c>
      <c r="K22" s="66" t="s">
        <v>401</v>
      </c>
      <c r="L22" s="64"/>
      <c r="M22" s="64"/>
      <c r="N22" s="64"/>
      <c r="O22" s="64"/>
    </row>
    <row r="23" spans="1:15">
      <c r="J23" s="238"/>
      <c r="K23" s="66" t="s">
        <v>402</v>
      </c>
      <c r="L23" s="64"/>
      <c r="M23" s="64"/>
      <c r="N23" s="64"/>
      <c r="O23" s="64"/>
    </row>
    <row r="24" spans="1:15">
      <c r="J24" s="238"/>
      <c r="K24" s="66" t="s">
        <v>403</v>
      </c>
      <c r="L24" s="64"/>
      <c r="M24" s="64"/>
      <c r="N24" s="64"/>
      <c r="O24" s="64"/>
    </row>
    <row r="25" spans="1:15">
      <c r="J25" s="238"/>
      <c r="K25" s="66" t="s">
        <v>405</v>
      </c>
      <c r="L25" s="64"/>
      <c r="M25" s="64"/>
      <c r="N25" s="64"/>
      <c r="O25" s="64"/>
    </row>
    <row r="26" spans="1:15">
      <c r="J26" s="238"/>
      <c r="K26" s="66" t="s">
        <v>407</v>
      </c>
      <c r="L26" s="64"/>
      <c r="M26" s="64"/>
      <c r="N26" s="64"/>
      <c r="O26" s="64"/>
    </row>
    <row r="27" spans="1:15">
      <c r="J27" s="238"/>
      <c r="K27" s="66" t="s">
        <v>408</v>
      </c>
      <c r="L27" s="64"/>
      <c r="M27" s="64"/>
      <c r="N27" s="64"/>
      <c r="O27" s="64"/>
    </row>
    <row r="28" spans="1:15">
      <c r="J28" s="238"/>
      <c r="K28" s="66" t="s">
        <v>409</v>
      </c>
      <c r="L28" s="64"/>
      <c r="M28" s="64"/>
      <c r="N28" s="64"/>
      <c r="O28" s="64"/>
    </row>
    <row r="29" spans="1:15">
      <c r="J29" s="238"/>
      <c r="K29" s="66" t="s">
        <v>411</v>
      </c>
      <c r="L29" s="64"/>
      <c r="M29" s="64"/>
      <c r="N29" s="64"/>
      <c r="O29" s="64"/>
    </row>
    <row r="30" spans="1:15">
      <c r="J30" s="238"/>
      <c r="K30" s="66" t="s">
        <v>412</v>
      </c>
      <c r="L30" s="64"/>
      <c r="M30" s="64"/>
      <c r="N30" s="64"/>
      <c r="O30" s="64"/>
    </row>
    <row r="31" spans="1:15">
      <c r="J31" s="238"/>
      <c r="K31" s="66" t="s">
        <v>413</v>
      </c>
      <c r="L31" s="64"/>
      <c r="M31" s="64"/>
      <c r="N31" s="64"/>
      <c r="O31" s="64"/>
    </row>
    <row r="32" spans="1:15">
      <c r="J32" s="238"/>
      <c r="K32" s="66" t="s">
        <v>414</v>
      </c>
      <c r="L32" s="64"/>
      <c r="M32" s="64"/>
      <c r="N32" s="64"/>
      <c r="O32" s="64"/>
    </row>
    <row r="33" spans="1:15">
      <c r="J33" s="238"/>
      <c r="K33" s="66" t="s">
        <v>415</v>
      </c>
      <c r="L33" s="64"/>
      <c r="M33" s="64"/>
      <c r="N33" s="64"/>
      <c r="O33" s="64"/>
    </row>
    <row r="34" spans="1:15">
      <c r="J34" s="238"/>
      <c r="K34" s="62" t="s">
        <v>416</v>
      </c>
      <c r="L34" s="62" t="e">
        <f>AVERAGE(L22:L33)</f>
        <v>#DIV/0!</v>
      </c>
      <c r="M34" s="62">
        <f>MAX(M22:M33)</f>
        <v>0</v>
      </c>
      <c r="N34" s="62" t="e">
        <f>AVERAGE(N22:N33)</f>
        <v>#DIV/0!</v>
      </c>
      <c r="O34" s="62">
        <f>MAX(O22:O33)</f>
        <v>0</v>
      </c>
    </row>
    <row r="36" spans="1:15" ht="41.45">
      <c r="J36" s="61">
        <f>+A6</f>
        <v>2022</v>
      </c>
      <c r="K36" s="61" t="s">
        <v>398</v>
      </c>
      <c r="L36" s="67" t="s">
        <v>393</v>
      </c>
      <c r="M36" s="67" t="s">
        <v>399</v>
      </c>
      <c r="N36" s="67" t="s">
        <v>396</v>
      </c>
      <c r="O36" s="67" t="s">
        <v>400</v>
      </c>
    </row>
    <row r="37" spans="1:15">
      <c r="J37" s="238" t="s">
        <v>195</v>
      </c>
      <c r="K37" s="66" t="s">
        <v>401</v>
      </c>
      <c r="L37" s="64"/>
      <c r="M37" s="64"/>
      <c r="N37" s="64"/>
      <c r="O37" s="64"/>
    </row>
    <row r="38" spans="1:15">
      <c r="J38" s="238"/>
      <c r="K38" s="66" t="s">
        <v>402</v>
      </c>
      <c r="L38" s="64"/>
      <c r="M38" s="64"/>
      <c r="N38" s="64"/>
      <c r="O38" s="64"/>
    </row>
    <row r="39" spans="1:15">
      <c r="J39" s="238"/>
      <c r="K39" s="66" t="s">
        <v>403</v>
      </c>
      <c r="L39" s="64"/>
      <c r="M39" s="64"/>
      <c r="N39" s="64"/>
      <c r="O39" s="64"/>
    </row>
    <row r="40" spans="1:15">
      <c r="J40" s="238"/>
      <c r="K40" s="66" t="s">
        <v>405</v>
      </c>
      <c r="L40" s="64"/>
      <c r="M40" s="64"/>
      <c r="N40" s="64"/>
      <c r="O40" s="64"/>
    </row>
    <row r="41" spans="1:15">
      <c r="J41" s="238"/>
      <c r="K41" s="66" t="s">
        <v>407</v>
      </c>
      <c r="L41" s="64"/>
      <c r="M41" s="64"/>
      <c r="N41" s="64"/>
      <c r="O41" s="64"/>
    </row>
    <row r="42" spans="1:15">
      <c r="J42" s="238"/>
      <c r="K42" s="66" t="s">
        <v>408</v>
      </c>
      <c r="L42" s="64"/>
      <c r="M42" s="64"/>
      <c r="N42" s="64"/>
      <c r="O42" s="64"/>
    </row>
    <row r="43" spans="1:15">
      <c r="J43" s="238"/>
      <c r="K43" s="66" t="s">
        <v>409</v>
      </c>
      <c r="L43" s="64"/>
      <c r="M43" s="64"/>
      <c r="N43" s="64"/>
      <c r="O43" s="64"/>
    </row>
    <row r="44" spans="1:15">
      <c r="J44" s="238"/>
      <c r="K44" s="66" t="s">
        <v>411</v>
      </c>
      <c r="L44" s="64"/>
      <c r="M44" s="64"/>
      <c r="N44" s="64"/>
      <c r="O44" s="64"/>
    </row>
    <row r="45" spans="1:15">
      <c r="J45" s="238"/>
      <c r="K45" s="66" t="s">
        <v>412</v>
      </c>
      <c r="L45" s="64"/>
      <c r="M45" s="64"/>
      <c r="N45" s="64"/>
      <c r="O45" s="64"/>
    </row>
    <row r="46" spans="1:15">
      <c r="J46" s="238"/>
      <c r="K46" s="66" t="s">
        <v>413</v>
      </c>
      <c r="L46" s="64"/>
      <c r="M46" s="64"/>
      <c r="N46" s="64"/>
      <c r="O46" s="64"/>
    </row>
    <row r="47" spans="1:15">
      <c r="J47" s="238"/>
      <c r="K47" s="66" t="s">
        <v>414</v>
      </c>
      <c r="L47" s="64"/>
      <c r="M47" s="64"/>
      <c r="N47" s="64"/>
      <c r="O47" s="64"/>
    </row>
    <row r="48" spans="1:15">
      <c r="A48" s="250" t="s">
        <v>311</v>
      </c>
      <c r="B48" s="251"/>
      <c r="C48" s="251"/>
      <c r="D48" s="251"/>
      <c r="E48" s="251"/>
      <c r="F48" s="251"/>
      <c r="G48" s="252"/>
      <c r="J48" s="238"/>
      <c r="K48" s="66" t="s">
        <v>415</v>
      </c>
      <c r="L48" s="64"/>
      <c r="M48" s="64"/>
      <c r="N48" s="64"/>
      <c r="O48" s="64"/>
    </row>
    <row r="49" spans="1:15">
      <c r="A49" s="241"/>
      <c r="B49" s="242"/>
      <c r="C49" s="242"/>
      <c r="D49" s="242"/>
      <c r="E49" s="242"/>
      <c r="F49" s="242"/>
      <c r="G49" s="243"/>
      <c r="J49" s="238"/>
      <c r="K49" s="62" t="s">
        <v>416</v>
      </c>
      <c r="L49" s="62" t="e">
        <f>AVERAGE(L37:L48)</f>
        <v>#DIV/0!</v>
      </c>
      <c r="M49" s="62">
        <f>MAX(M37:M48)</f>
        <v>0</v>
      </c>
      <c r="N49" s="62" t="e">
        <f>AVERAGE(N37:N48)</f>
        <v>#DIV/0!</v>
      </c>
      <c r="O49" s="62">
        <f>MAX(O37:O48)</f>
        <v>0</v>
      </c>
    </row>
    <row r="50" spans="1:15">
      <c r="A50" s="244"/>
      <c r="B50" s="245"/>
      <c r="C50" s="245"/>
      <c r="D50" s="245"/>
      <c r="E50" s="245"/>
      <c r="F50" s="245"/>
      <c r="G50" s="246"/>
    </row>
    <row r="51" spans="1:15" ht="41.45">
      <c r="A51" s="244"/>
      <c r="B51" s="245"/>
      <c r="C51" s="245"/>
      <c r="D51" s="245"/>
      <c r="E51" s="245"/>
      <c r="F51" s="245"/>
      <c r="G51" s="246"/>
      <c r="J51" s="61">
        <f>+A6</f>
        <v>2022</v>
      </c>
      <c r="K51" s="61" t="s">
        <v>398</v>
      </c>
      <c r="L51" s="67" t="s">
        <v>393</v>
      </c>
      <c r="M51" s="67" t="s">
        <v>399</v>
      </c>
      <c r="N51" s="67" t="s">
        <v>396</v>
      </c>
      <c r="O51" s="67" t="s">
        <v>400</v>
      </c>
    </row>
    <row r="52" spans="1:15">
      <c r="A52" s="247"/>
      <c r="B52" s="248"/>
      <c r="C52" s="248"/>
      <c r="D52" s="248"/>
      <c r="E52" s="248"/>
      <c r="F52" s="248"/>
      <c r="G52" s="249"/>
      <c r="J52" s="238" t="s">
        <v>196</v>
      </c>
      <c r="K52" s="66" t="s">
        <v>401</v>
      </c>
      <c r="L52" s="64"/>
      <c r="M52" s="64"/>
      <c r="N52" s="64"/>
      <c r="O52" s="64"/>
    </row>
    <row r="53" spans="1:15">
      <c r="J53" s="238"/>
      <c r="K53" s="66" t="s">
        <v>402</v>
      </c>
      <c r="L53" s="64"/>
      <c r="M53" s="64"/>
      <c r="N53" s="64"/>
      <c r="O53" s="64"/>
    </row>
    <row r="54" spans="1:15">
      <c r="J54" s="238"/>
      <c r="K54" s="66" t="s">
        <v>403</v>
      </c>
      <c r="L54" s="64"/>
      <c r="M54" s="64"/>
      <c r="N54" s="64"/>
      <c r="O54" s="64"/>
    </row>
    <row r="55" spans="1:15">
      <c r="J55" s="238"/>
      <c r="K55" s="66" t="s">
        <v>405</v>
      </c>
      <c r="L55" s="64"/>
      <c r="M55" s="64"/>
      <c r="N55" s="64"/>
      <c r="O55" s="64"/>
    </row>
    <row r="56" spans="1:15">
      <c r="J56" s="238"/>
      <c r="K56" s="66" t="s">
        <v>407</v>
      </c>
      <c r="L56" s="64"/>
      <c r="M56" s="64"/>
      <c r="N56" s="64"/>
      <c r="O56" s="64"/>
    </row>
    <row r="57" spans="1:15">
      <c r="J57" s="238"/>
      <c r="K57" s="66" t="s">
        <v>408</v>
      </c>
      <c r="L57" s="64"/>
      <c r="M57" s="64"/>
      <c r="N57" s="64"/>
      <c r="O57" s="64"/>
    </row>
    <row r="58" spans="1:15">
      <c r="J58" s="238"/>
      <c r="K58" s="66" t="s">
        <v>409</v>
      </c>
      <c r="L58" s="64"/>
      <c r="M58" s="64"/>
      <c r="N58" s="64"/>
      <c r="O58" s="64"/>
    </row>
    <row r="59" spans="1:15">
      <c r="J59" s="238"/>
      <c r="K59" s="66" t="s">
        <v>411</v>
      </c>
      <c r="L59" s="64"/>
      <c r="M59" s="64"/>
      <c r="N59" s="64"/>
      <c r="O59" s="64"/>
    </row>
    <row r="60" spans="1:15">
      <c r="J60" s="238"/>
      <c r="K60" s="66" t="s">
        <v>412</v>
      </c>
      <c r="L60" s="64"/>
      <c r="M60" s="64"/>
      <c r="N60" s="64"/>
      <c r="O60" s="64"/>
    </row>
    <row r="61" spans="1:15">
      <c r="J61" s="238"/>
      <c r="K61" s="66" t="s">
        <v>413</v>
      </c>
      <c r="L61" s="64"/>
      <c r="M61" s="64"/>
      <c r="N61" s="64"/>
      <c r="O61" s="64"/>
    </row>
    <row r="62" spans="1:15">
      <c r="J62" s="238"/>
      <c r="K62" s="66" t="s">
        <v>414</v>
      </c>
      <c r="L62" s="64"/>
      <c r="M62" s="64"/>
      <c r="N62" s="64"/>
      <c r="O62" s="64"/>
    </row>
    <row r="63" spans="1:15">
      <c r="J63" s="238"/>
      <c r="K63" s="66" t="s">
        <v>415</v>
      </c>
      <c r="L63" s="64"/>
      <c r="M63" s="64"/>
      <c r="N63" s="64"/>
      <c r="O63" s="64"/>
    </row>
    <row r="64" spans="1:15">
      <c r="J64" s="238"/>
      <c r="K64" s="62" t="s">
        <v>416</v>
      </c>
      <c r="L64" s="62" t="e">
        <f>AVERAGE(L52:L63)</f>
        <v>#DIV/0!</v>
      </c>
      <c r="M64" s="62">
        <f>MAX(M52:M63)</f>
        <v>0</v>
      </c>
      <c r="N64" s="62" t="e">
        <f>AVERAGE(N52:N63)</f>
        <v>#DIV/0!</v>
      </c>
      <c r="O64" s="62">
        <f>MAX(O52:O63)</f>
        <v>0</v>
      </c>
    </row>
    <row r="66" spans="10:15" ht="41.45">
      <c r="J66" s="61">
        <f>+A6</f>
        <v>2022</v>
      </c>
      <c r="K66" s="61" t="s">
        <v>398</v>
      </c>
      <c r="L66" s="67" t="s">
        <v>393</v>
      </c>
      <c r="M66" s="67" t="s">
        <v>399</v>
      </c>
      <c r="N66" s="67" t="s">
        <v>396</v>
      </c>
      <c r="O66" s="67" t="s">
        <v>400</v>
      </c>
    </row>
    <row r="67" spans="10:15">
      <c r="J67" s="238" t="s">
        <v>197</v>
      </c>
      <c r="K67" s="66" t="s">
        <v>401</v>
      </c>
      <c r="L67" s="64"/>
      <c r="M67" s="64"/>
      <c r="N67" s="64"/>
      <c r="O67" s="64"/>
    </row>
    <row r="68" spans="10:15">
      <c r="J68" s="238"/>
      <c r="K68" s="66" t="s">
        <v>402</v>
      </c>
      <c r="L68" s="64"/>
      <c r="M68" s="64"/>
      <c r="N68" s="64"/>
      <c r="O68" s="64"/>
    </row>
    <row r="69" spans="10:15">
      <c r="J69" s="238"/>
      <c r="K69" s="66" t="s">
        <v>403</v>
      </c>
      <c r="L69" s="64"/>
      <c r="M69" s="64"/>
      <c r="N69" s="64"/>
      <c r="O69" s="64"/>
    </row>
    <row r="70" spans="10:15">
      <c r="J70" s="238"/>
      <c r="K70" s="66" t="s">
        <v>405</v>
      </c>
      <c r="L70" s="64"/>
      <c r="M70" s="64"/>
      <c r="N70" s="64"/>
      <c r="O70" s="64"/>
    </row>
    <row r="71" spans="10:15">
      <c r="J71" s="238"/>
      <c r="K71" s="66" t="s">
        <v>407</v>
      </c>
      <c r="L71" s="64"/>
      <c r="M71" s="64"/>
      <c r="N71" s="64"/>
      <c r="O71" s="64"/>
    </row>
    <row r="72" spans="10:15">
      <c r="J72" s="238"/>
      <c r="K72" s="66" t="s">
        <v>408</v>
      </c>
      <c r="L72" s="64"/>
      <c r="M72" s="64"/>
      <c r="N72" s="64"/>
      <c r="O72" s="64"/>
    </row>
    <row r="73" spans="10:15">
      <c r="J73" s="238"/>
      <c r="K73" s="66" t="s">
        <v>409</v>
      </c>
      <c r="L73" s="64"/>
      <c r="M73" s="64"/>
      <c r="N73" s="64"/>
      <c r="O73" s="64"/>
    </row>
    <row r="74" spans="10:15">
      <c r="J74" s="238"/>
      <c r="K74" s="66" t="s">
        <v>411</v>
      </c>
      <c r="L74" s="64"/>
      <c r="M74" s="64"/>
      <c r="N74" s="64"/>
      <c r="O74" s="64"/>
    </row>
    <row r="75" spans="10:15">
      <c r="J75" s="238"/>
      <c r="K75" s="66" t="s">
        <v>412</v>
      </c>
      <c r="L75" s="64"/>
      <c r="M75" s="64"/>
      <c r="N75" s="64"/>
      <c r="O75" s="64"/>
    </row>
    <row r="76" spans="10:15">
      <c r="J76" s="238"/>
      <c r="K76" s="66" t="s">
        <v>413</v>
      </c>
      <c r="L76" s="64"/>
      <c r="M76" s="64"/>
      <c r="N76" s="64"/>
      <c r="O76" s="64"/>
    </row>
    <row r="77" spans="10:15">
      <c r="J77" s="238"/>
      <c r="K77" s="66" t="s">
        <v>414</v>
      </c>
      <c r="L77" s="64"/>
      <c r="M77" s="64"/>
      <c r="N77" s="64"/>
      <c r="O77" s="64"/>
    </row>
    <row r="78" spans="10:15">
      <c r="J78" s="238"/>
      <c r="K78" s="66" t="s">
        <v>415</v>
      </c>
      <c r="L78" s="64"/>
      <c r="M78" s="64"/>
      <c r="N78" s="64"/>
      <c r="O78" s="64"/>
    </row>
    <row r="79" spans="10:15">
      <c r="J79" s="238"/>
      <c r="K79" s="62" t="s">
        <v>416</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workbookViewId="0">
      <selection activeCell="H15" sqref="H15"/>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Greatmoor Energy from Waste Facility</v>
      </c>
      <c r="F1" s="92"/>
      <c r="G1" s="92"/>
    </row>
    <row r="3" spans="1:19" ht="14.45">
      <c r="A3" s="60" t="s">
        <v>417</v>
      </c>
      <c r="D3" s="76" t="s">
        <v>385</v>
      </c>
      <c r="G3" s="80" t="s">
        <v>386</v>
      </c>
      <c r="J3" s="9" t="str">
        <f>+A3</f>
        <v>Monitoring of Sulphur dioxide emissions</v>
      </c>
      <c r="L3" s="9"/>
      <c r="N3" s="9" t="s">
        <v>387</v>
      </c>
      <c r="Q3" s="79" t="s">
        <v>3</v>
      </c>
      <c r="R3" s="74"/>
      <c r="S3" s="74"/>
    </row>
    <row r="4" spans="1:19" ht="13.9" customHeight="1">
      <c r="Q4" s="229" t="s">
        <v>388</v>
      </c>
      <c r="R4" s="229"/>
      <c r="S4" s="229"/>
    </row>
    <row r="5" spans="1:19" ht="16.149999999999999">
      <c r="A5" s="68" t="s">
        <v>389</v>
      </c>
      <c r="B5" s="240" t="s">
        <v>390</v>
      </c>
      <c r="C5" s="240"/>
      <c r="D5" s="240"/>
      <c r="E5" s="240" t="s">
        <v>391</v>
      </c>
      <c r="F5" s="240"/>
      <c r="G5" s="240"/>
      <c r="J5" s="239"/>
      <c r="K5" s="239"/>
      <c r="L5" s="239"/>
      <c r="M5" s="239"/>
      <c r="N5" s="239"/>
      <c r="O5" s="239"/>
      <c r="Q5" s="229"/>
      <c r="R5" s="229"/>
      <c r="S5" s="229"/>
    </row>
    <row r="6" spans="1:19" s="58" customFormat="1" ht="37.5" customHeight="1">
      <c r="A6" s="65">
        <f>+'Cover Page'!C39</f>
        <v>2022</v>
      </c>
      <c r="B6" s="55" t="s">
        <v>418</v>
      </c>
      <c r="C6" s="55" t="s">
        <v>393</v>
      </c>
      <c r="D6" s="55" t="s">
        <v>394</v>
      </c>
      <c r="E6" s="55" t="s">
        <v>419</v>
      </c>
      <c r="F6" s="55" t="s">
        <v>396</v>
      </c>
      <c r="G6" s="55" t="s">
        <v>397</v>
      </c>
      <c r="H6" s="59"/>
      <c r="J6" s="61">
        <f>+A6</f>
        <v>2022</v>
      </c>
      <c r="K6" s="61" t="s">
        <v>398</v>
      </c>
      <c r="L6" s="67" t="s">
        <v>393</v>
      </c>
      <c r="M6" s="67" t="s">
        <v>399</v>
      </c>
      <c r="N6" s="67" t="s">
        <v>396</v>
      </c>
      <c r="O6" s="67" t="s">
        <v>400</v>
      </c>
      <c r="Q6" s="229"/>
      <c r="R6" s="229"/>
      <c r="S6" s="229"/>
    </row>
    <row r="7" spans="1:19">
      <c r="A7" s="66" t="s">
        <v>401</v>
      </c>
      <c r="B7" s="63">
        <v>200</v>
      </c>
      <c r="C7" s="64">
        <v>8</v>
      </c>
      <c r="D7" s="64">
        <v>12</v>
      </c>
      <c r="E7" s="63">
        <v>50</v>
      </c>
      <c r="F7" s="106">
        <v>8.2390322580645154</v>
      </c>
      <c r="G7" s="64">
        <v>10</v>
      </c>
      <c r="J7" s="238" t="s">
        <v>193</v>
      </c>
      <c r="K7" s="66" t="s">
        <v>401</v>
      </c>
      <c r="L7" s="64">
        <v>8</v>
      </c>
      <c r="M7" s="64">
        <v>12</v>
      </c>
      <c r="N7" s="106">
        <v>8.2390322580645154</v>
      </c>
      <c r="O7" s="64">
        <v>10</v>
      </c>
      <c r="Q7" s="229"/>
      <c r="R7" s="229"/>
      <c r="S7" s="229"/>
    </row>
    <row r="8" spans="1:19">
      <c r="A8" s="66" t="s">
        <v>402</v>
      </c>
      <c r="B8" s="63">
        <v>200</v>
      </c>
      <c r="C8" s="64">
        <v>8</v>
      </c>
      <c r="D8" s="64">
        <v>12</v>
      </c>
      <c r="E8" s="63">
        <v>50</v>
      </c>
      <c r="F8" s="106">
        <v>8.3035714285714288</v>
      </c>
      <c r="G8" s="64">
        <v>9</v>
      </c>
      <c r="J8" s="238"/>
      <c r="K8" s="66" t="s">
        <v>402</v>
      </c>
      <c r="L8" s="64">
        <v>8</v>
      </c>
      <c r="M8" s="64">
        <v>12</v>
      </c>
      <c r="N8" s="106">
        <v>8.3035714285714288</v>
      </c>
      <c r="O8" s="64">
        <v>9</v>
      </c>
      <c r="Q8" s="229"/>
      <c r="R8" s="229"/>
      <c r="S8" s="229"/>
    </row>
    <row r="9" spans="1:19">
      <c r="A9" s="66" t="s">
        <v>403</v>
      </c>
      <c r="B9" s="63">
        <v>200</v>
      </c>
      <c r="C9" s="64">
        <v>9</v>
      </c>
      <c r="D9" s="64">
        <v>13</v>
      </c>
      <c r="E9" s="63">
        <v>50</v>
      </c>
      <c r="F9" s="106">
        <v>8.5093548387096778</v>
      </c>
      <c r="G9" s="64">
        <v>9</v>
      </c>
      <c r="J9" s="238"/>
      <c r="K9" s="66" t="s">
        <v>403</v>
      </c>
      <c r="L9" s="64">
        <v>9</v>
      </c>
      <c r="M9" s="64">
        <v>13</v>
      </c>
      <c r="N9" s="106">
        <v>8.5093548387096778</v>
      </c>
      <c r="O9" s="64">
        <v>9</v>
      </c>
      <c r="Q9" s="78" t="s">
        <v>404</v>
      </c>
    </row>
    <row r="10" spans="1:19" ht="14.25" customHeight="1">
      <c r="A10" s="66" t="s">
        <v>405</v>
      </c>
      <c r="B10" s="63">
        <v>200</v>
      </c>
      <c r="C10" s="64">
        <v>8</v>
      </c>
      <c r="D10" s="64">
        <v>11</v>
      </c>
      <c r="E10" s="63">
        <v>50</v>
      </c>
      <c r="F10" s="106">
        <v>8.1549999999999994</v>
      </c>
      <c r="G10" s="64">
        <v>9</v>
      </c>
      <c r="J10" s="238"/>
      <c r="K10" s="66" t="s">
        <v>405</v>
      </c>
      <c r="L10" s="64">
        <v>8</v>
      </c>
      <c r="M10" s="64">
        <v>11</v>
      </c>
      <c r="N10" s="106">
        <v>8.1549999999999994</v>
      </c>
      <c r="O10" s="64">
        <v>9</v>
      </c>
      <c r="Q10" s="237" t="s">
        <v>406</v>
      </c>
      <c r="R10" s="237"/>
      <c r="S10" s="237"/>
    </row>
    <row r="11" spans="1:19">
      <c r="A11" s="66" t="s">
        <v>407</v>
      </c>
      <c r="B11" s="63">
        <v>200</v>
      </c>
      <c r="C11" s="64">
        <v>8</v>
      </c>
      <c r="D11" s="64">
        <v>12</v>
      </c>
      <c r="E11" s="63">
        <v>50</v>
      </c>
      <c r="F11" s="106">
        <v>8.0533333333333328</v>
      </c>
      <c r="G11" s="64">
        <v>9</v>
      </c>
      <c r="J11" s="238"/>
      <c r="K11" s="66" t="s">
        <v>407</v>
      </c>
      <c r="L11" s="64">
        <v>8</v>
      </c>
      <c r="M11" s="64">
        <v>12</v>
      </c>
      <c r="N11" s="106">
        <v>8.0533333333333328</v>
      </c>
      <c r="O11" s="64">
        <v>9</v>
      </c>
      <c r="Q11" s="237"/>
      <c r="R11" s="237"/>
      <c r="S11" s="237"/>
    </row>
    <row r="12" spans="1:19">
      <c r="A12" s="66" t="s">
        <v>408</v>
      </c>
      <c r="B12" s="63">
        <v>200</v>
      </c>
      <c r="C12" s="64">
        <v>8</v>
      </c>
      <c r="D12" s="64">
        <v>43</v>
      </c>
      <c r="E12" s="63">
        <v>50</v>
      </c>
      <c r="F12" s="106">
        <v>7.9537500000000003</v>
      </c>
      <c r="G12" s="64">
        <v>14</v>
      </c>
      <c r="J12" s="238"/>
      <c r="K12" s="66" t="s">
        <v>408</v>
      </c>
      <c r="L12" s="64">
        <v>8</v>
      </c>
      <c r="M12" s="64">
        <v>43</v>
      </c>
      <c r="N12" s="106">
        <v>7.9537500000000003</v>
      </c>
      <c r="O12" s="64">
        <v>14</v>
      </c>
      <c r="Q12" s="237"/>
      <c r="R12" s="237"/>
      <c r="S12" s="237"/>
    </row>
    <row r="13" spans="1:19" ht="14.25" customHeight="1">
      <c r="A13" s="66" t="s">
        <v>409</v>
      </c>
      <c r="B13" s="63">
        <v>200</v>
      </c>
      <c r="C13" s="64">
        <v>7</v>
      </c>
      <c r="D13" s="64">
        <v>21</v>
      </c>
      <c r="E13" s="63">
        <v>50</v>
      </c>
      <c r="F13" s="106">
        <v>6.7887096774193543</v>
      </c>
      <c r="G13" s="64">
        <v>9</v>
      </c>
      <c r="J13" s="238"/>
      <c r="K13" s="66" t="s">
        <v>409</v>
      </c>
      <c r="L13" s="64">
        <v>7</v>
      </c>
      <c r="M13" s="64">
        <v>21</v>
      </c>
      <c r="N13" s="106">
        <v>6.7887096774193543</v>
      </c>
      <c r="O13" s="64">
        <v>9</v>
      </c>
      <c r="Q13" s="237" t="s">
        <v>410</v>
      </c>
      <c r="R13" s="237"/>
      <c r="S13" s="237"/>
    </row>
    <row r="14" spans="1:19">
      <c r="A14" s="66" t="s">
        <v>411</v>
      </c>
      <c r="B14" s="63">
        <v>200</v>
      </c>
      <c r="C14" s="64">
        <v>6</v>
      </c>
      <c r="D14" s="64">
        <v>14</v>
      </c>
      <c r="E14" s="63">
        <v>50</v>
      </c>
      <c r="F14" s="106">
        <v>6.4222580645161278</v>
      </c>
      <c r="G14" s="64">
        <v>8</v>
      </c>
      <c r="J14" s="238"/>
      <c r="K14" s="66" t="s">
        <v>411</v>
      </c>
      <c r="L14" s="64">
        <v>6</v>
      </c>
      <c r="M14" s="64">
        <v>14</v>
      </c>
      <c r="N14" s="106">
        <v>6.4222580645161278</v>
      </c>
      <c r="O14" s="64">
        <v>8</v>
      </c>
      <c r="Q14" s="237"/>
      <c r="R14" s="237"/>
      <c r="S14" s="237"/>
    </row>
    <row r="15" spans="1:19">
      <c r="A15" s="66" t="s">
        <v>412</v>
      </c>
      <c r="B15" s="63">
        <v>200</v>
      </c>
      <c r="C15" s="64">
        <v>8</v>
      </c>
      <c r="D15" s="64">
        <v>16</v>
      </c>
      <c r="E15" s="63">
        <v>50</v>
      </c>
      <c r="F15" s="106">
        <v>7.6993333333333327</v>
      </c>
      <c r="G15" s="64">
        <v>9</v>
      </c>
      <c r="J15" s="238"/>
      <c r="K15" s="66" t="s">
        <v>412</v>
      </c>
      <c r="L15" s="64">
        <v>8</v>
      </c>
      <c r="M15" s="64">
        <v>16</v>
      </c>
      <c r="N15" s="106">
        <v>7.6993333333333327</v>
      </c>
      <c r="O15" s="64">
        <v>9</v>
      </c>
      <c r="Q15" s="237"/>
      <c r="R15" s="237"/>
      <c r="S15" s="237"/>
    </row>
    <row r="16" spans="1:19">
      <c r="A16" s="66" t="s">
        <v>413</v>
      </c>
      <c r="B16" s="63">
        <v>200</v>
      </c>
      <c r="C16" s="64">
        <v>7</v>
      </c>
      <c r="D16" s="64">
        <v>14</v>
      </c>
      <c r="E16" s="63">
        <v>50</v>
      </c>
      <c r="F16" s="106">
        <v>6.5793548387096772</v>
      </c>
      <c r="G16" s="64">
        <v>8</v>
      </c>
      <c r="J16" s="238"/>
      <c r="K16" s="66" t="s">
        <v>413</v>
      </c>
      <c r="L16" s="64">
        <v>7</v>
      </c>
      <c r="M16" s="64">
        <v>14</v>
      </c>
      <c r="N16" s="106">
        <v>6.5793548387096772</v>
      </c>
      <c r="O16" s="64">
        <v>8</v>
      </c>
      <c r="Q16" s="237"/>
      <c r="R16" s="237"/>
      <c r="S16" s="237"/>
    </row>
    <row r="17" spans="1:15">
      <c r="A17" s="66" t="s">
        <v>414</v>
      </c>
      <c r="B17" s="63">
        <v>200</v>
      </c>
      <c r="C17" s="64">
        <v>7</v>
      </c>
      <c r="D17" s="64">
        <v>56</v>
      </c>
      <c r="E17" s="63">
        <v>50</v>
      </c>
      <c r="F17" s="106">
        <v>7.2204545454545439</v>
      </c>
      <c r="G17" s="64">
        <v>12</v>
      </c>
      <c r="J17" s="238"/>
      <c r="K17" s="66" t="s">
        <v>414</v>
      </c>
      <c r="L17" s="64">
        <v>7</v>
      </c>
      <c r="M17" s="64">
        <v>56</v>
      </c>
      <c r="N17" s="106">
        <v>7.2204545454545439</v>
      </c>
      <c r="O17" s="64">
        <v>12</v>
      </c>
    </row>
    <row r="18" spans="1:15">
      <c r="A18" s="66" t="s">
        <v>415</v>
      </c>
      <c r="B18" s="63">
        <v>200</v>
      </c>
      <c r="C18" s="64">
        <v>5</v>
      </c>
      <c r="D18" s="64">
        <v>36</v>
      </c>
      <c r="E18" s="63">
        <v>50</v>
      </c>
      <c r="F18" s="106">
        <v>5.3129032258064521</v>
      </c>
      <c r="G18" s="64">
        <v>6</v>
      </c>
      <c r="J18" s="238"/>
      <c r="K18" s="66" t="s">
        <v>415</v>
      </c>
      <c r="L18" s="64">
        <v>5</v>
      </c>
      <c r="M18" s="64">
        <v>36</v>
      </c>
      <c r="N18" s="106">
        <v>5.3129032258064521</v>
      </c>
      <c r="O18" s="64">
        <v>6</v>
      </c>
    </row>
    <row r="19" spans="1:15">
      <c r="J19" s="238"/>
      <c r="K19" s="62" t="s">
        <v>416</v>
      </c>
      <c r="L19" s="104">
        <f>AVERAGE(L7:L18)</f>
        <v>7.416666666666667</v>
      </c>
      <c r="M19" s="62">
        <f>MAX(M7:M18)</f>
        <v>56</v>
      </c>
      <c r="N19" s="104">
        <f>AVERAGE(N7:N18)</f>
        <v>7.4364212953265367</v>
      </c>
      <c r="O19" s="62">
        <f>MAX(O7:O18)</f>
        <v>14</v>
      </c>
    </row>
    <row r="21" spans="1:15" ht="41.45">
      <c r="J21" s="61">
        <f>+A6</f>
        <v>2022</v>
      </c>
      <c r="K21" s="61" t="s">
        <v>398</v>
      </c>
      <c r="L21" s="67" t="s">
        <v>393</v>
      </c>
      <c r="M21" s="67" t="s">
        <v>399</v>
      </c>
      <c r="N21" s="67" t="s">
        <v>396</v>
      </c>
      <c r="O21" s="67" t="s">
        <v>400</v>
      </c>
    </row>
    <row r="22" spans="1:15">
      <c r="J22" s="238" t="s">
        <v>194</v>
      </c>
      <c r="K22" s="66" t="s">
        <v>401</v>
      </c>
      <c r="L22" s="64"/>
      <c r="M22" s="64"/>
      <c r="N22" s="64"/>
      <c r="O22" s="64"/>
    </row>
    <row r="23" spans="1:15">
      <c r="J23" s="238"/>
      <c r="K23" s="66" t="s">
        <v>402</v>
      </c>
      <c r="L23" s="64"/>
      <c r="M23" s="64"/>
      <c r="N23" s="64"/>
      <c r="O23" s="64"/>
    </row>
    <row r="24" spans="1:15">
      <c r="J24" s="238"/>
      <c r="K24" s="66" t="s">
        <v>403</v>
      </c>
      <c r="L24" s="64"/>
      <c r="M24" s="64"/>
      <c r="N24" s="64"/>
      <c r="O24" s="64"/>
    </row>
    <row r="25" spans="1:15">
      <c r="J25" s="238"/>
      <c r="K25" s="66" t="s">
        <v>405</v>
      </c>
      <c r="L25" s="64"/>
      <c r="M25" s="64"/>
      <c r="N25" s="64"/>
      <c r="O25" s="64"/>
    </row>
    <row r="26" spans="1:15">
      <c r="J26" s="238"/>
      <c r="K26" s="66" t="s">
        <v>407</v>
      </c>
      <c r="L26" s="64"/>
      <c r="M26" s="64"/>
      <c r="N26" s="64"/>
      <c r="O26" s="64"/>
    </row>
    <row r="27" spans="1:15">
      <c r="J27" s="238"/>
      <c r="K27" s="66" t="s">
        <v>408</v>
      </c>
      <c r="L27" s="64"/>
      <c r="M27" s="64"/>
      <c r="N27" s="64"/>
      <c r="O27" s="64"/>
    </row>
    <row r="28" spans="1:15">
      <c r="J28" s="238"/>
      <c r="K28" s="66" t="s">
        <v>409</v>
      </c>
      <c r="L28" s="64"/>
      <c r="M28" s="64"/>
      <c r="N28" s="64"/>
      <c r="O28" s="64"/>
    </row>
    <row r="29" spans="1:15">
      <c r="J29" s="238"/>
      <c r="K29" s="66" t="s">
        <v>411</v>
      </c>
      <c r="L29" s="64"/>
      <c r="M29" s="64"/>
      <c r="N29" s="64"/>
      <c r="O29" s="64"/>
    </row>
    <row r="30" spans="1:15">
      <c r="J30" s="238"/>
      <c r="K30" s="66" t="s">
        <v>412</v>
      </c>
      <c r="L30" s="64"/>
      <c r="M30" s="64"/>
      <c r="N30" s="64"/>
      <c r="O30" s="64"/>
    </row>
    <row r="31" spans="1:15">
      <c r="J31" s="238"/>
      <c r="K31" s="66" t="s">
        <v>413</v>
      </c>
      <c r="L31" s="64"/>
      <c r="M31" s="64"/>
      <c r="N31" s="64"/>
      <c r="O31" s="64"/>
    </row>
    <row r="32" spans="1:15">
      <c r="J32" s="238"/>
      <c r="K32" s="66" t="s">
        <v>414</v>
      </c>
      <c r="L32" s="64"/>
      <c r="M32" s="64"/>
      <c r="N32" s="64"/>
      <c r="O32" s="64"/>
    </row>
    <row r="33" spans="1:15">
      <c r="J33" s="238"/>
      <c r="K33" s="66" t="s">
        <v>415</v>
      </c>
      <c r="L33" s="64"/>
      <c r="M33" s="64"/>
      <c r="N33" s="64"/>
      <c r="O33" s="64"/>
    </row>
    <row r="34" spans="1:15">
      <c r="J34" s="238"/>
      <c r="K34" s="62" t="s">
        <v>416</v>
      </c>
      <c r="L34" s="62" t="e">
        <f>AVERAGE(L22:L33)</f>
        <v>#DIV/0!</v>
      </c>
      <c r="M34" s="62">
        <f>MAX(M22:M33)</f>
        <v>0</v>
      </c>
      <c r="N34" s="62" t="e">
        <f>AVERAGE(N22:N33)</f>
        <v>#DIV/0!</v>
      </c>
      <c r="O34" s="62">
        <f>MAX(O22:O33)</f>
        <v>0</v>
      </c>
    </row>
    <row r="36" spans="1:15" ht="41.45">
      <c r="J36" s="61">
        <f>+A6</f>
        <v>2022</v>
      </c>
      <c r="K36" s="61" t="s">
        <v>398</v>
      </c>
      <c r="L36" s="67" t="s">
        <v>393</v>
      </c>
      <c r="M36" s="67" t="s">
        <v>399</v>
      </c>
      <c r="N36" s="67" t="s">
        <v>396</v>
      </c>
      <c r="O36" s="67" t="s">
        <v>400</v>
      </c>
    </row>
    <row r="37" spans="1:15">
      <c r="J37" s="238" t="s">
        <v>195</v>
      </c>
      <c r="K37" s="66" t="s">
        <v>401</v>
      </c>
      <c r="L37" s="64"/>
      <c r="M37" s="64"/>
      <c r="N37" s="64"/>
      <c r="O37" s="64"/>
    </row>
    <row r="38" spans="1:15">
      <c r="J38" s="238"/>
      <c r="K38" s="66" t="s">
        <v>402</v>
      </c>
      <c r="L38" s="64"/>
      <c r="M38" s="64"/>
      <c r="N38" s="64"/>
      <c r="O38" s="64"/>
    </row>
    <row r="39" spans="1:15">
      <c r="J39" s="238"/>
      <c r="K39" s="66" t="s">
        <v>403</v>
      </c>
      <c r="L39" s="64"/>
      <c r="M39" s="64"/>
      <c r="N39" s="64"/>
      <c r="O39" s="64"/>
    </row>
    <row r="40" spans="1:15">
      <c r="J40" s="238"/>
      <c r="K40" s="66" t="s">
        <v>405</v>
      </c>
      <c r="L40" s="64"/>
      <c r="M40" s="64"/>
      <c r="N40" s="64"/>
      <c r="O40" s="64"/>
    </row>
    <row r="41" spans="1:15">
      <c r="J41" s="238"/>
      <c r="K41" s="66" t="s">
        <v>407</v>
      </c>
      <c r="L41" s="64"/>
      <c r="M41" s="64"/>
      <c r="N41" s="64"/>
      <c r="O41" s="64"/>
    </row>
    <row r="42" spans="1:15">
      <c r="J42" s="238"/>
      <c r="K42" s="66" t="s">
        <v>408</v>
      </c>
      <c r="L42" s="64"/>
      <c r="M42" s="64"/>
      <c r="N42" s="64"/>
      <c r="O42" s="64"/>
    </row>
    <row r="43" spans="1:15">
      <c r="J43" s="238"/>
      <c r="K43" s="66" t="s">
        <v>409</v>
      </c>
      <c r="L43" s="64"/>
      <c r="M43" s="64"/>
      <c r="N43" s="64"/>
      <c r="O43" s="64"/>
    </row>
    <row r="44" spans="1:15">
      <c r="J44" s="238"/>
      <c r="K44" s="66" t="s">
        <v>411</v>
      </c>
      <c r="L44" s="64"/>
      <c r="M44" s="64"/>
      <c r="N44" s="64"/>
      <c r="O44" s="64"/>
    </row>
    <row r="45" spans="1:15">
      <c r="J45" s="238"/>
      <c r="K45" s="66" t="s">
        <v>412</v>
      </c>
      <c r="L45" s="64"/>
      <c r="M45" s="64"/>
      <c r="N45" s="64"/>
      <c r="O45" s="64"/>
    </row>
    <row r="46" spans="1:15">
      <c r="J46" s="238"/>
      <c r="K46" s="66" t="s">
        <v>413</v>
      </c>
      <c r="L46" s="64"/>
      <c r="M46" s="64"/>
      <c r="N46" s="64"/>
      <c r="O46" s="64"/>
    </row>
    <row r="47" spans="1:15">
      <c r="J47" s="238"/>
      <c r="K47" s="66" t="s">
        <v>414</v>
      </c>
      <c r="L47" s="64"/>
      <c r="M47" s="64"/>
      <c r="N47" s="64"/>
      <c r="O47" s="64"/>
    </row>
    <row r="48" spans="1:15">
      <c r="A48" s="250" t="s">
        <v>311</v>
      </c>
      <c r="B48" s="251"/>
      <c r="C48" s="251"/>
      <c r="D48" s="251"/>
      <c r="E48" s="251"/>
      <c r="F48" s="251"/>
      <c r="G48" s="252"/>
      <c r="J48" s="238"/>
      <c r="K48" s="66" t="s">
        <v>415</v>
      </c>
      <c r="L48" s="64"/>
      <c r="M48" s="64"/>
      <c r="N48" s="64"/>
      <c r="O48" s="64"/>
    </row>
    <row r="49" spans="1:15">
      <c r="A49" s="241"/>
      <c r="B49" s="242"/>
      <c r="C49" s="242"/>
      <c r="D49" s="242"/>
      <c r="E49" s="242"/>
      <c r="F49" s="242"/>
      <c r="G49" s="243"/>
      <c r="J49" s="238"/>
      <c r="K49" s="62" t="s">
        <v>416</v>
      </c>
      <c r="L49" s="62" t="e">
        <f>AVERAGE(L37:L48)</f>
        <v>#DIV/0!</v>
      </c>
      <c r="M49" s="62">
        <f>MAX(M37:M48)</f>
        <v>0</v>
      </c>
      <c r="N49" s="62" t="e">
        <f>AVERAGE(N37:N48)</f>
        <v>#DIV/0!</v>
      </c>
      <c r="O49" s="62">
        <f>MAX(O37:O48)</f>
        <v>0</v>
      </c>
    </row>
    <row r="50" spans="1:15">
      <c r="A50" s="244"/>
      <c r="B50" s="245"/>
      <c r="C50" s="245"/>
      <c r="D50" s="245"/>
      <c r="E50" s="245"/>
      <c r="F50" s="245"/>
      <c r="G50" s="246"/>
    </row>
    <row r="51" spans="1:15" ht="41.45">
      <c r="A51" s="244"/>
      <c r="B51" s="245"/>
      <c r="C51" s="245"/>
      <c r="D51" s="245"/>
      <c r="E51" s="245"/>
      <c r="F51" s="245"/>
      <c r="G51" s="246"/>
      <c r="J51" s="61">
        <f>+A6</f>
        <v>2022</v>
      </c>
      <c r="K51" s="61" t="s">
        <v>398</v>
      </c>
      <c r="L51" s="67" t="s">
        <v>393</v>
      </c>
      <c r="M51" s="67" t="s">
        <v>399</v>
      </c>
      <c r="N51" s="67" t="s">
        <v>396</v>
      </c>
      <c r="O51" s="67" t="s">
        <v>400</v>
      </c>
    </row>
    <row r="52" spans="1:15">
      <c r="A52" s="247"/>
      <c r="B52" s="248"/>
      <c r="C52" s="248"/>
      <c r="D52" s="248"/>
      <c r="E52" s="248"/>
      <c r="F52" s="248"/>
      <c r="G52" s="249"/>
      <c r="J52" s="238" t="s">
        <v>196</v>
      </c>
      <c r="K52" s="66" t="s">
        <v>401</v>
      </c>
      <c r="L52" s="64"/>
      <c r="M52" s="64"/>
      <c r="N52" s="64"/>
      <c r="O52" s="64"/>
    </row>
    <row r="53" spans="1:15">
      <c r="J53" s="238"/>
      <c r="K53" s="66" t="s">
        <v>402</v>
      </c>
      <c r="L53" s="64"/>
      <c r="M53" s="64"/>
      <c r="N53" s="64"/>
      <c r="O53" s="64"/>
    </row>
    <row r="54" spans="1:15">
      <c r="J54" s="238"/>
      <c r="K54" s="66" t="s">
        <v>403</v>
      </c>
      <c r="L54" s="64"/>
      <c r="M54" s="64"/>
      <c r="N54" s="64"/>
      <c r="O54" s="64"/>
    </row>
    <row r="55" spans="1:15">
      <c r="J55" s="238"/>
      <c r="K55" s="66" t="s">
        <v>405</v>
      </c>
      <c r="L55" s="64"/>
      <c r="M55" s="64"/>
      <c r="N55" s="64"/>
      <c r="O55" s="64"/>
    </row>
    <row r="56" spans="1:15">
      <c r="J56" s="238"/>
      <c r="K56" s="66" t="s">
        <v>407</v>
      </c>
      <c r="L56" s="64"/>
      <c r="M56" s="64"/>
      <c r="N56" s="64"/>
      <c r="O56" s="64"/>
    </row>
    <row r="57" spans="1:15">
      <c r="J57" s="238"/>
      <c r="K57" s="66" t="s">
        <v>408</v>
      </c>
      <c r="L57" s="64"/>
      <c r="M57" s="64"/>
      <c r="N57" s="64"/>
      <c r="O57" s="64"/>
    </row>
    <row r="58" spans="1:15">
      <c r="J58" s="238"/>
      <c r="K58" s="66" t="s">
        <v>409</v>
      </c>
      <c r="L58" s="64"/>
      <c r="M58" s="64"/>
      <c r="N58" s="64"/>
      <c r="O58" s="64"/>
    </row>
    <row r="59" spans="1:15">
      <c r="J59" s="238"/>
      <c r="K59" s="66" t="s">
        <v>411</v>
      </c>
      <c r="L59" s="64"/>
      <c r="M59" s="64"/>
      <c r="N59" s="64"/>
      <c r="O59" s="64"/>
    </row>
    <row r="60" spans="1:15">
      <c r="J60" s="238"/>
      <c r="K60" s="66" t="s">
        <v>412</v>
      </c>
      <c r="L60" s="64"/>
      <c r="M60" s="64"/>
      <c r="N60" s="64"/>
      <c r="O60" s="64"/>
    </row>
    <row r="61" spans="1:15">
      <c r="J61" s="238"/>
      <c r="K61" s="66" t="s">
        <v>413</v>
      </c>
      <c r="L61" s="64"/>
      <c r="M61" s="64"/>
      <c r="N61" s="64"/>
      <c r="O61" s="64"/>
    </row>
    <row r="62" spans="1:15">
      <c r="J62" s="238"/>
      <c r="K62" s="66" t="s">
        <v>414</v>
      </c>
      <c r="L62" s="64"/>
      <c r="M62" s="64"/>
      <c r="N62" s="64"/>
      <c r="O62" s="64"/>
    </row>
    <row r="63" spans="1:15">
      <c r="J63" s="238"/>
      <c r="K63" s="66" t="s">
        <v>415</v>
      </c>
      <c r="L63" s="64"/>
      <c r="M63" s="64"/>
      <c r="N63" s="64"/>
      <c r="O63" s="64"/>
    </row>
    <row r="64" spans="1:15">
      <c r="J64" s="238"/>
      <c r="K64" s="62" t="s">
        <v>416</v>
      </c>
      <c r="L64" s="62" t="e">
        <f>AVERAGE(L52:L63)</f>
        <v>#DIV/0!</v>
      </c>
      <c r="M64" s="62">
        <f>MAX(M52:M63)</f>
        <v>0</v>
      </c>
      <c r="N64" s="62" t="e">
        <f>AVERAGE(N52:N63)</f>
        <v>#DIV/0!</v>
      </c>
      <c r="O64" s="62">
        <f>MAX(O52:O63)</f>
        <v>0</v>
      </c>
    </row>
    <row r="66" spans="10:15" ht="41.45">
      <c r="J66" s="61">
        <f>+A6</f>
        <v>2022</v>
      </c>
      <c r="K66" s="61" t="s">
        <v>398</v>
      </c>
      <c r="L66" s="67" t="s">
        <v>393</v>
      </c>
      <c r="M66" s="67" t="s">
        <v>399</v>
      </c>
      <c r="N66" s="67" t="s">
        <v>396</v>
      </c>
      <c r="O66" s="67" t="s">
        <v>400</v>
      </c>
    </row>
    <row r="67" spans="10:15">
      <c r="J67" s="238" t="s">
        <v>197</v>
      </c>
      <c r="K67" s="66" t="s">
        <v>401</v>
      </c>
      <c r="L67" s="64"/>
      <c r="M67" s="64"/>
      <c r="N67" s="64"/>
      <c r="O67" s="64"/>
    </row>
    <row r="68" spans="10:15">
      <c r="J68" s="238"/>
      <c r="K68" s="66" t="s">
        <v>402</v>
      </c>
      <c r="L68" s="64"/>
      <c r="M68" s="64"/>
      <c r="N68" s="64"/>
      <c r="O68" s="64"/>
    </row>
    <row r="69" spans="10:15">
      <c r="J69" s="238"/>
      <c r="K69" s="66" t="s">
        <v>403</v>
      </c>
      <c r="L69" s="64"/>
      <c r="M69" s="64"/>
      <c r="N69" s="64"/>
      <c r="O69" s="64"/>
    </row>
    <row r="70" spans="10:15">
      <c r="J70" s="238"/>
      <c r="K70" s="66" t="s">
        <v>405</v>
      </c>
      <c r="L70" s="64"/>
      <c r="M70" s="64"/>
      <c r="N70" s="64"/>
      <c r="O70" s="64"/>
    </row>
    <row r="71" spans="10:15">
      <c r="J71" s="238"/>
      <c r="K71" s="66" t="s">
        <v>407</v>
      </c>
      <c r="L71" s="64"/>
      <c r="M71" s="64"/>
      <c r="N71" s="64"/>
      <c r="O71" s="64"/>
    </row>
    <row r="72" spans="10:15">
      <c r="J72" s="238"/>
      <c r="K72" s="66" t="s">
        <v>408</v>
      </c>
      <c r="L72" s="64"/>
      <c r="M72" s="64"/>
      <c r="N72" s="64"/>
      <c r="O72" s="64"/>
    </row>
    <row r="73" spans="10:15">
      <c r="J73" s="238"/>
      <c r="K73" s="66" t="s">
        <v>409</v>
      </c>
      <c r="L73" s="64"/>
      <c r="M73" s="64"/>
      <c r="N73" s="64"/>
      <c r="O73" s="64"/>
    </row>
    <row r="74" spans="10:15">
      <c r="J74" s="238"/>
      <c r="K74" s="66" t="s">
        <v>411</v>
      </c>
      <c r="L74" s="64"/>
      <c r="M74" s="64"/>
      <c r="N74" s="64"/>
      <c r="O74" s="64"/>
    </row>
    <row r="75" spans="10:15">
      <c r="J75" s="238"/>
      <c r="K75" s="66" t="s">
        <v>412</v>
      </c>
      <c r="L75" s="64"/>
      <c r="M75" s="64"/>
      <c r="N75" s="64"/>
      <c r="O75" s="64"/>
    </row>
    <row r="76" spans="10:15">
      <c r="J76" s="238"/>
      <c r="K76" s="66" t="s">
        <v>413</v>
      </c>
      <c r="L76" s="64"/>
      <c r="M76" s="64"/>
      <c r="N76" s="64"/>
      <c r="O76" s="64"/>
    </row>
    <row r="77" spans="10:15">
      <c r="J77" s="238"/>
      <c r="K77" s="66" t="s">
        <v>414</v>
      </c>
      <c r="L77" s="64"/>
      <c r="M77" s="64"/>
      <c r="N77" s="64"/>
      <c r="O77" s="64"/>
    </row>
    <row r="78" spans="10:15">
      <c r="J78" s="238"/>
      <c r="K78" s="66" t="s">
        <v>415</v>
      </c>
      <c r="L78" s="64"/>
      <c r="M78" s="64"/>
      <c r="N78" s="64"/>
      <c r="O78" s="64"/>
    </row>
    <row r="79" spans="10:15">
      <c r="J79" s="238"/>
      <c r="K79" s="62" t="s">
        <v>416</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workbookViewId="0">
      <selection activeCell="H11" sqref="H11"/>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Greatmoor Energy from Waste Facility</v>
      </c>
      <c r="F1" s="92"/>
    </row>
    <row r="3" spans="1:19" ht="14.45">
      <c r="A3" s="60" t="s">
        <v>420</v>
      </c>
      <c r="D3" s="76" t="s">
        <v>385</v>
      </c>
      <c r="G3" s="80" t="s">
        <v>386</v>
      </c>
      <c r="J3" s="9" t="str">
        <f>+A3</f>
        <v>Monitoring of Oxides of Nitrogen emissions</v>
      </c>
      <c r="L3" s="9"/>
      <c r="N3" s="9" t="s">
        <v>387</v>
      </c>
      <c r="Q3" s="79" t="s">
        <v>3</v>
      </c>
      <c r="R3" s="74"/>
      <c r="S3" s="74"/>
    </row>
    <row r="4" spans="1:19" ht="13.9" customHeight="1">
      <c r="Q4" s="229" t="s">
        <v>388</v>
      </c>
      <c r="R4" s="229"/>
      <c r="S4" s="229"/>
    </row>
    <row r="5" spans="1:19" ht="16.149999999999999">
      <c r="A5" s="68" t="s">
        <v>389</v>
      </c>
      <c r="B5" s="240" t="s">
        <v>390</v>
      </c>
      <c r="C5" s="240"/>
      <c r="D5" s="240"/>
      <c r="E5" s="240" t="s">
        <v>391</v>
      </c>
      <c r="F5" s="240"/>
      <c r="G5" s="240"/>
      <c r="J5" s="239"/>
      <c r="K5" s="239"/>
      <c r="L5" s="239"/>
      <c r="M5" s="239"/>
      <c r="N5" s="239"/>
      <c r="O5" s="239"/>
      <c r="Q5" s="229"/>
      <c r="R5" s="229"/>
      <c r="S5" s="229"/>
    </row>
    <row r="6" spans="1:19" s="58" customFormat="1" ht="37.5" customHeight="1">
      <c r="A6" s="65">
        <f>+'Cover Page'!C39</f>
        <v>2022</v>
      </c>
      <c r="B6" s="55" t="s">
        <v>421</v>
      </c>
      <c r="C6" s="55" t="s">
        <v>393</v>
      </c>
      <c r="D6" s="55" t="s">
        <v>394</v>
      </c>
      <c r="E6" s="55" t="s">
        <v>422</v>
      </c>
      <c r="F6" s="55" t="s">
        <v>396</v>
      </c>
      <c r="G6" s="55" t="s">
        <v>397</v>
      </c>
      <c r="H6" s="59"/>
      <c r="J6" s="61">
        <f>+A6</f>
        <v>2022</v>
      </c>
      <c r="K6" s="61" t="s">
        <v>398</v>
      </c>
      <c r="L6" s="67" t="s">
        <v>393</v>
      </c>
      <c r="M6" s="67" t="s">
        <v>399</v>
      </c>
      <c r="N6" s="67" t="s">
        <v>396</v>
      </c>
      <c r="O6" s="67" t="s">
        <v>400</v>
      </c>
      <c r="Q6" s="229"/>
      <c r="R6" s="229"/>
      <c r="S6" s="229"/>
    </row>
    <row r="7" spans="1:19">
      <c r="A7" s="66" t="s">
        <v>401</v>
      </c>
      <c r="B7" s="63">
        <v>400</v>
      </c>
      <c r="C7" s="64">
        <v>179</v>
      </c>
      <c r="D7" s="64">
        <v>208</v>
      </c>
      <c r="E7" s="63">
        <v>200</v>
      </c>
      <c r="F7" s="107">
        <v>178.80451612903227</v>
      </c>
      <c r="G7" s="64">
        <v>180</v>
      </c>
      <c r="J7" s="238" t="s">
        <v>193</v>
      </c>
      <c r="K7" s="66" t="s">
        <v>401</v>
      </c>
      <c r="L7" s="64">
        <v>179</v>
      </c>
      <c r="M7" s="64">
        <v>208</v>
      </c>
      <c r="N7" s="107">
        <v>178.80451612903227</v>
      </c>
      <c r="O7" s="64">
        <v>180</v>
      </c>
      <c r="Q7" s="229"/>
      <c r="R7" s="229"/>
      <c r="S7" s="229"/>
    </row>
    <row r="8" spans="1:19">
      <c r="A8" s="66" t="s">
        <v>402</v>
      </c>
      <c r="B8" s="63">
        <v>400</v>
      </c>
      <c r="C8" s="64">
        <v>179</v>
      </c>
      <c r="D8" s="64">
        <v>197</v>
      </c>
      <c r="E8" s="63">
        <v>200</v>
      </c>
      <c r="F8" s="107">
        <v>179.23214285714289</v>
      </c>
      <c r="G8" s="64">
        <v>180</v>
      </c>
      <c r="J8" s="238"/>
      <c r="K8" s="66" t="s">
        <v>402</v>
      </c>
      <c r="L8" s="64">
        <v>179</v>
      </c>
      <c r="M8" s="64">
        <v>197</v>
      </c>
      <c r="N8" s="107">
        <v>179.23214285714289</v>
      </c>
      <c r="O8" s="64">
        <v>180</v>
      </c>
      <c r="Q8" s="229"/>
      <c r="R8" s="229"/>
      <c r="S8" s="229"/>
    </row>
    <row r="9" spans="1:19">
      <c r="A9" s="66" t="s">
        <v>403</v>
      </c>
      <c r="B9" s="63">
        <v>400</v>
      </c>
      <c r="C9" s="64">
        <v>179</v>
      </c>
      <c r="D9" s="64">
        <v>270</v>
      </c>
      <c r="E9" s="63">
        <v>200</v>
      </c>
      <c r="F9" s="107">
        <v>179.34322580645161</v>
      </c>
      <c r="G9" s="64">
        <v>180</v>
      </c>
      <c r="J9" s="238"/>
      <c r="K9" s="66" t="s">
        <v>403</v>
      </c>
      <c r="L9" s="64">
        <v>179</v>
      </c>
      <c r="M9" s="64">
        <v>270</v>
      </c>
      <c r="N9" s="107">
        <v>179.34322580645161</v>
      </c>
      <c r="O9" s="64">
        <v>180</v>
      </c>
      <c r="Q9" s="78" t="s">
        <v>404</v>
      </c>
    </row>
    <row r="10" spans="1:19" ht="14.25" customHeight="1">
      <c r="A10" s="66" t="s">
        <v>405</v>
      </c>
      <c r="B10" s="63">
        <v>400</v>
      </c>
      <c r="C10" s="64">
        <v>179</v>
      </c>
      <c r="D10" s="64">
        <v>242</v>
      </c>
      <c r="E10" s="63">
        <v>200</v>
      </c>
      <c r="F10" s="107">
        <v>178.65533333333329</v>
      </c>
      <c r="G10" s="64">
        <v>181</v>
      </c>
      <c r="J10" s="238"/>
      <c r="K10" s="66" t="s">
        <v>405</v>
      </c>
      <c r="L10" s="64">
        <v>179</v>
      </c>
      <c r="M10" s="64">
        <v>242</v>
      </c>
      <c r="N10" s="107">
        <v>178.65533333333329</v>
      </c>
      <c r="O10" s="64">
        <v>181</v>
      </c>
      <c r="Q10" s="237" t="s">
        <v>406</v>
      </c>
      <c r="R10" s="237"/>
      <c r="S10" s="237"/>
    </row>
    <row r="11" spans="1:19">
      <c r="A11" s="66" t="s">
        <v>407</v>
      </c>
      <c r="B11" s="63">
        <v>400</v>
      </c>
      <c r="C11" s="64">
        <v>180</v>
      </c>
      <c r="D11" s="64">
        <v>201</v>
      </c>
      <c r="E11" s="63">
        <v>200</v>
      </c>
      <c r="F11" s="107">
        <v>179.59666666666669</v>
      </c>
      <c r="G11" s="64">
        <v>180</v>
      </c>
      <c r="J11" s="238"/>
      <c r="K11" s="66" t="s">
        <v>407</v>
      </c>
      <c r="L11" s="64">
        <v>180</v>
      </c>
      <c r="M11" s="64">
        <v>201</v>
      </c>
      <c r="N11" s="107">
        <v>179.59666666666669</v>
      </c>
      <c r="O11" s="64">
        <v>180</v>
      </c>
      <c r="Q11" s="237"/>
      <c r="R11" s="237"/>
      <c r="S11" s="237"/>
    </row>
    <row r="12" spans="1:19">
      <c r="A12" s="66" t="s">
        <v>408</v>
      </c>
      <c r="B12" s="63">
        <v>400</v>
      </c>
      <c r="C12" s="64">
        <v>179</v>
      </c>
      <c r="D12" s="64">
        <v>201</v>
      </c>
      <c r="E12" s="63">
        <v>200</v>
      </c>
      <c r="F12" s="107">
        <v>178.66458333333333</v>
      </c>
      <c r="G12" s="64">
        <v>180</v>
      </c>
      <c r="J12" s="238"/>
      <c r="K12" s="66" t="s">
        <v>408</v>
      </c>
      <c r="L12" s="64">
        <v>179</v>
      </c>
      <c r="M12" s="64">
        <v>201</v>
      </c>
      <c r="N12" s="107">
        <v>178.66458333333333</v>
      </c>
      <c r="O12" s="64">
        <v>180</v>
      </c>
      <c r="Q12" s="237"/>
      <c r="R12" s="237"/>
      <c r="S12" s="237"/>
    </row>
    <row r="13" spans="1:19" ht="14.25" customHeight="1">
      <c r="A13" s="66" t="s">
        <v>409</v>
      </c>
      <c r="B13" s="63">
        <v>400</v>
      </c>
      <c r="C13" s="64">
        <v>179</v>
      </c>
      <c r="D13" s="64">
        <v>202</v>
      </c>
      <c r="E13" s="63">
        <v>200</v>
      </c>
      <c r="F13" s="107">
        <v>178.68419354838713</v>
      </c>
      <c r="G13" s="64">
        <v>180</v>
      </c>
      <c r="J13" s="238"/>
      <c r="K13" s="66" t="s">
        <v>409</v>
      </c>
      <c r="L13" s="64">
        <v>179</v>
      </c>
      <c r="M13" s="64">
        <v>202</v>
      </c>
      <c r="N13" s="107">
        <v>178.68419354838713</v>
      </c>
      <c r="O13" s="64">
        <v>180</v>
      </c>
      <c r="Q13" s="237" t="s">
        <v>410</v>
      </c>
      <c r="R13" s="237"/>
      <c r="S13" s="237"/>
    </row>
    <row r="14" spans="1:19">
      <c r="A14" s="66" t="s">
        <v>411</v>
      </c>
      <c r="B14" s="63">
        <v>400</v>
      </c>
      <c r="C14" s="64">
        <v>177</v>
      </c>
      <c r="D14" s="64">
        <v>199</v>
      </c>
      <c r="E14" s="63">
        <v>200</v>
      </c>
      <c r="F14" s="107">
        <v>176.71806451612903</v>
      </c>
      <c r="G14" s="64">
        <v>180</v>
      </c>
      <c r="J14" s="238"/>
      <c r="K14" s="66" t="s">
        <v>411</v>
      </c>
      <c r="L14" s="64">
        <v>177</v>
      </c>
      <c r="M14" s="64">
        <v>199</v>
      </c>
      <c r="N14" s="107">
        <v>176.71806451612903</v>
      </c>
      <c r="O14" s="64">
        <v>180</v>
      </c>
      <c r="Q14" s="237"/>
      <c r="R14" s="237"/>
      <c r="S14" s="237"/>
    </row>
    <row r="15" spans="1:19">
      <c r="A15" s="66" t="s">
        <v>412</v>
      </c>
      <c r="B15" s="63">
        <v>400</v>
      </c>
      <c r="C15" s="64">
        <v>178</v>
      </c>
      <c r="D15" s="64">
        <v>203</v>
      </c>
      <c r="E15" s="63">
        <v>200</v>
      </c>
      <c r="F15" s="107">
        <v>178.239</v>
      </c>
      <c r="G15" s="64">
        <v>180</v>
      </c>
      <c r="J15" s="238"/>
      <c r="K15" s="66" t="s">
        <v>412</v>
      </c>
      <c r="L15" s="64">
        <v>178</v>
      </c>
      <c r="M15" s="64">
        <v>203</v>
      </c>
      <c r="N15" s="107">
        <v>178.239</v>
      </c>
      <c r="O15" s="64">
        <v>180</v>
      </c>
      <c r="Q15" s="237"/>
      <c r="R15" s="237"/>
      <c r="S15" s="237"/>
    </row>
    <row r="16" spans="1:19">
      <c r="A16" s="66" t="s">
        <v>413</v>
      </c>
      <c r="B16" s="63">
        <v>400</v>
      </c>
      <c r="C16" s="64">
        <v>179</v>
      </c>
      <c r="D16" s="64">
        <v>237</v>
      </c>
      <c r="E16" s="63">
        <v>200</v>
      </c>
      <c r="F16" s="107">
        <v>179.06548387096774</v>
      </c>
      <c r="G16" s="64">
        <v>181</v>
      </c>
      <c r="J16" s="238"/>
      <c r="K16" s="66" t="s">
        <v>413</v>
      </c>
      <c r="L16" s="64">
        <v>179</v>
      </c>
      <c r="M16" s="64">
        <v>237</v>
      </c>
      <c r="N16" s="107">
        <v>179.06548387096774</v>
      </c>
      <c r="O16" s="64">
        <v>181</v>
      </c>
      <c r="Q16" s="237"/>
      <c r="R16" s="237"/>
      <c r="S16" s="237"/>
    </row>
    <row r="17" spans="1:15">
      <c r="A17" s="66" t="s">
        <v>414</v>
      </c>
      <c r="B17" s="63">
        <v>400</v>
      </c>
      <c r="C17" s="64">
        <v>178</v>
      </c>
      <c r="D17" s="64">
        <v>201</v>
      </c>
      <c r="E17" s="63">
        <v>200</v>
      </c>
      <c r="F17" s="107">
        <v>178.33454545454546</v>
      </c>
      <c r="G17" s="64">
        <v>181</v>
      </c>
      <c r="J17" s="238"/>
      <c r="K17" s="66" t="s">
        <v>414</v>
      </c>
      <c r="L17" s="64">
        <v>178</v>
      </c>
      <c r="M17" s="64">
        <v>201</v>
      </c>
      <c r="N17" s="107">
        <v>178.33454545454546</v>
      </c>
      <c r="O17" s="64">
        <v>181</v>
      </c>
    </row>
    <row r="18" spans="1:15">
      <c r="A18" s="66" t="s">
        <v>415</v>
      </c>
      <c r="B18" s="63">
        <v>400</v>
      </c>
      <c r="C18" s="64">
        <v>179</v>
      </c>
      <c r="D18" s="64">
        <v>203</v>
      </c>
      <c r="E18" s="63">
        <v>200</v>
      </c>
      <c r="F18" s="107">
        <v>179.0225806451613</v>
      </c>
      <c r="G18" s="64">
        <v>181</v>
      </c>
      <c r="J18" s="238"/>
      <c r="K18" s="66" t="s">
        <v>415</v>
      </c>
      <c r="L18" s="64">
        <v>179</v>
      </c>
      <c r="M18" s="64">
        <v>203</v>
      </c>
      <c r="N18" s="107">
        <v>179.0225806451613</v>
      </c>
      <c r="O18" s="64">
        <v>181</v>
      </c>
    </row>
    <row r="19" spans="1:15">
      <c r="J19" s="238"/>
      <c r="K19" s="62" t="s">
        <v>416</v>
      </c>
      <c r="L19" s="62">
        <f>AVERAGE(L7:L18)</f>
        <v>178.75</v>
      </c>
      <c r="M19" s="62">
        <f>MAX(M7:M18)</f>
        <v>270</v>
      </c>
      <c r="N19" s="110">
        <f>AVERAGE(N7:N18)</f>
        <v>178.6966946800959</v>
      </c>
      <c r="O19" s="62">
        <f>MAX(O7:O18)</f>
        <v>181</v>
      </c>
    </row>
    <row r="21" spans="1:15" ht="41.45">
      <c r="J21" s="61">
        <f>+A6</f>
        <v>2022</v>
      </c>
      <c r="K21" s="61" t="s">
        <v>398</v>
      </c>
      <c r="L21" s="67" t="s">
        <v>393</v>
      </c>
      <c r="M21" s="67" t="s">
        <v>399</v>
      </c>
      <c r="N21" s="67" t="s">
        <v>396</v>
      </c>
      <c r="O21" s="67" t="s">
        <v>400</v>
      </c>
    </row>
    <row r="22" spans="1:15">
      <c r="J22" s="238" t="s">
        <v>194</v>
      </c>
      <c r="K22" s="66" t="s">
        <v>401</v>
      </c>
      <c r="L22" s="64"/>
      <c r="M22" s="64"/>
      <c r="N22" s="64"/>
      <c r="O22" s="64"/>
    </row>
    <row r="23" spans="1:15">
      <c r="J23" s="238"/>
      <c r="K23" s="66" t="s">
        <v>402</v>
      </c>
      <c r="L23" s="64"/>
      <c r="M23" s="64"/>
      <c r="N23" s="64"/>
      <c r="O23" s="64"/>
    </row>
    <row r="24" spans="1:15">
      <c r="J24" s="238"/>
      <c r="K24" s="66" t="s">
        <v>403</v>
      </c>
      <c r="L24" s="64"/>
      <c r="M24" s="64"/>
      <c r="N24" s="64"/>
      <c r="O24" s="64"/>
    </row>
    <row r="25" spans="1:15">
      <c r="J25" s="238"/>
      <c r="K25" s="66" t="s">
        <v>405</v>
      </c>
      <c r="L25" s="64"/>
      <c r="M25" s="64"/>
      <c r="N25" s="64"/>
      <c r="O25" s="64"/>
    </row>
    <row r="26" spans="1:15">
      <c r="J26" s="238"/>
      <c r="K26" s="66" t="s">
        <v>407</v>
      </c>
      <c r="L26" s="64"/>
      <c r="M26" s="64"/>
      <c r="N26" s="64"/>
      <c r="O26" s="64"/>
    </row>
    <row r="27" spans="1:15">
      <c r="J27" s="238"/>
      <c r="K27" s="66" t="s">
        <v>408</v>
      </c>
      <c r="L27" s="64"/>
      <c r="M27" s="64"/>
      <c r="N27" s="64"/>
      <c r="O27" s="64"/>
    </row>
    <row r="28" spans="1:15">
      <c r="J28" s="238"/>
      <c r="K28" s="66" t="s">
        <v>409</v>
      </c>
      <c r="L28" s="64"/>
      <c r="M28" s="64"/>
      <c r="N28" s="64"/>
      <c r="O28" s="64"/>
    </row>
    <row r="29" spans="1:15">
      <c r="J29" s="238"/>
      <c r="K29" s="66" t="s">
        <v>411</v>
      </c>
      <c r="L29" s="64"/>
      <c r="M29" s="64"/>
      <c r="N29" s="64"/>
      <c r="O29" s="64"/>
    </row>
    <row r="30" spans="1:15">
      <c r="J30" s="238"/>
      <c r="K30" s="66" t="s">
        <v>412</v>
      </c>
      <c r="L30" s="64"/>
      <c r="M30" s="64"/>
      <c r="N30" s="64"/>
      <c r="O30" s="64"/>
    </row>
    <row r="31" spans="1:15">
      <c r="J31" s="238"/>
      <c r="K31" s="66" t="s">
        <v>413</v>
      </c>
      <c r="L31" s="64"/>
      <c r="M31" s="64"/>
      <c r="N31" s="64"/>
      <c r="O31" s="64"/>
    </row>
    <row r="32" spans="1:15">
      <c r="J32" s="238"/>
      <c r="K32" s="66" t="s">
        <v>414</v>
      </c>
      <c r="L32" s="64"/>
      <c r="M32" s="64"/>
      <c r="N32" s="64"/>
      <c r="O32" s="64"/>
    </row>
    <row r="33" spans="1:15">
      <c r="J33" s="238"/>
      <c r="K33" s="66" t="s">
        <v>415</v>
      </c>
      <c r="L33" s="64"/>
      <c r="M33" s="64"/>
      <c r="N33" s="64"/>
      <c r="O33" s="64"/>
    </row>
    <row r="34" spans="1:15">
      <c r="J34" s="238"/>
      <c r="K34" s="62" t="s">
        <v>416</v>
      </c>
      <c r="L34" s="62" t="e">
        <f>AVERAGE(L22:L33)</f>
        <v>#DIV/0!</v>
      </c>
      <c r="M34" s="62">
        <f>MAX(M22:M33)</f>
        <v>0</v>
      </c>
      <c r="N34" s="62" t="e">
        <f>AVERAGE(N22:N33)</f>
        <v>#DIV/0!</v>
      </c>
      <c r="O34" s="62">
        <f>MAX(O22:O33)</f>
        <v>0</v>
      </c>
    </row>
    <row r="36" spans="1:15" ht="41.45">
      <c r="J36" s="61">
        <f>+A6</f>
        <v>2022</v>
      </c>
      <c r="K36" s="61" t="s">
        <v>398</v>
      </c>
      <c r="L36" s="67" t="s">
        <v>393</v>
      </c>
      <c r="M36" s="67" t="s">
        <v>399</v>
      </c>
      <c r="N36" s="67" t="s">
        <v>396</v>
      </c>
      <c r="O36" s="67" t="s">
        <v>400</v>
      </c>
    </row>
    <row r="37" spans="1:15">
      <c r="J37" s="238" t="s">
        <v>195</v>
      </c>
      <c r="K37" s="66" t="s">
        <v>401</v>
      </c>
      <c r="L37" s="64"/>
      <c r="M37" s="64"/>
      <c r="N37" s="64"/>
      <c r="O37" s="64"/>
    </row>
    <row r="38" spans="1:15">
      <c r="J38" s="238"/>
      <c r="K38" s="66" t="s">
        <v>402</v>
      </c>
      <c r="L38" s="64"/>
      <c r="M38" s="64"/>
      <c r="N38" s="64"/>
      <c r="O38" s="64"/>
    </row>
    <row r="39" spans="1:15">
      <c r="J39" s="238"/>
      <c r="K39" s="66" t="s">
        <v>403</v>
      </c>
      <c r="L39" s="64"/>
      <c r="M39" s="64"/>
      <c r="N39" s="64"/>
      <c r="O39" s="64"/>
    </row>
    <row r="40" spans="1:15">
      <c r="J40" s="238"/>
      <c r="K40" s="66" t="s">
        <v>405</v>
      </c>
      <c r="L40" s="64"/>
      <c r="M40" s="64"/>
      <c r="N40" s="64"/>
      <c r="O40" s="64"/>
    </row>
    <row r="41" spans="1:15">
      <c r="J41" s="238"/>
      <c r="K41" s="66" t="s">
        <v>407</v>
      </c>
      <c r="L41" s="64"/>
      <c r="M41" s="64"/>
      <c r="N41" s="64"/>
      <c r="O41" s="64"/>
    </row>
    <row r="42" spans="1:15">
      <c r="J42" s="238"/>
      <c r="K42" s="66" t="s">
        <v>408</v>
      </c>
      <c r="L42" s="64"/>
      <c r="M42" s="64"/>
      <c r="N42" s="64"/>
      <c r="O42" s="64"/>
    </row>
    <row r="43" spans="1:15">
      <c r="J43" s="238"/>
      <c r="K43" s="66" t="s">
        <v>409</v>
      </c>
      <c r="L43" s="64"/>
      <c r="M43" s="64"/>
      <c r="N43" s="64"/>
      <c r="O43" s="64"/>
    </row>
    <row r="44" spans="1:15">
      <c r="J44" s="238"/>
      <c r="K44" s="66" t="s">
        <v>411</v>
      </c>
      <c r="L44" s="64"/>
      <c r="M44" s="64"/>
      <c r="N44" s="64"/>
      <c r="O44" s="64"/>
    </row>
    <row r="45" spans="1:15">
      <c r="J45" s="238"/>
      <c r="K45" s="66" t="s">
        <v>412</v>
      </c>
      <c r="L45" s="64"/>
      <c r="M45" s="64"/>
      <c r="N45" s="64"/>
      <c r="O45" s="64"/>
    </row>
    <row r="46" spans="1:15">
      <c r="J46" s="238"/>
      <c r="K46" s="66" t="s">
        <v>413</v>
      </c>
      <c r="L46" s="64"/>
      <c r="M46" s="64"/>
      <c r="N46" s="64"/>
      <c r="O46" s="64"/>
    </row>
    <row r="47" spans="1:15">
      <c r="J47" s="238"/>
      <c r="K47" s="66" t="s">
        <v>414</v>
      </c>
      <c r="L47" s="64"/>
      <c r="M47" s="64"/>
      <c r="N47" s="64"/>
      <c r="O47" s="64"/>
    </row>
    <row r="48" spans="1:15">
      <c r="A48" s="250" t="s">
        <v>311</v>
      </c>
      <c r="B48" s="251"/>
      <c r="C48" s="251"/>
      <c r="D48" s="251"/>
      <c r="E48" s="251"/>
      <c r="F48" s="251"/>
      <c r="G48" s="252"/>
      <c r="J48" s="238"/>
      <c r="K48" s="66" t="s">
        <v>415</v>
      </c>
      <c r="L48" s="64"/>
      <c r="M48" s="64"/>
      <c r="N48" s="64"/>
      <c r="O48" s="64"/>
    </row>
    <row r="49" spans="1:15">
      <c r="A49" s="241"/>
      <c r="B49" s="242"/>
      <c r="C49" s="242"/>
      <c r="D49" s="242"/>
      <c r="E49" s="242"/>
      <c r="F49" s="242"/>
      <c r="G49" s="243"/>
      <c r="J49" s="238"/>
      <c r="K49" s="62" t="s">
        <v>416</v>
      </c>
      <c r="L49" s="62" t="e">
        <f>AVERAGE(L37:L48)</f>
        <v>#DIV/0!</v>
      </c>
      <c r="M49" s="62">
        <f>MAX(M37:M48)</f>
        <v>0</v>
      </c>
      <c r="N49" s="62" t="e">
        <f>AVERAGE(N37:N48)</f>
        <v>#DIV/0!</v>
      </c>
      <c r="O49" s="62">
        <f>MAX(O37:O48)</f>
        <v>0</v>
      </c>
    </row>
    <row r="50" spans="1:15">
      <c r="A50" s="244"/>
      <c r="B50" s="245"/>
      <c r="C50" s="245"/>
      <c r="D50" s="245"/>
      <c r="E50" s="245"/>
      <c r="F50" s="245"/>
      <c r="G50" s="246"/>
    </row>
    <row r="51" spans="1:15" ht="41.45">
      <c r="A51" s="244"/>
      <c r="B51" s="245"/>
      <c r="C51" s="245"/>
      <c r="D51" s="245"/>
      <c r="E51" s="245"/>
      <c r="F51" s="245"/>
      <c r="G51" s="246"/>
      <c r="J51" s="61">
        <f>+A6</f>
        <v>2022</v>
      </c>
      <c r="K51" s="61" t="s">
        <v>398</v>
      </c>
      <c r="L51" s="67" t="s">
        <v>393</v>
      </c>
      <c r="M51" s="67" t="s">
        <v>399</v>
      </c>
      <c r="N51" s="67" t="s">
        <v>396</v>
      </c>
      <c r="O51" s="67" t="s">
        <v>400</v>
      </c>
    </row>
    <row r="52" spans="1:15">
      <c r="A52" s="247"/>
      <c r="B52" s="248"/>
      <c r="C52" s="248"/>
      <c r="D52" s="248"/>
      <c r="E52" s="248"/>
      <c r="F52" s="248"/>
      <c r="G52" s="249"/>
      <c r="J52" s="238" t="s">
        <v>196</v>
      </c>
      <c r="K52" s="66" t="s">
        <v>401</v>
      </c>
      <c r="L52" s="64"/>
      <c r="M52" s="64"/>
      <c r="N52" s="64"/>
      <c r="O52" s="64"/>
    </row>
    <row r="53" spans="1:15">
      <c r="J53" s="238"/>
      <c r="K53" s="66" t="s">
        <v>402</v>
      </c>
      <c r="L53" s="64"/>
      <c r="M53" s="64"/>
      <c r="N53" s="64"/>
      <c r="O53" s="64"/>
    </row>
    <row r="54" spans="1:15">
      <c r="J54" s="238"/>
      <c r="K54" s="66" t="s">
        <v>403</v>
      </c>
      <c r="L54" s="64"/>
      <c r="M54" s="64"/>
      <c r="N54" s="64"/>
      <c r="O54" s="64"/>
    </row>
    <row r="55" spans="1:15">
      <c r="J55" s="238"/>
      <c r="K55" s="66" t="s">
        <v>405</v>
      </c>
      <c r="L55" s="64"/>
      <c r="M55" s="64"/>
      <c r="N55" s="64"/>
      <c r="O55" s="64"/>
    </row>
    <row r="56" spans="1:15">
      <c r="J56" s="238"/>
      <c r="K56" s="66" t="s">
        <v>407</v>
      </c>
      <c r="L56" s="64"/>
      <c r="M56" s="64"/>
      <c r="N56" s="64"/>
      <c r="O56" s="64"/>
    </row>
    <row r="57" spans="1:15">
      <c r="J57" s="238"/>
      <c r="K57" s="66" t="s">
        <v>408</v>
      </c>
      <c r="L57" s="64"/>
      <c r="M57" s="64"/>
      <c r="N57" s="64"/>
      <c r="O57" s="64"/>
    </row>
    <row r="58" spans="1:15">
      <c r="J58" s="238"/>
      <c r="K58" s="66" t="s">
        <v>409</v>
      </c>
      <c r="L58" s="64"/>
      <c r="M58" s="64"/>
      <c r="N58" s="64"/>
      <c r="O58" s="64"/>
    </row>
    <row r="59" spans="1:15">
      <c r="J59" s="238"/>
      <c r="K59" s="66" t="s">
        <v>411</v>
      </c>
      <c r="L59" s="64"/>
      <c r="M59" s="64"/>
      <c r="N59" s="64"/>
      <c r="O59" s="64"/>
    </row>
    <row r="60" spans="1:15">
      <c r="J60" s="238"/>
      <c r="K60" s="66" t="s">
        <v>412</v>
      </c>
      <c r="L60" s="64"/>
      <c r="M60" s="64"/>
      <c r="N60" s="64"/>
      <c r="O60" s="64"/>
    </row>
    <row r="61" spans="1:15">
      <c r="J61" s="238"/>
      <c r="K61" s="66" t="s">
        <v>413</v>
      </c>
      <c r="L61" s="64"/>
      <c r="M61" s="64"/>
      <c r="N61" s="64"/>
      <c r="O61" s="64"/>
    </row>
    <row r="62" spans="1:15">
      <c r="J62" s="238"/>
      <c r="K62" s="66" t="s">
        <v>414</v>
      </c>
      <c r="L62" s="64"/>
      <c r="M62" s="64"/>
      <c r="N62" s="64"/>
      <c r="O62" s="64"/>
    </row>
    <row r="63" spans="1:15">
      <c r="J63" s="238"/>
      <c r="K63" s="66" t="s">
        <v>415</v>
      </c>
      <c r="L63" s="64"/>
      <c r="M63" s="64"/>
      <c r="N63" s="64"/>
      <c r="O63" s="64"/>
    </row>
    <row r="64" spans="1:15">
      <c r="J64" s="238"/>
      <c r="K64" s="62" t="s">
        <v>416</v>
      </c>
      <c r="L64" s="62" t="e">
        <f>AVERAGE(L52:L63)</f>
        <v>#DIV/0!</v>
      </c>
      <c r="M64" s="62">
        <f>MAX(M52:M63)</f>
        <v>0</v>
      </c>
      <c r="N64" s="62" t="e">
        <f>AVERAGE(N52:N63)</f>
        <v>#DIV/0!</v>
      </c>
      <c r="O64" s="62">
        <f>MAX(O52:O63)</f>
        <v>0</v>
      </c>
    </row>
    <row r="66" spans="10:15" ht="41.45">
      <c r="J66" s="61">
        <f>+A6</f>
        <v>2022</v>
      </c>
      <c r="K66" s="61" t="s">
        <v>398</v>
      </c>
      <c r="L66" s="67" t="s">
        <v>393</v>
      </c>
      <c r="M66" s="67" t="s">
        <v>399</v>
      </c>
      <c r="N66" s="67" t="s">
        <v>396</v>
      </c>
      <c r="O66" s="67" t="s">
        <v>400</v>
      </c>
    </row>
    <row r="67" spans="10:15">
      <c r="J67" s="238" t="s">
        <v>197</v>
      </c>
      <c r="K67" s="66" t="s">
        <v>401</v>
      </c>
      <c r="L67" s="64"/>
      <c r="M67" s="64"/>
      <c r="N67" s="64"/>
      <c r="O67" s="64"/>
    </row>
    <row r="68" spans="10:15">
      <c r="J68" s="238"/>
      <c r="K68" s="66" t="s">
        <v>402</v>
      </c>
      <c r="L68" s="64"/>
      <c r="M68" s="64"/>
      <c r="N68" s="64"/>
      <c r="O68" s="64"/>
    </row>
    <row r="69" spans="10:15">
      <c r="J69" s="238"/>
      <c r="K69" s="66" t="s">
        <v>403</v>
      </c>
      <c r="L69" s="64"/>
      <c r="M69" s="64"/>
      <c r="N69" s="64"/>
      <c r="O69" s="64"/>
    </row>
    <row r="70" spans="10:15">
      <c r="J70" s="238"/>
      <c r="K70" s="66" t="s">
        <v>405</v>
      </c>
      <c r="L70" s="64"/>
      <c r="M70" s="64"/>
      <c r="N70" s="64"/>
      <c r="O70" s="64"/>
    </row>
    <row r="71" spans="10:15">
      <c r="J71" s="238"/>
      <c r="K71" s="66" t="s">
        <v>407</v>
      </c>
      <c r="L71" s="64"/>
      <c r="M71" s="64"/>
      <c r="N71" s="64"/>
      <c r="O71" s="64"/>
    </row>
    <row r="72" spans="10:15">
      <c r="J72" s="238"/>
      <c r="K72" s="66" t="s">
        <v>408</v>
      </c>
      <c r="L72" s="64"/>
      <c r="M72" s="64"/>
      <c r="N72" s="64"/>
      <c r="O72" s="64"/>
    </row>
    <row r="73" spans="10:15">
      <c r="J73" s="238"/>
      <c r="K73" s="66" t="s">
        <v>409</v>
      </c>
      <c r="L73" s="64"/>
      <c r="M73" s="64"/>
      <c r="N73" s="64"/>
      <c r="O73" s="64"/>
    </row>
    <row r="74" spans="10:15">
      <c r="J74" s="238"/>
      <c r="K74" s="66" t="s">
        <v>411</v>
      </c>
      <c r="L74" s="64"/>
      <c r="M74" s="64"/>
      <c r="N74" s="64"/>
      <c r="O74" s="64"/>
    </row>
    <row r="75" spans="10:15">
      <c r="J75" s="238"/>
      <c r="K75" s="66" t="s">
        <v>412</v>
      </c>
      <c r="L75" s="64"/>
      <c r="M75" s="64"/>
      <c r="N75" s="64"/>
      <c r="O75" s="64"/>
    </row>
    <row r="76" spans="10:15">
      <c r="J76" s="238"/>
      <c r="K76" s="66" t="s">
        <v>413</v>
      </c>
      <c r="L76" s="64"/>
      <c r="M76" s="64"/>
      <c r="N76" s="64"/>
      <c r="O76" s="64"/>
    </row>
    <row r="77" spans="10:15">
      <c r="J77" s="238"/>
      <c r="K77" s="66" t="s">
        <v>414</v>
      </c>
      <c r="L77" s="64"/>
      <c r="M77" s="64"/>
      <c r="N77" s="64"/>
      <c r="O77" s="64"/>
    </row>
    <row r="78" spans="10:15">
      <c r="J78" s="238"/>
      <c r="K78" s="66" t="s">
        <v>415</v>
      </c>
      <c r="L78" s="64"/>
      <c r="M78" s="64"/>
      <c r="N78" s="64"/>
      <c r="O78" s="64"/>
    </row>
    <row r="79" spans="10:15">
      <c r="J79" s="238"/>
      <c r="K79" s="62" t="s">
        <v>416</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workbookViewId="0">
      <selection activeCell="H10" sqref="H10"/>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Greatmoor Energy from Waste Facility</v>
      </c>
    </row>
    <row r="3" spans="1:19" ht="14.45">
      <c r="A3" s="60" t="s">
        <v>423</v>
      </c>
      <c r="D3" s="76" t="s">
        <v>385</v>
      </c>
      <c r="G3" s="80" t="s">
        <v>386</v>
      </c>
      <c r="J3" s="9" t="str">
        <f>+A3</f>
        <v>Monitoring of Total organic carbon emissions</v>
      </c>
      <c r="L3" s="9"/>
      <c r="N3" s="9" t="s">
        <v>387</v>
      </c>
      <c r="Q3" s="79" t="s">
        <v>3</v>
      </c>
      <c r="R3" s="74"/>
      <c r="S3" s="74"/>
    </row>
    <row r="4" spans="1:19" ht="13.9" customHeight="1">
      <c r="Q4" s="229" t="s">
        <v>388</v>
      </c>
      <c r="R4" s="229"/>
      <c r="S4" s="229"/>
    </row>
    <row r="5" spans="1:19" ht="16.149999999999999">
      <c r="A5" s="68" t="s">
        <v>389</v>
      </c>
      <c r="B5" s="240" t="s">
        <v>390</v>
      </c>
      <c r="C5" s="240"/>
      <c r="D5" s="240"/>
      <c r="E5" s="240" t="s">
        <v>391</v>
      </c>
      <c r="F5" s="240"/>
      <c r="G5" s="240"/>
      <c r="J5" s="239"/>
      <c r="K5" s="239"/>
      <c r="L5" s="239"/>
      <c r="M5" s="239"/>
      <c r="N5" s="239"/>
      <c r="O5" s="239"/>
      <c r="Q5" s="229"/>
      <c r="R5" s="229"/>
      <c r="S5" s="229"/>
    </row>
    <row r="6" spans="1:19" s="58" customFormat="1" ht="37.5" customHeight="1">
      <c r="A6" s="65">
        <f>+'Cover Page'!C39</f>
        <v>2022</v>
      </c>
      <c r="B6" s="55" t="s">
        <v>424</v>
      </c>
      <c r="C6" s="55" t="s">
        <v>393</v>
      </c>
      <c r="D6" s="55" t="s">
        <v>394</v>
      </c>
      <c r="E6" s="55" t="s">
        <v>425</v>
      </c>
      <c r="F6" s="55" t="s">
        <v>396</v>
      </c>
      <c r="G6" s="55" t="s">
        <v>397</v>
      </c>
      <c r="H6" s="59"/>
      <c r="J6" s="61">
        <f>+A6</f>
        <v>2022</v>
      </c>
      <c r="K6" s="61" t="s">
        <v>398</v>
      </c>
      <c r="L6" s="67" t="s">
        <v>393</v>
      </c>
      <c r="M6" s="67" t="s">
        <v>399</v>
      </c>
      <c r="N6" s="67" t="s">
        <v>396</v>
      </c>
      <c r="O6" s="67" t="s">
        <v>400</v>
      </c>
      <c r="Q6" s="229"/>
      <c r="R6" s="229"/>
      <c r="S6" s="229"/>
    </row>
    <row r="7" spans="1:19">
      <c r="A7" s="66" t="s">
        <v>401</v>
      </c>
      <c r="B7" s="63">
        <v>20</v>
      </c>
      <c r="C7" s="64">
        <v>1</v>
      </c>
      <c r="D7" s="64">
        <v>3</v>
      </c>
      <c r="E7" s="63">
        <v>10</v>
      </c>
      <c r="F7" s="105">
        <v>0.54516129032258065</v>
      </c>
      <c r="G7" s="64">
        <v>1</v>
      </c>
      <c r="J7" s="238" t="s">
        <v>193</v>
      </c>
      <c r="K7" s="66" t="s">
        <v>401</v>
      </c>
      <c r="L7" s="64">
        <v>1</v>
      </c>
      <c r="M7" s="64">
        <v>3</v>
      </c>
      <c r="N7" s="105">
        <v>0.54516129032258065</v>
      </c>
      <c r="O7" s="64">
        <v>1</v>
      </c>
      <c r="Q7" s="229"/>
      <c r="R7" s="229"/>
      <c r="S7" s="229"/>
    </row>
    <row r="8" spans="1:19">
      <c r="A8" s="66" t="s">
        <v>402</v>
      </c>
      <c r="B8" s="63">
        <v>20</v>
      </c>
      <c r="C8" s="64">
        <v>1</v>
      </c>
      <c r="D8" s="64">
        <v>3</v>
      </c>
      <c r="E8" s="63">
        <v>10</v>
      </c>
      <c r="F8" s="105">
        <v>0.53607142857142864</v>
      </c>
      <c r="G8" s="64">
        <v>1</v>
      </c>
      <c r="J8" s="238"/>
      <c r="K8" s="66" t="s">
        <v>402</v>
      </c>
      <c r="L8" s="64">
        <v>1</v>
      </c>
      <c r="M8" s="64">
        <v>3</v>
      </c>
      <c r="N8" s="105">
        <v>0.53607142857142864</v>
      </c>
      <c r="O8" s="64">
        <v>1</v>
      </c>
      <c r="Q8" s="229"/>
      <c r="R8" s="229"/>
      <c r="S8" s="229"/>
    </row>
    <row r="9" spans="1:19">
      <c r="A9" s="66" t="s">
        <v>403</v>
      </c>
      <c r="B9" s="63">
        <v>20</v>
      </c>
      <c r="C9" s="64">
        <v>1</v>
      </c>
      <c r="D9" s="64">
        <v>3</v>
      </c>
      <c r="E9" s="63">
        <v>10</v>
      </c>
      <c r="F9" s="105">
        <v>0.5358064516129033</v>
      </c>
      <c r="G9" s="64">
        <v>1</v>
      </c>
      <c r="J9" s="238"/>
      <c r="K9" s="66" t="s">
        <v>403</v>
      </c>
      <c r="L9" s="64">
        <v>1</v>
      </c>
      <c r="M9" s="64">
        <v>3</v>
      </c>
      <c r="N9" s="105">
        <v>0.5358064516129033</v>
      </c>
      <c r="O9" s="64">
        <v>1</v>
      </c>
      <c r="Q9" s="78" t="s">
        <v>404</v>
      </c>
    </row>
    <row r="10" spans="1:19" ht="14.25" customHeight="1">
      <c r="A10" s="66" t="s">
        <v>405</v>
      </c>
      <c r="B10" s="63">
        <v>20</v>
      </c>
      <c r="C10" s="64">
        <v>1</v>
      </c>
      <c r="D10" s="64">
        <v>3</v>
      </c>
      <c r="E10" s="63">
        <v>10</v>
      </c>
      <c r="F10" s="105">
        <v>0.52833333333333332</v>
      </c>
      <c r="G10" s="64">
        <v>1</v>
      </c>
      <c r="J10" s="238"/>
      <c r="K10" s="66" t="s">
        <v>405</v>
      </c>
      <c r="L10" s="64">
        <v>1</v>
      </c>
      <c r="M10" s="64">
        <v>3</v>
      </c>
      <c r="N10" s="105">
        <v>0.52833333333333332</v>
      </c>
      <c r="O10" s="64">
        <v>1</v>
      </c>
      <c r="Q10" s="237" t="s">
        <v>406</v>
      </c>
      <c r="R10" s="237"/>
      <c r="S10" s="237"/>
    </row>
    <row r="11" spans="1:19">
      <c r="A11" s="66" t="s">
        <v>407</v>
      </c>
      <c r="B11" s="63">
        <v>20</v>
      </c>
      <c r="C11" s="64">
        <v>1</v>
      </c>
      <c r="D11" s="64">
        <v>2</v>
      </c>
      <c r="E11" s="63">
        <v>10</v>
      </c>
      <c r="F11" s="105">
        <v>0.53583333333333327</v>
      </c>
      <c r="G11" s="64">
        <v>1</v>
      </c>
      <c r="J11" s="238"/>
      <c r="K11" s="66" t="s">
        <v>407</v>
      </c>
      <c r="L11" s="64">
        <v>1</v>
      </c>
      <c r="M11" s="64">
        <v>2</v>
      </c>
      <c r="N11" s="105">
        <v>0.53583333333333327</v>
      </c>
      <c r="O11" s="64">
        <v>1</v>
      </c>
      <c r="Q11" s="237"/>
      <c r="R11" s="237"/>
      <c r="S11" s="237"/>
    </row>
    <row r="12" spans="1:19">
      <c r="A12" s="66" t="s">
        <v>408</v>
      </c>
      <c r="B12" s="63">
        <v>20</v>
      </c>
      <c r="C12" s="64">
        <v>1</v>
      </c>
      <c r="D12" s="64">
        <v>3</v>
      </c>
      <c r="E12" s="63">
        <v>10</v>
      </c>
      <c r="F12" s="105">
        <v>0.53874999999999995</v>
      </c>
      <c r="G12" s="64">
        <v>1</v>
      </c>
      <c r="J12" s="238"/>
      <c r="K12" s="66" t="s">
        <v>408</v>
      </c>
      <c r="L12" s="64">
        <v>1</v>
      </c>
      <c r="M12" s="64">
        <v>3</v>
      </c>
      <c r="N12" s="105">
        <v>0.53874999999999995</v>
      </c>
      <c r="O12" s="64">
        <v>1</v>
      </c>
      <c r="Q12" s="237"/>
      <c r="R12" s="237"/>
      <c r="S12" s="237"/>
    </row>
    <row r="13" spans="1:19" ht="14.25" customHeight="1">
      <c r="A13" s="66" t="s">
        <v>409</v>
      </c>
      <c r="B13" s="63">
        <v>20</v>
      </c>
      <c r="C13" s="64">
        <v>1</v>
      </c>
      <c r="D13" s="64">
        <v>4</v>
      </c>
      <c r="E13" s="63">
        <v>10</v>
      </c>
      <c r="F13" s="105">
        <v>0.57290322580645159</v>
      </c>
      <c r="G13" s="64">
        <v>1</v>
      </c>
      <c r="J13" s="238"/>
      <c r="K13" s="66" t="s">
        <v>409</v>
      </c>
      <c r="L13" s="64">
        <v>1</v>
      </c>
      <c r="M13" s="64">
        <v>4</v>
      </c>
      <c r="N13" s="105">
        <v>0.57290322580645159</v>
      </c>
      <c r="O13" s="64">
        <v>1</v>
      </c>
      <c r="Q13" s="237" t="s">
        <v>410</v>
      </c>
      <c r="R13" s="237"/>
      <c r="S13" s="237"/>
    </row>
    <row r="14" spans="1:19">
      <c r="A14" s="66" t="s">
        <v>411</v>
      </c>
      <c r="B14" s="63">
        <v>20</v>
      </c>
      <c r="C14" s="64">
        <v>1</v>
      </c>
      <c r="D14" s="64">
        <v>4</v>
      </c>
      <c r="E14" s="63">
        <v>10</v>
      </c>
      <c r="F14" s="105">
        <v>0.543225806451613</v>
      </c>
      <c r="G14" s="64">
        <v>1</v>
      </c>
      <c r="J14" s="238"/>
      <c r="K14" s="66" t="s">
        <v>411</v>
      </c>
      <c r="L14" s="64">
        <v>1</v>
      </c>
      <c r="M14" s="64">
        <v>4</v>
      </c>
      <c r="N14" s="105">
        <v>0.543225806451613</v>
      </c>
      <c r="O14" s="64">
        <v>1</v>
      </c>
      <c r="Q14" s="237"/>
      <c r="R14" s="237"/>
      <c r="S14" s="237"/>
    </row>
    <row r="15" spans="1:19">
      <c r="A15" s="66" t="s">
        <v>412</v>
      </c>
      <c r="B15" s="63">
        <v>20</v>
      </c>
      <c r="C15" s="64">
        <v>0</v>
      </c>
      <c r="D15" s="64">
        <v>6</v>
      </c>
      <c r="E15" s="63">
        <v>10</v>
      </c>
      <c r="F15" s="105">
        <v>0.49299999999999999</v>
      </c>
      <c r="G15" s="64">
        <v>1</v>
      </c>
      <c r="J15" s="238"/>
      <c r="K15" s="66" t="s">
        <v>412</v>
      </c>
      <c r="L15" s="64">
        <v>0</v>
      </c>
      <c r="M15" s="64">
        <v>6</v>
      </c>
      <c r="N15" s="105">
        <v>0.49299999999999999</v>
      </c>
      <c r="O15" s="64">
        <v>1</v>
      </c>
      <c r="Q15" s="237"/>
      <c r="R15" s="237"/>
      <c r="S15" s="237"/>
    </row>
    <row r="16" spans="1:19">
      <c r="A16" s="66" t="s">
        <v>413</v>
      </c>
      <c r="B16" s="63">
        <v>20</v>
      </c>
      <c r="C16" s="64">
        <v>1</v>
      </c>
      <c r="D16" s="64">
        <v>4</v>
      </c>
      <c r="E16" s="63">
        <v>10</v>
      </c>
      <c r="F16" s="105">
        <v>0.52129032258064523</v>
      </c>
      <c r="G16" s="64">
        <v>1</v>
      </c>
      <c r="J16" s="238"/>
      <c r="K16" s="66" t="s">
        <v>413</v>
      </c>
      <c r="L16" s="64">
        <v>1</v>
      </c>
      <c r="M16" s="64">
        <v>4</v>
      </c>
      <c r="N16" s="105">
        <v>0.52129032258064523</v>
      </c>
      <c r="O16" s="64">
        <v>1</v>
      </c>
      <c r="Q16" s="237"/>
      <c r="R16" s="237"/>
      <c r="S16" s="237"/>
    </row>
    <row r="17" spans="1:15">
      <c r="A17" s="66" t="s">
        <v>414</v>
      </c>
      <c r="B17" s="63">
        <v>20</v>
      </c>
      <c r="C17" s="64">
        <v>1</v>
      </c>
      <c r="D17" s="64">
        <v>3</v>
      </c>
      <c r="E17" s="63">
        <v>10</v>
      </c>
      <c r="F17" s="105">
        <v>0.51500000000000001</v>
      </c>
      <c r="G17" s="64">
        <v>1</v>
      </c>
      <c r="J17" s="238"/>
      <c r="K17" s="66" t="s">
        <v>414</v>
      </c>
      <c r="L17" s="64">
        <v>1</v>
      </c>
      <c r="M17" s="64">
        <v>3</v>
      </c>
      <c r="N17" s="105">
        <v>0.51500000000000001</v>
      </c>
      <c r="O17" s="64">
        <v>1</v>
      </c>
    </row>
    <row r="18" spans="1:15">
      <c r="A18" s="66" t="s">
        <v>415</v>
      </c>
      <c r="B18" s="63">
        <v>20</v>
      </c>
      <c r="C18" s="64">
        <v>1</v>
      </c>
      <c r="D18" s="64">
        <v>4</v>
      </c>
      <c r="E18" s="63">
        <v>10</v>
      </c>
      <c r="F18" s="105">
        <v>0.56838709677419363</v>
      </c>
      <c r="G18" s="64">
        <v>1</v>
      </c>
      <c r="J18" s="238"/>
      <c r="K18" s="66" t="s">
        <v>415</v>
      </c>
      <c r="L18" s="64">
        <v>1</v>
      </c>
      <c r="M18" s="64">
        <v>4</v>
      </c>
      <c r="N18" s="105">
        <v>0.56838709677419363</v>
      </c>
      <c r="O18" s="64">
        <v>1</v>
      </c>
    </row>
    <row r="19" spans="1:15">
      <c r="J19" s="238"/>
      <c r="K19" s="62" t="s">
        <v>416</v>
      </c>
      <c r="L19" s="104">
        <f>AVERAGE(L7:L18)</f>
        <v>0.91666666666666663</v>
      </c>
      <c r="M19" s="62">
        <f>MAX(M7:M18)</f>
        <v>6</v>
      </c>
      <c r="N19" s="109">
        <f>AVERAGE(N7:N18)</f>
        <v>0.53614685739887358</v>
      </c>
      <c r="O19" s="62">
        <f>MAX(O7:O18)</f>
        <v>1</v>
      </c>
    </row>
    <row r="21" spans="1:15" ht="41.45">
      <c r="J21" s="61">
        <f>+A6</f>
        <v>2022</v>
      </c>
      <c r="K21" s="61" t="s">
        <v>398</v>
      </c>
      <c r="L21" s="67" t="s">
        <v>393</v>
      </c>
      <c r="M21" s="67" t="s">
        <v>399</v>
      </c>
      <c r="N21" s="67" t="s">
        <v>396</v>
      </c>
      <c r="O21" s="67" t="s">
        <v>400</v>
      </c>
    </row>
    <row r="22" spans="1:15">
      <c r="J22" s="238" t="s">
        <v>194</v>
      </c>
      <c r="K22" s="66" t="s">
        <v>401</v>
      </c>
      <c r="L22" s="64"/>
      <c r="M22" s="64"/>
      <c r="N22" s="64"/>
      <c r="O22" s="64"/>
    </row>
    <row r="23" spans="1:15">
      <c r="J23" s="238"/>
      <c r="K23" s="66" t="s">
        <v>402</v>
      </c>
      <c r="L23" s="64"/>
      <c r="M23" s="64"/>
      <c r="N23" s="64"/>
      <c r="O23" s="64"/>
    </row>
    <row r="24" spans="1:15">
      <c r="J24" s="238"/>
      <c r="K24" s="66" t="s">
        <v>403</v>
      </c>
      <c r="L24" s="64"/>
      <c r="M24" s="64"/>
      <c r="N24" s="64"/>
      <c r="O24" s="64"/>
    </row>
    <row r="25" spans="1:15">
      <c r="J25" s="238"/>
      <c r="K25" s="66" t="s">
        <v>405</v>
      </c>
      <c r="L25" s="64"/>
      <c r="M25" s="64"/>
      <c r="N25" s="64"/>
      <c r="O25" s="64"/>
    </row>
    <row r="26" spans="1:15">
      <c r="J26" s="238"/>
      <c r="K26" s="66" t="s">
        <v>407</v>
      </c>
      <c r="L26" s="64"/>
      <c r="M26" s="64"/>
      <c r="N26" s="64"/>
      <c r="O26" s="64"/>
    </row>
    <row r="27" spans="1:15">
      <c r="J27" s="238"/>
      <c r="K27" s="66" t="s">
        <v>408</v>
      </c>
      <c r="L27" s="64"/>
      <c r="M27" s="64"/>
      <c r="N27" s="64"/>
      <c r="O27" s="64"/>
    </row>
    <row r="28" spans="1:15">
      <c r="J28" s="238"/>
      <c r="K28" s="66" t="s">
        <v>409</v>
      </c>
      <c r="L28" s="64"/>
      <c r="M28" s="64"/>
      <c r="N28" s="64"/>
      <c r="O28" s="64"/>
    </row>
    <row r="29" spans="1:15">
      <c r="J29" s="238"/>
      <c r="K29" s="66" t="s">
        <v>411</v>
      </c>
      <c r="L29" s="64"/>
      <c r="M29" s="64"/>
      <c r="N29" s="64"/>
      <c r="O29" s="64"/>
    </row>
    <row r="30" spans="1:15">
      <c r="J30" s="238"/>
      <c r="K30" s="66" t="s">
        <v>412</v>
      </c>
      <c r="L30" s="64"/>
      <c r="M30" s="64"/>
      <c r="N30" s="64"/>
      <c r="O30" s="64"/>
    </row>
    <row r="31" spans="1:15">
      <c r="J31" s="238"/>
      <c r="K31" s="66" t="s">
        <v>413</v>
      </c>
      <c r="L31" s="64"/>
      <c r="M31" s="64"/>
      <c r="N31" s="64"/>
      <c r="O31" s="64"/>
    </row>
    <row r="32" spans="1:15">
      <c r="J32" s="238"/>
      <c r="K32" s="66" t="s">
        <v>414</v>
      </c>
      <c r="L32" s="64"/>
      <c r="M32" s="64"/>
      <c r="N32" s="64"/>
      <c r="O32" s="64"/>
    </row>
    <row r="33" spans="1:15">
      <c r="J33" s="238"/>
      <c r="K33" s="66" t="s">
        <v>415</v>
      </c>
      <c r="L33" s="64"/>
      <c r="M33" s="64"/>
      <c r="N33" s="64"/>
      <c r="O33" s="64"/>
    </row>
    <row r="34" spans="1:15">
      <c r="J34" s="238"/>
      <c r="K34" s="62" t="s">
        <v>416</v>
      </c>
      <c r="L34" s="62" t="e">
        <f>AVERAGE(L22:L33)</f>
        <v>#DIV/0!</v>
      </c>
      <c r="M34" s="62">
        <f>MAX(M22:M33)</f>
        <v>0</v>
      </c>
      <c r="N34" s="62" t="e">
        <f>AVERAGE(N22:N33)</f>
        <v>#DIV/0!</v>
      </c>
      <c r="O34" s="62">
        <f>MAX(O22:O33)</f>
        <v>0</v>
      </c>
    </row>
    <row r="36" spans="1:15" ht="41.45">
      <c r="J36" s="61">
        <f>+A6</f>
        <v>2022</v>
      </c>
      <c r="K36" s="61" t="s">
        <v>398</v>
      </c>
      <c r="L36" s="67" t="s">
        <v>393</v>
      </c>
      <c r="M36" s="67" t="s">
        <v>399</v>
      </c>
      <c r="N36" s="67" t="s">
        <v>396</v>
      </c>
      <c r="O36" s="67" t="s">
        <v>400</v>
      </c>
    </row>
    <row r="37" spans="1:15">
      <c r="J37" s="238" t="s">
        <v>195</v>
      </c>
      <c r="K37" s="66" t="s">
        <v>401</v>
      </c>
      <c r="L37" s="64"/>
      <c r="M37" s="64"/>
      <c r="N37" s="64"/>
      <c r="O37" s="64"/>
    </row>
    <row r="38" spans="1:15">
      <c r="J38" s="238"/>
      <c r="K38" s="66" t="s">
        <v>402</v>
      </c>
      <c r="L38" s="64"/>
      <c r="M38" s="64"/>
      <c r="N38" s="64"/>
      <c r="O38" s="64"/>
    </row>
    <row r="39" spans="1:15">
      <c r="J39" s="238"/>
      <c r="K39" s="66" t="s">
        <v>403</v>
      </c>
      <c r="L39" s="64"/>
      <c r="M39" s="64"/>
      <c r="N39" s="64"/>
      <c r="O39" s="64"/>
    </row>
    <row r="40" spans="1:15">
      <c r="J40" s="238"/>
      <c r="K40" s="66" t="s">
        <v>405</v>
      </c>
      <c r="L40" s="64"/>
      <c r="M40" s="64"/>
      <c r="N40" s="64"/>
      <c r="O40" s="64"/>
    </row>
    <row r="41" spans="1:15">
      <c r="J41" s="238"/>
      <c r="K41" s="66" t="s">
        <v>407</v>
      </c>
      <c r="L41" s="64"/>
      <c r="M41" s="64"/>
      <c r="N41" s="64"/>
      <c r="O41" s="64"/>
    </row>
    <row r="42" spans="1:15">
      <c r="J42" s="238"/>
      <c r="K42" s="66" t="s">
        <v>408</v>
      </c>
      <c r="L42" s="64"/>
      <c r="M42" s="64"/>
      <c r="N42" s="64"/>
      <c r="O42" s="64"/>
    </row>
    <row r="43" spans="1:15">
      <c r="J43" s="238"/>
      <c r="K43" s="66" t="s">
        <v>409</v>
      </c>
      <c r="L43" s="64"/>
      <c r="M43" s="64"/>
      <c r="N43" s="64"/>
      <c r="O43" s="64"/>
    </row>
    <row r="44" spans="1:15">
      <c r="J44" s="238"/>
      <c r="K44" s="66" t="s">
        <v>411</v>
      </c>
      <c r="L44" s="64"/>
      <c r="M44" s="64"/>
      <c r="N44" s="64"/>
      <c r="O44" s="64"/>
    </row>
    <row r="45" spans="1:15">
      <c r="J45" s="238"/>
      <c r="K45" s="66" t="s">
        <v>412</v>
      </c>
      <c r="L45" s="64"/>
      <c r="M45" s="64"/>
      <c r="N45" s="64"/>
      <c r="O45" s="64"/>
    </row>
    <row r="46" spans="1:15">
      <c r="J46" s="238"/>
      <c r="K46" s="66" t="s">
        <v>413</v>
      </c>
      <c r="L46" s="64"/>
      <c r="M46" s="64"/>
      <c r="N46" s="64"/>
      <c r="O46" s="64"/>
    </row>
    <row r="47" spans="1:15">
      <c r="J47" s="238"/>
      <c r="K47" s="66" t="s">
        <v>414</v>
      </c>
      <c r="L47" s="64"/>
      <c r="M47" s="64"/>
      <c r="N47" s="64"/>
      <c r="O47" s="64"/>
    </row>
    <row r="48" spans="1:15">
      <c r="A48" s="250" t="s">
        <v>311</v>
      </c>
      <c r="B48" s="251"/>
      <c r="C48" s="251"/>
      <c r="D48" s="251"/>
      <c r="E48" s="251"/>
      <c r="F48" s="251"/>
      <c r="G48" s="252"/>
      <c r="J48" s="238"/>
      <c r="K48" s="66" t="s">
        <v>415</v>
      </c>
      <c r="L48" s="64"/>
      <c r="M48" s="64"/>
      <c r="N48" s="64"/>
      <c r="O48" s="64"/>
    </row>
    <row r="49" spans="1:15">
      <c r="A49" s="241"/>
      <c r="B49" s="242"/>
      <c r="C49" s="242"/>
      <c r="D49" s="242"/>
      <c r="E49" s="242"/>
      <c r="F49" s="242"/>
      <c r="G49" s="243"/>
      <c r="J49" s="238"/>
      <c r="K49" s="62" t="s">
        <v>416</v>
      </c>
      <c r="L49" s="62" t="e">
        <f>AVERAGE(L37:L48)</f>
        <v>#DIV/0!</v>
      </c>
      <c r="M49" s="62">
        <f>MAX(M37:M48)</f>
        <v>0</v>
      </c>
      <c r="N49" s="62" t="e">
        <f>AVERAGE(N37:N48)</f>
        <v>#DIV/0!</v>
      </c>
      <c r="O49" s="62">
        <f>MAX(O37:O48)</f>
        <v>0</v>
      </c>
    </row>
    <row r="50" spans="1:15">
      <c r="A50" s="244"/>
      <c r="B50" s="245"/>
      <c r="C50" s="245"/>
      <c r="D50" s="245"/>
      <c r="E50" s="245"/>
      <c r="F50" s="245"/>
      <c r="G50" s="246"/>
    </row>
    <row r="51" spans="1:15" ht="41.45">
      <c r="A51" s="244"/>
      <c r="B51" s="245"/>
      <c r="C51" s="245"/>
      <c r="D51" s="245"/>
      <c r="E51" s="245"/>
      <c r="F51" s="245"/>
      <c r="G51" s="246"/>
      <c r="J51" s="61">
        <f>+A6</f>
        <v>2022</v>
      </c>
      <c r="K51" s="61" t="s">
        <v>398</v>
      </c>
      <c r="L51" s="67" t="s">
        <v>393</v>
      </c>
      <c r="M51" s="67" t="s">
        <v>399</v>
      </c>
      <c r="N51" s="67" t="s">
        <v>396</v>
      </c>
      <c r="O51" s="67" t="s">
        <v>400</v>
      </c>
    </row>
    <row r="52" spans="1:15">
      <c r="A52" s="247"/>
      <c r="B52" s="248"/>
      <c r="C52" s="248"/>
      <c r="D52" s="248"/>
      <c r="E52" s="248"/>
      <c r="F52" s="248"/>
      <c r="G52" s="249"/>
      <c r="J52" s="238" t="s">
        <v>196</v>
      </c>
      <c r="K52" s="66" t="s">
        <v>401</v>
      </c>
      <c r="L52" s="64"/>
      <c r="M52" s="64"/>
      <c r="N52" s="64"/>
      <c r="O52" s="64"/>
    </row>
    <row r="53" spans="1:15">
      <c r="J53" s="238"/>
      <c r="K53" s="66" t="s">
        <v>402</v>
      </c>
      <c r="L53" s="64"/>
      <c r="M53" s="64"/>
      <c r="N53" s="64"/>
      <c r="O53" s="64"/>
    </row>
    <row r="54" spans="1:15">
      <c r="J54" s="238"/>
      <c r="K54" s="66" t="s">
        <v>403</v>
      </c>
      <c r="L54" s="64"/>
      <c r="M54" s="64"/>
      <c r="N54" s="64"/>
      <c r="O54" s="64"/>
    </row>
    <row r="55" spans="1:15">
      <c r="J55" s="238"/>
      <c r="K55" s="66" t="s">
        <v>405</v>
      </c>
      <c r="L55" s="64"/>
      <c r="M55" s="64"/>
      <c r="N55" s="64"/>
      <c r="O55" s="64"/>
    </row>
    <row r="56" spans="1:15">
      <c r="J56" s="238"/>
      <c r="K56" s="66" t="s">
        <v>407</v>
      </c>
      <c r="L56" s="64"/>
      <c r="M56" s="64"/>
      <c r="N56" s="64"/>
      <c r="O56" s="64"/>
    </row>
    <row r="57" spans="1:15">
      <c r="J57" s="238"/>
      <c r="K57" s="66" t="s">
        <v>408</v>
      </c>
      <c r="L57" s="64"/>
      <c r="M57" s="64"/>
      <c r="N57" s="64"/>
      <c r="O57" s="64"/>
    </row>
    <row r="58" spans="1:15">
      <c r="J58" s="238"/>
      <c r="K58" s="66" t="s">
        <v>409</v>
      </c>
      <c r="L58" s="64"/>
      <c r="M58" s="64"/>
      <c r="N58" s="64"/>
      <c r="O58" s="64"/>
    </row>
    <row r="59" spans="1:15">
      <c r="J59" s="238"/>
      <c r="K59" s="66" t="s">
        <v>411</v>
      </c>
      <c r="L59" s="64"/>
      <c r="M59" s="64"/>
      <c r="N59" s="64"/>
      <c r="O59" s="64"/>
    </row>
    <row r="60" spans="1:15">
      <c r="J60" s="238"/>
      <c r="K60" s="66" t="s">
        <v>412</v>
      </c>
      <c r="L60" s="64"/>
      <c r="M60" s="64"/>
      <c r="N60" s="64"/>
      <c r="O60" s="64"/>
    </row>
    <row r="61" spans="1:15">
      <c r="J61" s="238"/>
      <c r="K61" s="66" t="s">
        <v>413</v>
      </c>
      <c r="L61" s="64"/>
      <c r="M61" s="64"/>
      <c r="N61" s="64"/>
      <c r="O61" s="64"/>
    </row>
    <row r="62" spans="1:15">
      <c r="J62" s="238"/>
      <c r="K62" s="66" t="s">
        <v>414</v>
      </c>
      <c r="L62" s="64"/>
      <c r="M62" s="64"/>
      <c r="N62" s="64"/>
      <c r="O62" s="64"/>
    </row>
    <row r="63" spans="1:15">
      <c r="J63" s="238"/>
      <c r="K63" s="66" t="s">
        <v>415</v>
      </c>
      <c r="L63" s="64"/>
      <c r="M63" s="64"/>
      <c r="N63" s="64"/>
      <c r="O63" s="64"/>
    </row>
    <row r="64" spans="1:15">
      <c r="J64" s="238"/>
      <c r="K64" s="62" t="s">
        <v>416</v>
      </c>
      <c r="L64" s="62" t="e">
        <f>AVERAGE(L52:L63)</f>
        <v>#DIV/0!</v>
      </c>
      <c r="M64" s="62">
        <f>MAX(M52:M63)</f>
        <v>0</v>
      </c>
      <c r="N64" s="62" t="e">
        <f>AVERAGE(N52:N63)</f>
        <v>#DIV/0!</v>
      </c>
      <c r="O64" s="62">
        <f>MAX(O52:O63)</f>
        <v>0</v>
      </c>
    </row>
    <row r="66" spans="10:15" ht="41.45">
      <c r="J66" s="61">
        <f>+A6</f>
        <v>2022</v>
      </c>
      <c r="K66" s="61" t="s">
        <v>398</v>
      </c>
      <c r="L66" s="67" t="s">
        <v>393</v>
      </c>
      <c r="M66" s="67" t="s">
        <v>399</v>
      </c>
      <c r="N66" s="67" t="s">
        <v>396</v>
      </c>
      <c r="O66" s="67" t="s">
        <v>400</v>
      </c>
    </row>
    <row r="67" spans="10:15">
      <c r="J67" s="238" t="s">
        <v>197</v>
      </c>
      <c r="K67" s="66" t="s">
        <v>401</v>
      </c>
      <c r="L67" s="64"/>
      <c r="M67" s="64"/>
      <c r="N67" s="64"/>
      <c r="O67" s="64"/>
    </row>
    <row r="68" spans="10:15">
      <c r="J68" s="238"/>
      <c r="K68" s="66" t="s">
        <v>402</v>
      </c>
      <c r="L68" s="64"/>
      <c r="M68" s="64"/>
      <c r="N68" s="64"/>
      <c r="O68" s="64"/>
    </row>
    <row r="69" spans="10:15">
      <c r="J69" s="238"/>
      <c r="K69" s="66" t="s">
        <v>403</v>
      </c>
      <c r="L69" s="64"/>
      <c r="M69" s="64"/>
      <c r="N69" s="64"/>
      <c r="O69" s="64"/>
    </row>
    <row r="70" spans="10:15">
      <c r="J70" s="238"/>
      <c r="K70" s="66" t="s">
        <v>405</v>
      </c>
      <c r="L70" s="64"/>
      <c r="M70" s="64"/>
      <c r="N70" s="64"/>
      <c r="O70" s="64"/>
    </row>
    <row r="71" spans="10:15">
      <c r="J71" s="238"/>
      <c r="K71" s="66" t="s">
        <v>407</v>
      </c>
      <c r="L71" s="64"/>
      <c r="M71" s="64"/>
      <c r="N71" s="64"/>
      <c r="O71" s="64"/>
    </row>
    <row r="72" spans="10:15">
      <c r="J72" s="238"/>
      <c r="K72" s="66" t="s">
        <v>408</v>
      </c>
      <c r="L72" s="64"/>
      <c r="M72" s="64"/>
      <c r="N72" s="64"/>
      <c r="O72" s="64"/>
    </row>
    <row r="73" spans="10:15">
      <c r="J73" s="238"/>
      <c r="K73" s="66" t="s">
        <v>409</v>
      </c>
      <c r="L73" s="64"/>
      <c r="M73" s="64"/>
      <c r="N73" s="64"/>
      <c r="O73" s="64"/>
    </row>
    <row r="74" spans="10:15">
      <c r="J74" s="238"/>
      <c r="K74" s="66" t="s">
        <v>411</v>
      </c>
      <c r="L74" s="64"/>
      <c r="M74" s="64"/>
      <c r="N74" s="64"/>
      <c r="O74" s="64"/>
    </row>
    <row r="75" spans="10:15">
      <c r="J75" s="238"/>
      <c r="K75" s="66" t="s">
        <v>412</v>
      </c>
      <c r="L75" s="64"/>
      <c r="M75" s="64"/>
      <c r="N75" s="64"/>
      <c r="O75" s="64"/>
    </row>
    <row r="76" spans="10:15">
      <c r="J76" s="238"/>
      <c r="K76" s="66" t="s">
        <v>413</v>
      </c>
      <c r="L76" s="64"/>
      <c r="M76" s="64"/>
      <c r="N76" s="64"/>
      <c r="O76" s="64"/>
    </row>
    <row r="77" spans="10:15">
      <c r="J77" s="238"/>
      <c r="K77" s="66" t="s">
        <v>414</v>
      </c>
      <c r="L77" s="64"/>
      <c r="M77" s="64"/>
      <c r="N77" s="64"/>
      <c r="O77" s="64"/>
    </row>
    <row r="78" spans="10:15">
      <c r="J78" s="238"/>
      <c r="K78" s="66" t="s">
        <v>415</v>
      </c>
      <c r="L78" s="64"/>
      <c r="M78" s="64"/>
      <c r="N78" s="64"/>
      <c r="O78" s="64"/>
    </row>
    <row r="79" spans="10:15">
      <c r="J79" s="238"/>
      <c r="K79" s="62" t="s">
        <v>416</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workbookViewId="0">
      <selection activeCell="H11" sqref="H11"/>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Greatmoor Energy from Waste Facility</v>
      </c>
    </row>
    <row r="3" spans="1:19" ht="14.45">
      <c r="A3" s="60" t="s">
        <v>426</v>
      </c>
      <c r="D3" s="76" t="s">
        <v>385</v>
      </c>
      <c r="G3" s="80" t="s">
        <v>386</v>
      </c>
      <c r="J3" s="9" t="str">
        <f>+A3</f>
        <v>Monitoring of Particulate matter emissions</v>
      </c>
      <c r="L3" s="9"/>
      <c r="N3" s="9" t="s">
        <v>387</v>
      </c>
      <c r="Q3" s="79" t="s">
        <v>3</v>
      </c>
      <c r="R3" s="74"/>
      <c r="S3" s="74"/>
    </row>
    <row r="4" spans="1:19" ht="13.9" customHeight="1">
      <c r="Q4" s="229" t="s">
        <v>388</v>
      </c>
      <c r="R4" s="229"/>
      <c r="S4" s="229"/>
    </row>
    <row r="5" spans="1:19" ht="16.149999999999999">
      <c r="A5" s="68" t="s">
        <v>389</v>
      </c>
      <c r="B5" s="240" t="s">
        <v>390</v>
      </c>
      <c r="C5" s="240"/>
      <c r="D5" s="240"/>
      <c r="E5" s="240" t="s">
        <v>391</v>
      </c>
      <c r="F5" s="240"/>
      <c r="G5" s="240"/>
      <c r="J5" s="239"/>
      <c r="K5" s="239"/>
      <c r="L5" s="239"/>
      <c r="M5" s="239"/>
      <c r="N5" s="239"/>
      <c r="O5" s="239"/>
      <c r="Q5" s="229"/>
      <c r="R5" s="229"/>
      <c r="S5" s="229"/>
    </row>
    <row r="6" spans="1:19" s="58" customFormat="1" ht="37.5" customHeight="1">
      <c r="A6" s="65">
        <f>+'Cover Page'!C39</f>
        <v>2022</v>
      </c>
      <c r="B6" s="55" t="s">
        <v>427</v>
      </c>
      <c r="C6" s="55" t="s">
        <v>393</v>
      </c>
      <c r="D6" s="55" t="s">
        <v>394</v>
      </c>
      <c r="E6" s="55" t="s">
        <v>428</v>
      </c>
      <c r="F6" s="55" t="s">
        <v>396</v>
      </c>
      <c r="G6" s="55" t="s">
        <v>397</v>
      </c>
      <c r="H6" s="59"/>
      <c r="J6" s="61">
        <f>+A6</f>
        <v>2022</v>
      </c>
      <c r="K6" s="61" t="s">
        <v>398</v>
      </c>
      <c r="L6" s="67" t="s">
        <v>393</v>
      </c>
      <c r="M6" s="67" t="s">
        <v>399</v>
      </c>
      <c r="N6" s="67" t="s">
        <v>396</v>
      </c>
      <c r="O6" s="67" t="s">
        <v>400</v>
      </c>
      <c r="Q6" s="229"/>
      <c r="R6" s="229"/>
      <c r="S6" s="229"/>
    </row>
    <row r="7" spans="1:19">
      <c r="A7" s="66" t="s">
        <v>401</v>
      </c>
      <c r="B7" s="63">
        <v>30</v>
      </c>
      <c r="C7" s="64">
        <v>2</v>
      </c>
      <c r="D7" s="64">
        <v>4</v>
      </c>
      <c r="E7" s="63">
        <v>10</v>
      </c>
      <c r="F7" s="106">
        <v>1.7545161290322582</v>
      </c>
      <c r="G7" s="64">
        <v>2</v>
      </c>
      <c r="J7" s="238" t="s">
        <v>193</v>
      </c>
      <c r="K7" s="66" t="s">
        <v>401</v>
      </c>
      <c r="L7" s="64">
        <v>2</v>
      </c>
      <c r="M7" s="64">
        <v>4</v>
      </c>
      <c r="N7" s="106">
        <v>1.7545161290322582</v>
      </c>
      <c r="O7" s="64">
        <v>2</v>
      </c>
      <c r="Q7" s="229"/>
      <c r="R7" s="229"/>
      <c r="S7" s="229"/>
    </row>
    <row r="8" spans="1:19">
      <c r="A8" s="66" t="s">
        <v>402</v>
      </c>
      <c r="B8" s="63">
        <v>30</v>
      </c>
      <c r="C8" s="64">
        <v>2</v>
      </c>
      <c r="D8" s="64">
        <v>10</v>
      </c>
      <c r="E8" s="63">
        <v>10</v>
      </c>
      <c r="F8" s="106">
        <v>1.5467857142857147</v>
      </c>
      <c r="G8" s="64">
        <v>2</v>
      </c>
      <c r="J8" s="238"/>
      <c r="K8" s="66" t="s">
        <v>402</v>
      </c>
      <c r="L8" s="64">
        <v>2</v>
      </c>
      <c r="M8" s="64">
        <v>10</v>
      </c>
      <c r="N8" s="106">
        <v>1.5467857142857147</v>
      </c>
      <c r="O8" s="64">
        <v>2</v>
      </c>
      <c r="Q8" s="229"/>
      <c r="R8" s="229"/>
      <c r="S8" s="229"/>
    </row>
    <row r="9" spans="1:19">
      <c r="A9" s="66" t="s">
        <v>403</v>
      </c>
      <c r="B9" s="63">
        <v>30</v>
      </c>
      <c r="C9" s="64">
        <v>2</v>
      </c>
      <c r="D9" s="64">
        <v>4</v>
      </c>
      <c r="E9" s="63">
        <v>10</v>
      </c>
      <c r="F9" s="106">
        <v>1.9122580645161291</v>
      </c>
      <c r="G9" s="64">
        <v>4</v>
      </c>
      <c r="J9" s="238"/>
      <c r="K9" s="66" t="s">
        <v>403</v>
      </c>
      <c r="L9" s="64">
        <v>2</v>
      </c>
      <c r="M9" s="64">
        <v>4</v>
      </c>
      <c r="N9" s="106">
        <v>1.9122580645161291</v>
      </c>
      <c r="O9" s="64">
        <v>4</v>
      </c>
      <c r="Q9" s="78" t="s">
        <v>404</v>
      </c>
    </row>
    <row r="10" spans="1:19" ht="14.25" customHeight="1">
      <c r="A10" s="66" t="s">
        <v>405</v>
      </c>
      <c r="B10" s="63">
        <v>30</v>
      </c>
      <c r="C10" s="64">
        <v>3</v>
      </c>
      <c r="D10" s="64">
        <v>5</v>
      </c>
      <c r="E10" s="63">
        <v>10</v>
      </c>
      <c r="F10" s="106">
        <v>2.6633333333333331</v>
      </c>
      <c r="G10" s="64">
        <v>4</v>
      </c>
      <c r="J10" s="238"/>
      <c r="K10" s="66" t="s">
        <v>405</v>
      </c>
      <c r="L10" s="64">
        <v>3</v>
      </c>
      <c r="M10" s="64">
        <v>5</v>
      </c>
      <c r="N10" s="106">
        <v>2.6633333333333331</v>
      </c>
      <c r="O10" s="64">
        <v>4</v>
      </c>
      <c r="Q10" s="237" t="s">
        <v>406</v>
      </c>
      <c r="R10" s="237"/>
      <c r="S10" s="237"/>
    </row>
    <row r="11" spans="1:19">
      <c r="A11" s="66" t="s">
        <v>407</v>
      </c>
      <c r="B11" s="63">
        <v>30</v>
      </c>
      <c r="C11" s="64">
        <v>3</v>
      </c>
      <c r="D11" s="64">
        <v>4</v>
      </c>
      <c r="E11" s="63">
        <v>10</v>
      </c>
      <c r="F11" s="106">
        <v>2.6558333333333328</v>
      </c>
      <c r="G11" s="64">
        <v>3</v>
      </c>
      <c r="J11" s="238"/>
      <c r="K11" s="66" t="s">
        <v>407</v>
      </c>
      <c r="L11" s="64">
        <v>3</v>
      </c>
      <c r="M11" s="64">
        <v>4</v>
      </c>
      <c r="N11" s="106">
        <v>2.6558333333333328</v>
      </c>
      <c r="O11" s="64">
        <v>3</v>
      </c>
      <c r="Q11" s="237"/>
      <c r="R11" s="237"/>
      <c r="S11" s="237"/>
    </row>
    <row r="12" spans="1:19">
      <c r="A12" s="66" t="s">
        <v>408</v>
      </c>
      <c r="B12" s="63">
        <v>30</v>
      </c>
      <c r="C12" s="64">
        <v>3</v>
      </c>
      <c r="D12" s="64">
        <v>15</v>
      </c>
      <c r="E12" s="63">
        <v>10</v>
      </c>
      <c r="F12" s="106">
        <v>2.5900000000000003</v>
      </c>
      <c r="G12" s="64">
        <v>4</v>
      </c>
      <c r="J12" s="238"/>
      <c r="K12" s="66" t="s">
        <v>408</v>
      </c>
      <c r="L12" s="64">
        <v>3</v>
      </c>
      <c r="M12" s="64">
        <v>15</v>
      </c>
      <c r="N12" s="106">
        <v>2.5900000000000003</v>
      </c>
      <c r="O12" s="64">
        <v>4</v>
      </c>
      <c r="Q12" s="237"/>
      <c r="R12" s="237"/>
      <c r="S12" s="237"/>
    </row>
    <row r="13" spans="1:19" ht="14.25" customHeight="1">
      <c r="A13" s="66" t="s">
        <v>409</v>
      </c>
      <c r="B13" s="63">
        <v>30</v>
      </c>
      <c r="C13" s="64">
        <v>2</v>
      </c>
      <c r="D13" s="64">
        <v>6</v>
      </c>
      <c r="E13" s="63">
        <v>10</v>
      </c>
      <c r="F13" s="106">
        <v>1.6967741935483869</v>
      </c>
      <c r="G13" s="64">
        <v>3</v>
      </c>
      <c r="J13" s="238"/>
      <c r="K13" s="66" t="s">
        <v>409</v>
      </c>
      <c r="L13" s="64">
        <v>2</v>
      </c>
      <c r="M13" s="64">
        <v>6</v>
      </c>
      <c r="N13" s="106">
        <v>1.6967741935483869</v>
      </c>
      <c r="O13" s="64">
        <v>3</v>
      </c>
      <c r="Q13" s="237" t="s">
        <v>410</v>
      </c>
      <c r="R13" s="237"/>
      <c r="S13" s="237"/>
    </row>
    <row r="14" spans="1:19">
      <c r="A14" s="66" t="s">
        <v>411</v>
      </c>
      <c r="B14" s="63">
        <v>30</v>
      </c>
      <c r="C14" s="64">
        <v>1</v>
      </c>
      <c r="D14" s="64">
        <v>4</v>
      </c>
      <c r="E14" s="63">
        <v>10</v>
      </c>
      <c r="F14" s="106">
        <v>0.78999999999999981</v>
      </c>
      <c r="G14" s="64">
        <v>1</v>
      </c>
      <c r="J14" s="238"/>
      <c r="K14" s="66" t="s">
        <v>411</v>
      </c>
      <c r="L14" s="64">
        <v>1</v>
      </c>
      <c r="M14" s="64">
        <v>4</v>
      </c>
      <c r="N14" s="106">
        <v>0.78999999999999981</v>
      </c>
      <c r="O14" s="64">
        <v>1</v>
      </c>
      <c r="Q14" s="237"/>
      <c r="R14" s="237"/>
      <c r="S14" s="237"/>
    </row>
    <row r="15" spans="1:19">
      <c r="A15" s="66" t="s">
        <v>412</v>
      </c>
      <c r="B15" s="63">
        <v>30</v>
      </c>
      <c r="C15" s="64">
        <v>1</v>
      </c>
      <c r="D15" s="64">
        <v>2</v>
      </c>
      <c r="E15" s="63">
        <v>10</v>
      </c>
      <c r="F15" s="106">
        <v>1.1769999999999998</v>
      </c>
      <c r="G15" s="64">
        <v>2</v>
      </c>
      <c r="J15" s="238"/>
      <c r="K15" s="66" t="s">
        <v>412</v>
      </c>
      <c r="L15" s="64">
        <v>1</v>
      </c>
      <c r="M15" s="64">
        <v>2</v>
      </c>
      <c r="N15" s="106">
        <v>1.1769999999999998</v>
      </c>
      <c r="O15" s="64">
        <v>2</v>
      </c>
      <c r="Q15" s="237"/>
      <c r="R15" s="237"/>
      <c r="S15" s="237"/>
    </row>
    <row r="16" spans="1:19">
      <c r="A16" s="66" t="s">
        <v>413</v>
      </c>
      <c r="B16" s="63">
        <v>30</v>
      </c>
      <c r="C16" s="64">
        <v>2</v>
      </c>
      <c r="D16" s="64">
        <v>4</v>
      </c>
      <c r="E16" s="63">
        <v>10</v>
      </c>
      <c r="F16" s="106">
        <v>1.6858064516129032</v>
      </c>
      <c r="G16" s="64">
        <v>2</v>
      </c>
      <c r="J16" s="238"/>
      <c r="K16" s="66" t="s">
        <v>413</v>
      </c>
      <c r="L16" s="64">
        <v>2</v>
      </c>
      <c r="M16" s="64">
        <v>4</v>
      </c>
      <c r="N16" s="106">
        <v>1.6858064516129032</v>
      </c>
      <c r="O16" s="64">
        <v>2</v>
      </c>
      <c r="Q16" s="237"/>
      <c r="R16" s="237"/>
      <c r="S16" s="237"/>
    </row>
    <row r="17" spans="1:15">
      <c r="A17" s="66" t="s">
        <v>414</v>
      </c>
      <c r="B17" s="63">
        <v>30</v>
      </c>
      <c r="C17" s="64">
        <v>1</v>
      </c>
      <c r="D17" s="64">
        <v>9</v>
      </c>
      <c r="E17" s="63">
        <v>10</v>
      </c>
      <c r="F17" s="106">
        <v>1.344090909090909</v>
      </c>
      <c r="G17" s="64">
        <v>2</v>
      </c>
      <c r="J17" s="238"/>
      <c r="K17" s="66" t="s">
        <v>414</v>
      </c>
      <c r="L17" s="64">
        <v>1</v>
      </c>
      <c r="M17" s="64">
        <v>9</v>
      </c>
      <c r="N17" s="106">
        <v>1.344090909090909</v>
      </c>
      <c r="O17" s="64">
        <v>2</v>
      </c>
    </row>
    <row r="18" spans="1:15">
      <c r="A18" s="66" t="s">
        <v>415</v>
      </c>
      <c r="B18" s="63">
        <v>30</v>
      </c>
      <c r="C18" s="64">
        <v>2</v>
      </c>
      <c r="D18" s="64">
        <v>2</v>
      </c>
      <c r="E18" s="63">
        <v>10</v>
      </c>
      <c r="F18" s="106">
        <v>1.5480645161290323</v>
      </c>
      <c r="G18" s="64">
        <v>2</v>
      </c>
      <c r="J18" s="238"/>
      <c r="K18" s="66" t="s">
        <v>415</v>
      </c>
      <c r="L18" s="64">
        <v>2</v>
      </c>
      <c r="M18" s="64">
        <v>2</v>
      </c>
      <c r="N18" s="106">
        <v>1.5480645161290323</v>
      </c>
      <c r="O18" s="64">
        <v>2</v>
      </c>
    </row>
    <row r="19" spans="1:15">
      <c r="J19" s="238"/>
      <c r="K19" s="62" t="s">
        <v>416</v>
      </c>
      <c r="L19" s="62">
        <f>AVERAGE(L7:L18)</f>
        <v>2</v>
      </c>
      <c r="M19" s="62">
        <f>MAX(M7:M18)</f>
        <v>15</v>
      </c>
      <c r="N19" s="104">
        <f>AVERAGE(N7:N18)</f>
        <v>1.7803718870734999</v>
      </c>
      <c r="O19" s="62">
        <f>MAX(O7:O18)</f>
        <v>4</v>
      </c>
    </row>
    <row r="21" spans="1:15" ht="41.45">
      <c r="J21" s="61">
        <f>+A6</f>
        <v>2022</v>
      </c>
      <c r="K21" s="61" t="s">
        <v>398</v>
      </c>
      <c r="L21" s="67" t="s">
        <v>393</v>
      </c>
      <c r="M21" s="67" t="s">
        <v>399</v>
      </c>
      <c r="N21" s="67" t="s">
        <v>396</v>
      </c>
      <c r="O21" s="67" t="s">
        <v>400</v>
      </c>
    </row>
    <row r="22" spans="1:15">
      <c r="J22" s="238" t="s">
        <v>194</v>
      </c>
      <c r="K22" s="66" t="s">
        <v>401</v>
      </c>
      <c r="L22" s="64"/>
      <c r="M22" s="64"/>
      <c r="N22" s="64"/>
      <c r="O22" s="64"/>
    </row>
    <row r="23" spans="1:15">
      <c r="J23" s="238"/>
      <c r="K23" s="66" t="s">
        <v>402</v>
      </c>
      <c r="L23" s="64"/>
      <c r="M23" s="64"/>
      <c r="N23" s="64"/>
      <c r="O23" s="64"/>
    </row>
    <row r="24" spans="1:15">
      <c r="J24" s="238"/>
      <c r="K24" s="66" t="s">
        <v>403</v>
      </c>
      <c r="L24" s="64"/>
      <c r="M24" s="64"/>
      <c r="N24" s="64"/>
      <c r="O24" s="64"/>
    </row>
    <row r="25" spans="1:15">
      <c r="J25" s="238"/>
      <c r="K25" s="66" t="s">
        <v>405</v>
      </c>
      <c r="L25" s="64"/>
      <c r="M25" s="64"/>
      <c r="N25" s="64"/>
      <c r="O25" s="64"/>
    </row>
    <row r="26" spans="1:15">
      <c r="J26" s="238"/>
      <c r="K26" s="66" t="s">
        <v>407</v>
      </c>
      <c r="L26" s="64"/>
      <c r="M26" s="64"/>
      <c r="N26" s="64"/>
      <c r="O26" s="64"/>
    </row>
    <row r="27" spans="1:15">
      <c r="J27" s="238"/>
      <c r="K27" s="66" t="s">
        <v>408</v>
      </c>
      <c r="L27" s="64"/>
      <c r="M27" s="64"/>
      <c r="N27" s="64"/>
      <c r="O27" s="64"/>
    </row>
    <row r="28" spans="1:15">
      <c r="J28" s="238"/>
      <c r="K28" s="66" t="s">
        <v>409</v>
      </c>
      <c r="L28" s="64"/>
      <c r="M28" s="64"/>
      <c r="N28" s="64"/>
      <c r="O28" s="64"/>
    </row>
    <row r="29" spans="1:15">
      <c r="J29" s="238"/>
      <c r="K29" s="66" t="s">
        <v>411</v>
      </c>
      <c r="L29" s="64"/>
      <c r="M29" s="64"/>
      <c r="N29" s="64"/>
      <c r="O29" s="64"/>
    </row>
    <row r="30" spans="1:15">
      <c r="J30" s="238"/>
      <c r="K30" s="66" t="s">
        <v>412</v>
      </c>
      <c r="L30" s="64"/>
      <c r="M30" s="64"/>
      <c r="N30" s="64"/>
      <c r="O30" s="64"/>
    </row>
    <row r="31" spans="1:15">
      <c r="J31" s="238"/>
      <c r="K31" s="66" t="s">
        <v>413</v>
      </c>
      <c r="L31" s="64"/>
      <c r="M31" s="64"/>
      <c r="N31" s="64"/>
      <c r="O31" s="64"/>
    </row>
    <row r="32" spans="1:15">
      <c r="J32" s="238"/>
      <c r="K32" s="66" t="s">
        <v>414</v>
      </c>
      <c r="L32" s="64"/>
      <c r="M32" s="64"/>
      <c r="N32" s="64"/>
      <c r="O32" s="64"/>
    </row>
    <row r="33" spans="1:15">
      <c r="J33" s="238"/>
      <c r="K33" s="66" t="s">
        <v>415</v>
      </c>
      <c r="L33" s="64"/>
      <c r="M33" s="64"/>
      <c r="N33" s="64"/>
      <c r="O33" s="64"/>
    </row>
    <row r="34" spans="1:15">
      <c r="J34" s="238"/>
      <c r="K34" s="62" t="s">
        <v>416</v>
      </c>
      <c r="L34" s="62" t="e">
        <f>AVERAGE(L22:L33)</f>
        <v>#DIV/0!</v>
      </c>
      <c r="M34" s="62">
        <f>MAX(M22:M33)</f>
        <v>0</v>
      </c>
      <c r="N34" s="62" t="e">
        <f>AVERAGE(N22:N33)</f>
        <v>#DIV/0!</v>
      </c>
      <c r="O34" s="62">
        <f>MAX(O22:O33)</f>
        <v>0</v>
      </c>
    </row>
    <row r="36" spans="1:15" ht="41.45">
      <c r="J36" s="61">
        <f>+A6</f>
        <v>2022</v>
      </c>
      <c r="K36" s="61" t="s">
        <v>398</v>
      </c>
      <c r="L36" s="67" t="s">
        <v>393</v>
      </c>
      <c r="M36" s="67" t="s">
        <v>399</v>
      </c>
      <c r="N36" s="67" t="s">
        <v>396</v>
      </c>
      <c r="O36" s="67" t="s">
        <v>400</v>
      </c>
    </row>
    <row r="37" spans="1:15">
      <c r="J37" s="238" t="s">
        <v>195</v>
      </c>
      <c r="K37" s="66" t="s">
        <v>401</v>
      </c>
      <c r="L37" s="64"/>
      <c r="M37" s="64"/>
      <c r="N37" s="64"/>
      <c r="O37" s="64"/>
    </row>
    <row r="38" spans="1:15">
      <c r="J38" s="238"/>
      <c r="K38" s="66" t="s">
        <v>402</v>
      </c>
      <c r="L38" s="64"/>
      <c r="M38" s="64"/>
      <c r="N38" s="64"/>
      <c r="O38" s="64"/>
    </row>
    <row r="39" spans="1:15">
      <c r="J39" s="238"/>
      <c r="K39" s="66" t="s">
        <v>403</v>
      </c>
      <c r="L39" s="64"/>
      <c r="M39" s="64"/>
      <c r="N39" s="64"/>
      <c r="O39" s="64"/>
    </row>
    <row r="40" spans="1:15">
      <c r="J40" s="238"/>
      <c r="K40" s="66" t="s">
        <v>405</v>
      </c>
      <c r="L40" s="64"/>
      <c r="M40" s="64"/>
      <c r="N40" s="64"/>
      <c r="O40" s="64"/>
    </row>
    <row r="41" spans="1:15">
      <c r="J41" s="238"/>
      <c r="K41" s="66" t="s">
        <v>407</v>
      </c>
      <c r="L41" s="64"/>
      <c r="M41" s="64"/>
      <c r="N41" s="64"/>
      <c r="O41" s="64"/>
    </row>
    <row r="42" spans="1:15">
      <c r="J42" s="238"/>
      <c r="K42" s="66" t="s">
        <v>408</v>
      </c>
      <c r="L42" s="64"/>
      <c r="M42" s="64"/>
      <c r="N42" s="64"/>
      <c r="O42" s="64"/>
    </row>
    <row r="43" spans="1:15">
      <c r="J43" s="238"/>
      <c r="K43" s="66" t="s">
        <v>409</v>
      </c>
      <c r="L43" s="64"/>
      <c r="M43" s="64"/>
      <c r="N43" s="64"/>
      <c r="O43" s="64"/>
    </row>
    <row r="44" spans="1:15">
      <c r="J44" s="238"/>
      <c r="K44" s="66" t="s">
        <v>411</v>
      </c>
      <c r="L44" s="64"/>
      <c r="M44" s="64"/>
      <c r="N44" s="64"/>
      <c r="O44" s="64"/>
    </row>
    <row r="45" spans="1:15">
      <c r="J45" s="238"/>
      <c r="K45" s="66" t="s">
        <v>412</v>
      </c>
      <c r="L45" s="64"/>
      <c r="M45" s="64"/>
      <c r="N45" s="64"/>
      <c r="O45" s="64"/>
    </row>
    <row r="46" spans="1:15">
      <c r="J46" s="238"/>
      <c r="K46" s="66" t="s">
        <v>413</v>
      </c>
      <c r="L46" s="64"/>
      <c r="M46" s="64"/>
      <c r="N46" s="64"/>
      <c r="O46" s="64"/>
    </row>
    <row r="47" spans="1:15">
      <c r="J47" s="238"/>
      <c r="K47" s="66" t="s">
        <v>414</v>
      </c>
      <c r="L47" s="64"/>
      <c r="M47" s="64"/>
      <c r="N47" s="64"/>
      <c r="O47" s="64"/>
    </row>
    <row r="48" spans="1:15">
      <c r="A48" s="250" t="s">
        <v>311</v>
      </c>
      <c r="B48" s="251"/>
      <c r="C48" s="251"/>
      <c r="D48" s="251"/>
      <c r="E48" s="251"/>
      <c r="F48" s="251"/>
      <c r="G48" s="252"/>
      <c r="J48" s="238"/>
      <c r="K48" s="66" t="s">
        <v>415</v>
      </c>
      <c r="L48" s="64"/>
      <c r="M48" s="64"/>
      <c r="N48" s="64"/>
      <c r="O48" s="64"/>
    </row>
    <row r="49" spans="1:15">
      <c r="A49" s="241"/>
      <c r="B49" s="242"/>
      <c r="C49" s="242"/>
      <c r="D49" s="242"/>
      <c r="E49" s="242"/>
      <c r="F49" s="242"/>
      <c r="G49" s="243"/>
      <c r="J49" s="238"/>
      <c r="K49" s="62" t="s">
        <v>416</v>
      </c>
      <c r="L49" s="62" t="e">
        <f>AVERAGE(L37:L48)</f>
        <v>#DIV/0!</v>
      </c>
      <c r="M49" s="62">
        <f>MAX(M37:M48)</f>
        <v>0</v>
      </c>
      <c r="N49" s="62" t="e">
        <f>AVERAGE(N37:N48)</f>
        <v>#DIV/0!</v>
      </c>
      <c r="O49" s="62">
        <f>MAX(O37:O48)</f>
        <v>0</v>
      </c>
    </row>
    <row r="50" spans="1:15">
      <c r="A50" s="244"/>
      <c r="B50" s="245"/>
      <c r="C50" s="245"/>
      <c r="D50" s="245"/>
      <c r="E50" s="245"/>
      <c r="F50" s="245"/>
      <c r="G50" s="246"/>
    </row>
    <row r="51" spans="1:15" ht="41.45">
      <c r="A51" s="244"/>
      <c r="B51" s="245"/>
      <c r="C51" s="245"/>
      <c r="D51" s="245"/>
      <c r="E51" s="245"/>
      <c r="F51" s="245"/>
      <c r="G51" s="246"/>
      <c r="J51" s="61">
        <f>+A6</f>
        <v>2022</v>
      </c>
      <c r="K51" s="61" t="s">
        <v>398</v>
      </c>
      <c r="L51" s="67" t="s">
        <v>393</v>
      </c>
      <c r="M51" s="67" t="s">
        <v>399</v>
      </c>
      <c r="N51" s="67" t="s">
        <v>396</v>
      </c>
      <c r="O51" s="67" t="s">
        <v>400</v>
      </c>
    </row>
    <row r="52" spans="1:15">
      <c r="A52" s="247"/>
      <c r="B52" s="248"/>
      <c r="C52" s="248"/>
      <c r="D52" s="248"/>
      <c r="E52" s="248"/>
      <c r="F52" s="248"/>
      <c r="G52" s="249"/>
      <c r="J52" s="238" t="s">
        <v>196</v>
      </c>
      <c r="K52" s="66" t="s">
        <v>401</v>
      </c>
      <c r="L52" s="64"/>
      <c r="M52" s="64"/>
      <c r="N52" s="64"/>
      <c r="O52" s="64"/>
    </row>
    <row r="53" spans="1:15">
      <c r="J53" s="238"/>
      <c r="K53" s="66" t="s">
        <v>402</v>
      </c>
      <c r="L53" s="64"/>
      <c r="M53" s="64"/>
      <c r="N53" s="64"/>
      <c r="O53" s="64"/>
    </row>
    <row r="54" spans="1:15">
      <c r="J54" s="238"/>
      <c r="K54" s="66" t="s">
        <v>403</v>
      </c>
      <c r="L54" s="64"/>
      <c r="M54" s="64"/>
      <c r="N54" s="64"/>
      <c r="O54" s="64"/>
    </row>
    <row r="55" spans="1:15">
      <c r="J55" s="238"/>
      <c r="K55" s="66" t="s">
        <v>405</v>
      </c>
      <c r="L55" s="64"/>
      <c r="M55" s="64"/>
      <c r="N55" s="64"/>
      <c r="O55" s="64"/>
    </row>
    <row r="56" spans="1:15">
      <c r="J56" s="238"/>
      <c r="K56" s="66" t="s">
        <v>407</v>
      </c>
      <c r="L56" s="64"/>
      <c r="M56" s="64"/>
      <c r="N56" s="64"/>
      <c r="O56" s="64"/>
    </row>
    <row r="57" spans="1:15">
      <c r="J57" s="238"/>
      <c r="K57" s="66" t="s">
        <v>408</v>
      </c>
      <c r="L57" s="64"/>
      <c r="M57" s="64"/>
      <c r="N57" s="64"/>
      <c r="O57" s="64"/>
    </row>
    <row r="58" spans="1:15">
      <c r="J58" s="238"/>
      <c r="K58" s="66" t="s">
        <v>409</v>
      </c>
      <c r="L58" s="64"/>
      <c r="M58" s="64"/>
      <c r="N58" s="64"/>
      <c r="O58" s="64"/>
    </row>
    <row r="59" spans="1:15">
      <c r="J59" s="238"/>
      <c r="K59" s="66" t="s">
        <v>411</v>
      </c>
      <c r="L59" s="64"/>
      <c r="M59" s="64"/>
      <c r="N59" s="64"/>
      <c r="O59" s="64"/>
    </row>
    <row r="60" spans="1:15">
      <c r="J60" s="238"/>
      <c r="K60" s="66" t="s">
        <v>412</v>
      </c>
      <c r="L60" s="64"/>
      <c r="M60" s="64"/>
      <c r="N60" s="64"/>
      <c r="O60" s="64"/>
    </row>
    <row r="61" spans="1:15">
      <c r="J61" s="238"/>
      <c r="K61" s="66" t="s">
        <v>413</v>
      </c>
      <c r="L61" s="64"/>
      <c r="M61" s="64"/>
      <c r="N61" s="64"/>
      <c r="O61" s="64"/>
    </row>
    <row r="62" spans="1:15">
      <c r="J62" s="238"/>
      <c r="K62" s="66" t="s">
        <v>414</v>
      </c>
      <c r="L62" s="64"/>
      <c r="M62" s="64"/>
      <c r="N62" s="64"/>
      <c r="O62" s="64"/>
    </row>
    <row r="63" spans="1:15">
      <c r="J63" s="238"/>
      <c r="K63" s="66" t="s">
        <v>415</v>
      </c>
      <c r="L63" s="64"/>
      <c r="M63" s="64"/>
      <c r="N63" s="64"/>
      <c r="O63" s="64"/>
    </row>
    <row r="64" spans="1:15">
      <c r="J64" s="238"/>
      <c r="K64" s="62" t="s">
        <v>416</v>
      </c>
      <c r="L64" s="62" t="e">
        <f>AVERAGE(L52:L63)</f>
        <v>#DIV/0!</v>
      </c>
      <c r="M64" s="62">
        <f>MAX(M52:M63)</f>
        <v>0</v>
      </c>
      <c r="N64" s="62" t="e">
        <f>AVERAGE(N52:N63)</f>
        <v>#DIV/0!</v>
      </c>
      <c r="O64" s="62">
        <f>MAX(O52:O63)</f>
        <v>0</v>
      </c>
    </row>
    <row r="66" spans="10:15" ht="41.45">
      <c r="J66" s="61">
        <f>+A6</f>
        <v>2022</v>
      </c>
      <c r="K66" s="61" t="s">
        <v>398</v>
      </c>
      <c r="L66" s="67" t="s">
        <v>393</v>
      </c>
      <c r="M66" s="67" t="s">
        <v>399</v>
      </c>
      <c r="N66" s="67" t="s">
        <v>396</v>
      </c>
      <c r="O66" s="67" t="s">
        <v>400</v>
      </c>
    </row>
    <row r="67" spans="10:15">
      <c r="J67" s="238" t="s">
        <v>197</v>
      </c>
      <c r="K67" s="66" t="s">
        <v>401</v>
      </c>
      <c r="L67" s="64"/>
      <c r="M67" s="64"/>
      <c r="N67" s="64"/>
      <c r="O67" s="64"/>
    </row>
    <row r="68" spans="10:15">
      <c r="J68" s="238"/>
      <c r="K68" s="66" t="s">
        <v>402</v>
      </c>
      <c r="L68" s="64"/>
      <c r="M68" s="64"/>
      <c r="N68" s="64"/>
      <c r="O68" s="64"/>
    </row>
    <row r="69" spans="10:15">
      <c r="J69" s="238"/>
      <c r="K69" s="66" t="s">
        <v>403</v>
      </c>
      <c r="L69" s="64"/>
      <c r="M69" s="64"/>
      <c r="N69" s="64"/>
      <c r="O69" s="64"/>
    </row>
    <row r="70" spans="10:15">
      <c r="J70" s="238"/>
      <c r="K70" s="66" t="s">
        <v>405</v>
      </c>
      <c r="L70" s="64"/>
      <c r="M70" s="64"/>
      <c r="N70" s="64"/>
      <c r="O70" s="64"/>
    </row>
    <row r="71" spans="10:15">
      <c r="J71" s="238"/>
      <c r="K71" s="66" t="s">
        <v>407</v>
      </c>
      <c r="L71" s="64"/>
      <c r="M71" s="64"/>
      <c r="N71" s="64"/>
      <c r="O71" s="64"/>
    </row>
    <row r="72" spans="10:15">
      <c r="J72" s="238"/>
      <c r="K72" s="66" t="s">
        <v>408</v>
      </c>
      <c r="L72" s="64"/>
      <c r="M72" s="64"/>
      <c r="N72" s="64"/>
      <c r="O72" s="64"/>
    </row>
    <row r="73" spans="10:15">
      <c r="J73" s="238"/>
      <c r="K73" s="66" t="s">
        <v>409</v>
      </c>
      <c r="L73" s="64"/>
      <c r="M73" s="64"/>
      <c r="N73" s="64"/>
      <c r="O73" s="64"/>
    </row>
    <row r="74" spans="10:15">
      <c r="J74" s="238"/>
      <c r="K74" s="66" t="s">
        <v>411</v>
      </c>
      <c r="L74" s="64"/>
      <c r="M74" s="64"/>
      <c r="N74" s="64"/>
      <c r="O74" s="64"/>
    </row>
    <row r="75" spans="10:15">
      <c r="J75" s="238"/>
      <c r="K75" s="66" t="s">
        <v>412</v>
      </c>
      <c r="L75" s="64"/>
      <c r="M75" s="64"/>
      <c r="N75" s="64"/>
      <c r="O75" s="64"/>
    </row>
    <row r="76" spans="10:15">
      <c r="J76" s="238"/>
      <c r="K76" s="66" t="s">
        <v>413</v>
      </c>
      <c r="L76" s="64"/>
      <c r="M76" s="64"/>
      <c r="N76" s="64"/>
      <c r="O76" s="64"/>
    </row>
    <row r="77" spans="10:15">
      <c r="J77" s="238"/>
      <c r="K77" s="66" t="s">
        <v>414</v>
      </c>
      <c r="L77" s="64"/>
      <c r="M77" s="64"/>
      <c r="N77" s="64"/>
      <c r="O77" s="64"/>
    </row>
    <row r="78" spans="10:15">
      <c r="J78" s="238"/>
      <c r="K78" s="66" t="s">
        <v>415</v>
      </c>
      <c r="L78" s="64"/>
      <c r="M78" s="64"/>
      <c r="N78" s="64"/>
      <c r="O78" s="64"/>
    </row>
    <row r="79" spans="10:15">
      <c r="J79" s="238"/>
      <c r="K79" s="62" t="s">
        <v>416</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workbookViewId="0"/>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Greatmoor Energy from Waste Facility</v>
      </c>
    </row>
    <row r="3" spans="1:19" ht="14.45">
      <c r="A3" s="60" t="s">
        <v>429</v>
      </c>
      <c r="D3" s="76" t="s">
        <v>385</v>
      </c>
      <c r="G3" s="80" t="s">
        <v>386</v>
      </c>
      <c r="J3" s="9" t="str">
        <f>+A3</f>
        <v>Monitoring of Carbon Monoxide (half hourly)</v>
      </c>
      <c r="L3" s="9"/>
      <c r="N3" s="9" t="s">
        <v>387</v>
      </c>
      <c r="Q3" s="79" t="s">
        <v>3</v>
      </c>
      <c r="R3" s="74"/>
      <c r="S3" s="74"/>
    </row>
    <row r="4" spans="1:19" ht="13.9" customHeight="1">
      <c r="Q4" s="229" t="s">
        <v>388</v>
      </c>
      <c r="R4" s="229"/>
      <c r="S4" s="229"/>
    </row>
    <row r="5" spans="1:19" ht="16.149999999999999">
      <c r="A5" s="68" t="s">
        <v>389</v>
      </c>
      <c r="B5" s="240" t="s">
        <v>390</v>
      </c>
      <c r="C5" s="240"/>
      <c r="D5" s="240"/>
      <c r="E5" s="240" t="s">
        <v>391</v>
      </c>
      <c r="F5" s="240"/>
      <c r="G5" s="240"/>
      <c r="J5" s="239"/>
      <c r="K5" s="239"/>
      <c r="L5" s="239"/>
      <c r="M5" s="239"/>
      <c r="N5" s="239"/>
      <c r="O5" s="239"/>
      <c r="Q5" s="229"/>
      <c r="R5" s="229"/>
      <c r="S5" s="229"/>
    </row>
    <row r="6" spans="1:19" s="58" customFormat="1" ht="37.5" customHeight="1">
      <c r="A6" s="65">
        <f>+'Cover Page'!C39</f>
        <v>2022</v>
      </c>
      <c r="B6" s="55" t="s">
        <v>430</v>
      </c>
      <c r="C6" s="55" t="s">
        <v>393</v>
      </c>
      <c r="D6" s="55" t="s">
        <v>394</v>
      </c>
      <c r="E6" s="55" t="s">
        <v>431</v>
      </c>
      <c r="F6" s="55" t="s">
        <v>396</v>
      </c>
      <c r="G6" s="55" t="s">
        <v>397</v>
      </c>
      <c r="H6" s="59"/>
      <c r="J6" s="61">
        <f>+A6</f>
        <v>2022</v>
      </c>
      <c r="K6" s="61" t="s">
        <v>398</v>
      </c>
      <c r="L6" s="67" t="s">
        <v>393</v>
      </c>
      <c r="M6" s="67" t="s">
        <v>399</v>
      </c>
      <c r="N6" s="67" t="s">
        <v>396</v>
      </c>
      <c r="O6" s="67" t="s">
        <v>400</v>
      </c>
      <c r="Q6" s="229"/>
      <c r="R6" s="229"/>
      <c r="S6" s="229"/>
    </row>
    <row r="7" spans="1:19">
      <c r="A7" s="66" t="s">
        <v>401</v>
      </c>
      <c r="B7" s="69">
        <v>100</v>
      </c>
      <c r="C7" s="64"/>
      <c r="D7" s="64"/>
      <c r="E7" s="69">
        <v>50</v>
      </c>
      <c r="F7" s="64"/>
      <c r="G7" s="64"/>
      <c r="J7" s="238" t="s">
        <v>193</v>
      </c>
      <c r="K7" s="66" t="s">
        <v>401</v>
      </c>
      <c r="L7" s="64"/>
      <c r="M7" s="64"/>
      <c r="N7" s="64"/>
      <c r="O7" s="64"/>
      <c r="Q7" s="229"/>
      <c r="R7" s="229"/>
      <c r="S7" s="229"/>
    </row>
    <row r="8" spans="1:19">
      <c r="A8" s="66" t="s">
        <v>402</v>
      </c>
      <c r="B8" s="63">
        <f>+B7</f>
        <v>100</v>
      </c>
      <c r="C8" s="64"/>
      <c r="D8" s="64"/>
      <c r="E8" s="63">
        <f>+E7</f>
        <v>50</v>
      </c>
      <c r="F8" s="64"/>
      <c r="G8" s="64"/>
      <c r="J8" s="238"/>
      <c r="K8" s="66" t="s">
        <v>402</v>
      </c>
      <c r="L8" s="64"/>
      <c r="M8" s="64"/>
      <c r="N8" s="64"/>
      <c r="O8" s="64"/>
      <c r="Q8" s="229"/>
      <c r="R8" s="229"/>
      <c r="S8" s="229"/>
    </row>
    <row r="9" spans="1:19">
      <c r="A9" s="66" t="s">
        <v>403</v>
      </c>
      <c r="B9" s="63">
        <f t="shared" ref="B9:B18" si="0">+B8</f>
        <v>100</v>
      </c>
      <c r="C9" s="64"/>
      <c r="D9" s="64"/>
      <c r="E9" s="63">
        <f t="shared" ref="E9:E18" si="1">+E8</f>
        <v>50</v>
      </c>
      <c r="F9" s="64"/>
      <c r="G9" s="64"/>
      <c r="J9" s="238"/>
      <c r="K9" s="66" t="s">
        <v>403</v>
      </c>
      <c r="L9" s="64"/>
      <c r="M9" s="64"/>
      <c r="N9" s="64"/>
      <c r="O9" s="64"/>
      <c r="Q9" s="78" t="s">
        <v>404</v>
      </c>
    </row>
    <row r="10" spans="1:19" ht="14.25" customHeight="1">
      <c r="A10" s="66" t="s">
        <v>405</v>
      </c>
      <c r="B10" s="63">
        <f t="shared" si="0"/>
        <v>100</v>
      </c>
      <c r="C10" s="64"/>
      <c r="D10" s="64"/>
      <c r="E10" s="63">
        <f t="shared" si="1"/>
        <v>50</v>
      </c>
      <c r="F10" s="64"/>
      <c r="G10" s="64"/>
      <c r="J10" s="238"/>
      <c r="K10" s="66" t="s">
        <v>405</v>
      </c>
      <c r="L10" s="64"/>
      <c r="M10" s="64"/>
      <c r="N10" s="64"/>
      <c r="O10" s="64"/>
      <c r="Q10" s="237" t="s">
        <v>406</v>
      </c>
      <c r="R10" s="237"/>
      <c r="S10" s="237"/>
    </row>
    <row r="11" spans="1:19">
      <c r="A11" s="66" t="s">
        <v>407</v>
      </c>
      <c r="B11" s="63">
        <f t="shared" si="0"/>
        <v>100</v>
      </c>
      <c r="C11" s="64"/>
      <c r="D11" s="64"/>
      <c r="E11" s="63">
        <f t="shared" si="1"/>
        <v>50</v>
      </c>
      <c r="F11" s="64"/>
      <c r="G11" s="64"/>
      <c r="J11" s="238"/>
      <c r="K11" s="66" t="s">
        <v>407</v>
      </c>
      <c r="L11" s="64"/>
      <c r="M11" s="64"/>
      <c r="N11" s="64"/>
      <c r="O11" s="64"/>
      <c r="Q11" s="237"/>
      <c r="R11" s="237"/>
      <c r="S11" s="237"/>
    </row>
    <row r="12" spans="1:19">
      <c r="A12" s="66" t="s">
        <v>408</v>
      </c>
      <c r="B12" s="63">
        <f t="shared" si="0"/>
        <v>100</v>
      </c>
      <c r="C12" s="64"/>
      <c r="D12" s="64"/>
      <c r="E12" s="63">
        <f t="shared" si="1"/>
        <v>50</v>
      </c>
      <c r="F12" s="64"/>
      <c r="G12" s="64"/>
      <c r="J12" s="238"/>
      <c r="K12" s="66" t="s">
        <v>408</v>
      </c>
      <c r="L12" s="64"/>
      <c r="M12" s="64"/>
      <c r="N12" s="64"/>
      <c r="O12" s="64"/>
      <c r="Q12" s="237"/>
      <c r="R12" s="237"/>
      <c r="S12" s="237"/>
    </row>
    <row r="13" spans="1:19" ht="14.25" customHeight="1">
      <c r="A13" s="66" t="s">
        <v>409</v>
      </c>
      <c r="B13" s="63">
        <f t="shared" si="0"/>
        <v>100</v>
      </c>
      <c r="C13" s="64"/>
      <c r="D13" s="64"/>
      <c r="E13" s="63">
        <f t="shared" si="1"/>
        <v>50</v>
      </c>
      <c r="F13" s="64"/>
      <c r="G13" s="64"/>
      <c r="J13" s="238"/>
      <c r="K13" s="66" t="s">
        <v>409</v>
      </c>
      <c r="L13" s="64"/>
      <c r="M13" s="64"/>
      <c r="N13" s="64"/>
      <c r="O13" s="64"/>
      <c r="Q13" s="237" t="s">
        <v>410</v>
      </c>
      <c r="R13" s="237"/>
      <c r="S13" s="237"/>
    </row>
    <row r="14" spans="1:19">
      <c r="A14" s="66" t="s">
        <v>411</v>
      </c>
      <c r="B14" s="63">
        <f t="shared" si="0"/>
        <v>100</v>
      </c>
      <c r="C14" s="64"/>
      <c r="D14" s="64"/>
      <c r="E14" s="63">
        <f t="shared" si="1"/>
        <v>50</v>
      </c>
      <c r="F14" s="64"/>
      <c r="G14" s="64"/>
      <c r="J14" s="238"/>
      <c r="K14" s="66" t="s">
        <v>411</v>
      </c>
      <c r="L14" s="64"/>
      <c r="M14" s="64"/>
      <c r="N14" s="64"/>
      <c r="O14" s="64"/>
      <c r="Q14" s="237"/>
      <c r="R14" s="237"/>
      <c r="S14" s="237"/>
    </row>
    <row r="15" spans="1:19">
      <c r="A15" s="66" t="s">
        <v>412</v>
      </c>
      <c r="B15" s="63">
        <f t="shared" si="0"/>
        <v>100</v>
      </c>
      <c r="C15" s="64"/>
      <c r="D15" s="64"/>
      <c r="E15" s="63">
        <f t="shared" si="1"/>
        <v>50</v>
      </c>
      <c r="F15" s="64"/>
      <c r="G15" s="64"/>
      <c r="J15" s="238"/>
      <c r="K15" s="66" t="s">
        <v>412</v>
      </c>
      <c r="L15" s="64"/>
      <c r="M15" s="64"/>
      <c r="N15" s="64"/>
      <c r="O15" s="64"/>
      <c r="Q15" s="237"/>
      <c r="R15" s="237"/>
      <c r="S15" s="237"/>
    </row>
    <row r="16" spans="1:19">
      <c r="A16" s="66" t="s">
        <v>413</v>
      </c>
      <c r="B16" s="63">
        <f t="shared" si="0"/>
        <v>100</v>
      </c>
      <c r="C16" s="64"/>
      <c r="D16" s="64"/>
      <c r="E16" s="63">
        <f t="shared" si="1"/>
        <v>50</v>
      </c>
      <c r="F16" s="64"/>
      <c r="G16" s="64"/>
      <c r="J16" s="238"/>
      <c r="K16" s="66" t="s">
        <v>413</v>
      </c>
      <c r="L16" s="64"/>
      <c r="M16" s="64"/>
      <c r="N16" s="64"/>
      <c r="O16" s="64"/>
      <c r="Q16" s="237"/>
      <c r="R16" s="237"/>
      <c r="S16" s="237"/>
    </row>
    <row r="17" spans="1:15">
      <c r="A17" s="66" t="s">
        <v>414</v>
      </c>
      <c r="B17" s="63">
        <f t="shared" si="0"/>
        <v>100</v>
      </c>
      <c r="C17" s="64"/>
      <c r="D17" s="64"/>
      <c r="E17" s="63">
        <f t="shared" si="1"/>
        <v>50</v>
      </c>
      <c r="F17" s="64"/>
      <c r="G17" s="64"/>
      <c r="J17" s="238"/>
      <c r="K17" s="66" t="s">
        <v>414</v>
      </c>
      <c r="L17" s="64"/>
      <c r="M17" s="64"/>
      <c r="N17" s="64"/>
      <c r="O17" s="64"/>
    </row>
    <row r="18" spans="1:15">
      <c r="A18" s="66" t="s">
        <v>415</v>
      </c>
      <c r="B18" s="63">
        <f t="shared" si="0"/>
        <v>100</v>
      </c>
      <c r="C18" s="64"/>
      <c r="D18" s="64"/>
      <c r="E18" s="63">
        <f t="shared" si="1"/>
        <v>50</v>
      </c>
      <c r="F18" s="64"/>
      <c r="G18" s="64"/>
      <c r="J18" s="238"/>
      <c r="K18" s="66" t="s">
        <v>415</v>
      </c>
      <c r="L18" s="64"/>
      <c r="M18" s="64"/>
      <c r="N18" s="64"/>
      <c r="O18" s="64"/>
    </row>
    <row r="19" spans="1:15">
      <c r="J19" s="238"/>
      <c r="K19" s="62" t="s">
        <v>416</v>
      </c>
      <c r="L19" s="62" t="e">
        <f>AVERAGE(L7:L18)</f>
        <v>#DIV/0!</v>
      </c>
      <c r="M19" s="62">
        <f>MAX(M7:M18)</f>
        <v>0</v>
      </c>
      <c r="N19" s="62" t="e">
        <f>AVERAGE(N7:N18)</f>
        <v>#DIV/0!</v>
      </c>
      <c r="O19" s="62">
        <f>MAX(O7:O18)</f>
        <v>0</v>
      </c>
    </row>
    <row r="21" spans="1:15" ht="41.45">
      <c r="J21" s="61">
        <f>+A6</f>
        <v>2022</v>
      </c>
      <c r="K21" s="61" t="s">
        <v>398</v>
      </c>
      <c r="L21" s="67" t="s">
        <v>393</v>
      </c>
      <c r="M21" s="67" t="s">
        <v>399</v>
      </c>
      <c r="N21" s="67" t="s">
        <v>396</v>
      </c>
      <c r="O21" s="67" t="s">
        <v>400</v>
      </c>
    </row>
    <row r="22" spans="1:15">
      <c r="J22" s="238" t="s">
        <v>194</v>
      </c>
      <c r="K22" s="66" t="s">
        <v>401</v>
      </c>
      <c r="L22" s="64"/>
      <c r="M22" s="64"/>
      <c r="N22" s="64"/>
      <c r="O22" s="64"/>
    </row>
    <row r="23" spans="1:15">
      <c r="J23" s="238"/>
      <c r="K23" s="66" t="s">
        <v>402</v>
      </c>
      <c r="L23" s="64"/>
      <c r="M23" s="64"/>
      <c r="N23" s="64"/>
      <c r="O23" s="64"/>
    </row>
    <row r="24" spans="1:15">
      <c r="J24" s="238"/>
      <c r="K24" s="66" t="s">
        <v>403</v>
      </c>
      <c r="L24" s="64"/>
      <c r="M24" s="64"/>
      <c r="N24" s="64"/>
      <c r="O24" s="64"/>
    </row>
    <row r="25" spans="1:15">
      <c r="J25" s="238"/>
      <c r="K25" s="66" t="s">
        <v>405</v>
      </c>
      <c r="L25" s="64"/>
      <c r="M25" s="64"/>
      <c r="N25" s="64"/>
      <c r="O25" s="64"/>
    </row>
    <row r="26" spans="1:15">
      <c r="J26" s="238"/>
      <c r="K26" s="66" t="s">
        <v>407</v>
      </c>
      <c r="L26" s="64"/>
      <c r="M26" s="64"/>
      <c r="N26" s="64"/>
      <c r="O26" s="64"/>
    </row>
    <row r="27" spans="1:15">
      <c r="J27" s="238"/>
      <c r="K27" s="66" t="s">
        <v>408</v>
      </c>
      <c r="L27" s="64"/>
      <c r="M27" s="64"/>
      <c r="N27" s="64"/>
      <c r="O27" s="64"/>
    </row>
    <row r="28" spans="1:15">
      <c r="J28" s="238"/>
      <c r="K28" s="66" t="s">
        <v>409</v>
      </c>
      <c r="L28" s="64"/>
      <c r="M28" s="64"/>
      <c r="N28" s="64"/>
      <c r="O28" s="64"/>
    </row>
    <row r="29" spans="1:15">
      <c r="J29" s="238"/>
      <c r="K29" s="66" t="s">
        <v>411</v>
      </c>
      <c r="L29" s="64"/>
      <c r="M29" s="64"/>
      <c r="N29" s="64"/>
      <c r="O29" s="64"/>
    </row>
    <row r="30" spans="1:15">
      <c r="J30" s="238"/>
      <c r="K30" s="66" t="s">
        <v>412</v>
      </c>
      <c r="L30" s="64"/>
      <c r="M30" s="64"/>
      <c r="N30" s="64"/>
      <c r="O30" s="64"/>
    </row>
    <row r="31" spans="1:15">
      <c r="J31" s="238"/>
      <c r="K31" s="66" t="s">
        <v>413</v>
      </c>
      <c r="L31" s="64"/>
      <c r="M31" s="64"/>
      <c r="N31" s="64"/>
      <c r="O31" s="64"/>
    </row>
    <row r="32" spans="1:15">
      <c r="J32" s="238"/>
      <c r="K32" s="66" t="s">
        <v>414</v>
      </c>
      <c r="L32" s="64"/>
      <c r="M32" s="64"/>
      <c r="N32" s="64"/>
      <c r="O32" s="64"/>
    </row>
    <row r="33" spans="1:15">
      <c r="J33" s="238"/>
      <c r="K33" s="66" t="s">
        <v>415</v>
      </c>
      <c r="L33" s="64"/>
      <c r="M33" s="64"/>
      <c r="N33" s="64"/>
      <c r="O33" s="64"/>
    </row>
    <row r="34" spans="1:15">
      <c r="J34" s="238"/>
      <c r="K34" s="62" t="s">
        <v>416</v>
      </c>
      <c r="L34" s="62" t="e">
        <f>AVERAGE(L22:L33)</f>
        <v>#DIV/0!</v>
      </c>
      <c r="M34" s="62">
        <f>MAX(M22:M33)</f>
        <v>0</v>
      </c>
      <c r="N34" s="62" t="e">
        <f>AVERAGE(N22:N33)</f>
        <v>#DIV/0!</v>
      </c>
      <c r="O34" s="62">
        <f>MAX(O22:O33)</f>
        <v>0</v>
      </c>
    </row>
    <row r="36" spans="1:15" ht="41.45">
      <c r="J36" s="61">
        <f>+A6</f>
        <v>2022</v>
      </c>
      <c r="K36" s="61" t="s">
        <v>398</v>
      </c>
      <c r="L36" s="67" t="s">
        <v>393</v>
      </c>
      <c r="M36" s="67" t="s">
        <v>399</v>
      </c>
      <c r="N36" s="67" t="s">
        <v>396</v>
      </c>
      <c r="O36" s="67" t="s">
        <v>400</v>
      </c>
    </row>
    <row r="37" spans="1:15">
      <c r="J37" s="238" t="s">
        <v>195</v>
      </c>
      <c r="K37" s="66" t="s">
        <v>401</v>
      </c>
      <c r="L37" s="64"/>
      <c r="M37" s="64"/>
      <c r="N37" s="64"/>
      <c r="O37" s="64"/>
    </row>
    <row r="38" spans="1:15">
      <c r="J38" s="238"/>
      <c r="K38" s="66" t="s">
        <v>402</v>
      </c>
      <c r="L38" s="64"/>
      <c r="M38" s="64"/>
      <c r="N38" s="64"/>
      <c r="O38" s="64"/>
    </row>
    <row r="39" spans="1:15">
      <c r="J39" s="238"/>
      <c r="K39" s="66" t="s">
        <v>403</v>
      </c>
      <c r="L39" s="64"/>
      <c r="M39" s="64"/>
      <c r="N39" s="64"/>
      <c r="O39" s="64"/>
    </row>
    <row r="40" spans="1:15">
      <c r="J40" s="238"/>
      <c r="K40" s="66" t="s">
        <v>405</v>
      </c>
      <c r="L40" s="64"/>
      <c r="M40" s="64"/>
      <c r="N40" s="64"/>
      <c r="O40" s="64"/>
    </row>
    <row r="41" spans="1:15">
      <c r="J41" s="238"/>
      <c r="K41" s="66" t="s">
        <v>407</v>
      </c>
      <c r="L41" s="64"/>
      <c r="M41" s="64"/>
      <c r="N41" s="64"/>
      <c r="O41" s="64"/>
    </row>
    <row r="42" spans="1:15">
      <c r="J42" s="238"/>
      <c r="K42" s="66" t="s">
        <v>408</v>
      </c>
      <c r="L42" s="64"/>
      <c r="M42" s="64"/>
      <c r="N42" s="64"/>
      <c r="O42" s="64"/>
    </row>
    <row r="43" spans="1:15">
      <c r="J43" s="238"/>
      <c r="K43" s="66" t="s">
        <v>409</v>
      </c>
      <c r="L43" s="64"/>
      <c r="M43" s="64"/>
      <c r="N43" s="64"/>
      <c r="O43" s="64"/>
    </row>
    <row r="44" spans="1:15">
      <c r="J44" s="238"/>
      <c r="K44" s="66" t="s">
        <v>411</v>
      </c>
      <c r="L44" s="64"/>
      <c r="M44" s="64"/>
      <c r="N44" s="64"/>
      <c r="O44" s="64"/>
    </row>
    <row r="45" spans="1:15">
      <c r="J45" s="238"/>
      <c r="K45" s="66" t="s">
        <v>412</v>
      </c>
      <c r="L45" s="64"/>
      <c r="M45" s="64"/>
      <c r="N45" s="64"/>
      <c r="O45" s="64"/>
    </row>
    <row r="46" spans="1:15">
      <c r="J46" s="238"/>
      <c r="K46" s="66" t="s">
        <v>413</v>
      </c>
      <c r="L46" s="64"/>
      <c r="M46" s="64"/>
      <c r="N46" s="64"/>
      <c r="O46" s="64"/>
    </row>
    <row r="47" spans="1:15">
      <c r="J47" s="238"/>
      <c r="K47" s="66" t="s">
        <v>414</v>
      </c>
      <c r="L47" s="64"/>
      <c r="M47" s="64"/>
      <c r="N47" s="64"/>
      <c r="O47" s="64"/>
    </row>
    <row r="48" spans="1:15">
      <c r="A48" s="250" t="s">
        <v>311</v>
      </c>
      <c r="B48" s="251"/>
      <c r="C48" s="251"/>
      <c r="D48" s="251"/>
      <c r="E48" s="251"/>
      <c r="F48" s="251"/>
      <c r="G48" s="252"/>
      <c r="J48" s="238"/>
      <c r="K48" s="66" t="s">
        <v>415</v>
      </c>
      <c r="L48" s="64"/>
      <c r="M48" s="64"/>
      <c r="N48" s="64"/>
      <c r="O48" s="64"/>
    </row>
    <row r="49" spans="1:15">
      <c r="A49" s="241"/>
      <c r="B49" s="242"/>
      <c r="C49" s="242"/>
      <c r="D49" s="242"/>
      <c r="E49" s="242"/>
      <c r="F49" s="242"/>
      <c r="G49" s="243"/>
      <c r="J49" s="238"/>
      <c r="K49" s="62" t="s">
        <v>416</v>
      </c>
      <c r="L49" s="62" t="e">
        <f>AVERAGE(L37:L48)</f>
        <v>#DIV/0!</v>
      </c>
      <c r="M49" s="62">
        <f>MAX(M37:M48)</f>
        <v>0</v>
      </c>
      <c r="N49" s="62" t="e">
        <f>AVERAGE(N37:N48)</f>
        <v>#DIV/0!</v>
      </c>
      <c r="O49" s="62">
        <f>MAX(O37:O48)</f>
        <v>0</v>
      </c>
    </row>
    <row r="50" spans="1:15">
      <c r="A50" s="244"/>
      <c r="B50" s="245"/>
      <c r="C50" s="245"/>
      <c r="D50" s="245"/>
      <c r="E50" s="245"/>
      <c r="F50" s="245"/>
      <c r="G50" s="246"/>
    </row>
    <row r="51" spans="1:15" ht="41.45">
      <c r="A51" s="244"/>
      <c r="B51" s="245"/>
      <c r="C51" s="245"/>
      <c r="D51" s="245"/>
      <c r="E51" s="245"/>
      <c r="F51" s="245"/>
      <c r="G51" s="246"/>
      <c r="J51" s="61">
        <f>+A6</f>
        <v>2022</v>
      </c>
      <c r="K51" s="61" t="s">
        <v>398</v>
      </c>
      <c r="L51" s="67" t="s">
        <v>393</v>
      </c>
      <c r="M51" s="67" t="s">
        <v>399</v>
      </c>
      <c r="N51" s="67" t="s">
        <v>396</v>
      </c>
      <c r="O51" s="67" t="s">
        <v>400</v>
      </c>
    </row>
    <row r="52" spans="1:15">
      <c r="A52" s="247"/>
      <c r="B52" s="248"/>
      <c r="C52" s="248"/>
      <c r="D52" s="248"/>
      <c r="E52" s="248"/>
      <c r="F52" s="248"/>
      <c r="G52" s="249"/>
      <c r="J52" s="238" t="s">
        <v>196</v>
      </c>
      <c r="K52" s="66" t="s">
        <v>401</v>
      </c>
      <c r="L52" s="64"/>
      <c r="M52" s="64"/>
      <c r="N52" s="64"/>
      <c r="O52" s="64"/>
    </row>
    <row r="53" spans="1:15">
      <c r="J53" s="238"/>
      <c r="K53" s="66" t="s">
        <v>402</v>
      </c>
      <c r="L53" s="64"/>
      <c r="M53" s="64"/>
      <c r="N53" s="64"/>
      <c r="O53" s="64"/>
    </row>
    <row r="54" spans="1:15">
      <c r="J54" s="238"/>
      <c r="K54" s="66" t="s">
        <v>403</v>
      </c>
      <c r="L54" s="64"/>
      <c r="M54" s="64"/>
      <c r="N54" s="64"/>
      <c r="O54" s="64"/>
    </row>
    <row r="55" spans="1:15">
      <c r="J55" s="238"/>
      <c r="K55" s="66" t="s">
        <v>405</v>
      </c>
      <c r="L55" s="64"/>
      <c r="M55" s="64"/>
      <c r="N55" s="64"/>
      <c r="O55" s="64"/>
    </row>
    <row r="56" spans="1:15">
      <c r="J56" s="238"/>
      <c r="K56" s="66" t="s">
        <v>407</v>
      </c>
      <c r="L56" s="64"/>
      <c r="M56" s="64"/>
      <c r="N56" s="64"/>
      <c r="O56" s="64"/>
    </row>
    <row r="57" spans="1:15">
      <c r="J57" s="238"/>
      <c r="K57" s="66" t="s">
        <v>408</v>
      </c>
      <c r="L57" s="64"/>
      <c r="M57" s="64"/>
      <c r="N57" s="64"/>
      <c r="O57" s="64"/>
    </row>
    <row r="58" spans="1:15">
      <c r="J58" s="238"/>
      <c r="K58" s="66" t="s">
        <v>409</v>
      </c>
      <c r="L58" s="64"/>
      <c r="M58" s="64"/>
      <c r="N58" s="64"/>
      <c r="O58" s="64"/>
    </row>
    <row r="59" spans="1:15">
      <c r="J59" s="238"/>
      <c r="K59" s="66" t="s">
        <v>411</v>
      </c>
      <c r="L59" s="64"/>
      <c r="M59" s="64"/>
      <c r="N59" s="64"/>
      <c r="O59" s="64"/>
    </row>
    <row r="60" spans="1:15">
      <c r="J60" s="238"/>
      <c r="K60" s="66" t="s">
        <v>412</v>
      </c>
      <c r="L60" s="64"/>
      <c r="M60" s="64"/>
      <c r="N60" s="64"/>
      <c r="O60" s="64"/>
    </row>
    <row r="61" spans="1:15">
      <c r="J61" s="238"/>
      <c r="K61" s="66" t="s">
        <v>413</v>
      </c>
      <c r="L61" s="64"/>
      <c r="M61" s="64"/>
      <c r="N61" s="64"/>
      <c r="O61" s="64"/>
    </row>
    <row r="62" spans="1:15">
      <c r="J62" s="238"/>
      <c r="K62" s="66" t="s">
        <v>414</v>
      </c>
      <c r="L62" s="64"/>
      <c r="M62" s="64"/>
      <c r="N62" s="64"/>
      <c r="O62" s="64"/>
    </row>
    <row r="63" spans="1:15">
      <c r="J63" s="238"/>
      <c r="K63" s="66" t="s">
        <v>415</v>
      </c>
      <c r="L63" s="64"/>
      <c r="M63" s="64"/>
      <c r="N63" s="64"/>
      <c r="O63" s="64"/>
    </row>
    <row r="64" spans="1:15">
      <c r="J64" s="238"/>
      <c r="K64" s="62" t="s">
        <v>416</v>
      </c>
      <c r="L64" s="62" t="e">
        <f>AVERAGE(L52:L63)</f>
        <v>#DIV/0!</v>
      </c>
      <c r="M64" s="62">
        <f>MAX(M52:M63)</f>
        <v>0</v>
      </c>
      <c r="N64" s="62" t="e">
        <f>AVERAGE(N52:N63)</f>
        <v>#DIV/0!</v>
      </c>
      <c r="O64" s="62">
        <f>MAX(O52:O63)</f>
        <v>0</v>
      </c>
    </row>
    <row r="66" spans="10:15" ht="41.45">
      <c r="J66" s="61">
        <f>+A6</f>
        <v>2022</v>
      </c>
      <c r="K66" s="61" t="s">
        <v>398</v>
      </c>
      <c r="L66" s="67" t="s">
        <v>393</v>
      </c>
      <c r="M66" s="67" t="s">
        <v>399</v>
      </c>
      <c r="N66" s="67" t="s">
        <v>396</v>
      </c>
      <c r="O66" s="67" t="s">
        <v>400</v>
      </c>
    </row>
    <row r="67" spans="10:15">
      <c r="J67" s="238" t="s">
        <v>197</v>
      </c>
      <c r="K67" s="66" t="s">
        <v>401</v>
      </c>
      <c r="L67" s="64"/>
      <c r="M67" s="64"/>
      <c r="N67" s="64"/>
      <c r="O67" s="64"/>
    </row>
    <row r="68" spans="10:15">
      <c r="J68" s="238"/>
      <c r="K68" s="66" t="s">
        <v>402</v>
      </c>
      <c r="L68" s="64"/>
      <c r="M68" s="64"/>
      <c r="N68" s="64"/>
      <c r="O68" s="64"/>
    </row>
    <row r="69" spans="10:15">
      <c r="J69" s="238"/>
      <c r="K69" s="66" t="s">
        <v>403</v>
      </c>
      <c r="L69" s="64"/>
      <c r="M69" s="64"/>
      <c r="N69" s="64"/>
      <c r="O69" s="64"/>
    </row>
    <row r="70" spans="10:15">
      <c r="J70" s="238"/>
      <c r="K70" s="66" t="s">
        <v>405</v>
      </c>
      <c r="L70" s="64"/>
      <c r="M70" s="64"/>
      <c r="N70" s="64"/>
      <c r="O70" s="64"/>
    </row>
    <row r="71" spans="10:15">
      <c r="J71" s="238"/>
      <c r="K71" s="66" t="s">
        <v>407</v>
      </c>
      <c r="L71" s="64"/>
      <c r="M71" s="64"/>
      <c r="N71" s="64"/>
      <c r="O71" s="64"/>
    </row>
    <row r="72" spans="10:15">
      <c r="J72" s="238"/>
      <c r="K72" s="66" t="s">
        <v>408</v>
      </c>
      <c r="L72" s="64"/>
      <c r="M72" s="64"/>
      <c r="N72" s="64"/>
      <c r="O72" s="64"/>
    </row>
    <row r="73" spans="10:15">
      <c r="J73" s="238"/>
      <c r="K73" s="66" t="s">
        <v>409</v>
      </c>
      <c r="L73" s="64"/>
      <c r="M73" s="64"/>
      <c r="N73" s="64"/>
      <c r="O73" s="64"/>
    </row>
    <row r="74" spans="10:15">
      <c r="J74" s="238"/>
      <c r="K74" s="66" t="s">
        <v>411</v>
      </c>
      <c r="L74" s="64"/>
      <c r="M74" s="64"/>
      <c r="N74" s="64"/>
      <c r="O74" s="64"/>
    </row>
    <row r="75" spans="10:15">
      <c r="J75" s="238"/>
      <c r="K75" s="66" t="s">
        <v>412</v>
      </c>
      <c r="L75" s="64"/>
      <c r="M75" s="64"/>
      <c r="N75" s="64"/>
      <c r="O75" s="64"/>
    </row>
    <row r="76" spans="10:15">
      <c r="J76" s="238"/>
      <c r="K76" s="66" t="s">
        <v>413</v>
      </c>
      <c r="L76" s="64"/>
      <c r="M76" s="64"/>
      <c r="N76" s="64"/>
      <c r="O76" s="64"/>
    </row>
    <row r="77" spans="10:15">
      <c r="J77" s="238"/>
      <c r="K77" s="66" t="s">
        <v>414</v>
      </c>
      <c r="L77" s="64"/>
      <c r="M77" s="64"/>
      <c r="N77" s="64"/>
      <c r="O77" s="64"/>
    </row>
    <row r="78" spans="10:15">
      <c r="J78" s="238"/>
      <c r="K78" s="66" t="s">
        <v>415</v>
      </c>
      <c r="L78" s="64"/>
      <c r="M78" s="64"/>
      <c r="N78" s="64"/>
      <c r="O78" s="64"/>
    </row>
    <row r="79" spans="10:15">
      <c r="J79" s="238"/>
      <c r="K79" s="62" t="s">
        <v>416</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election activeCell="M13" sqref="M13"/>
    </sheetView>
  </sheetViews>
  <sheetFormatPr defaultRowHeight="13.9"/>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2" t="str">
        <f>+'Cover Page'!$B$29</f>
        <v>Annual Performance Report 2022</v>
      </c>
      <c r="B1" s="92"/>
      <c r="C1" s="92"/>
      <c r="D1" s="92"/>
      <c r="E1" s="92" t="str">
        <f>+'Cover Page'!$B$33</f>
        <v>Greatmoor Energy from Waste Facility</v>
      </c>
    </row>
    <row r="3" spans="1:21" ht="14.45">
      <c r="A3" s="60" t="s">
        <v>432</v>
      </c>
      <c r="E3" s="76" t="s">
        <v>385</v>
      </c>
      <c r="H3" s="80" t="s">
        <v>433</v>
      </c>
      <c r="J3" s="9" t="str">
        <f>+A3</f>
        <v>Monitoring of Carbon Monoxide (10-minute avg)</v>
      </c>
      <c r="L3" s="9"/>
      <c r="O3" s="9" t="s">
        <v>387</v>
      </c>
      <c r="Q3" s="77" t="s">
        <v>3</v>
      </c>
      <c r="S3" s="79" t="s">
        <v>3</v>
      </c>
      <c r="T3" s="74"/>
      <c r="U3" s="74"/>
    </row>
    <row r="4" spans="1:21" ht="13.9" customHeight="1">
      <c r="S4" s="229" t="s">
        <v>434</v>
      </c>
      <c r="T4" s="229"/>
      <c r="U4" s="229"/>
    </row>
    <row r="5" spans="1:21" ht="16.149999999999999">
      <c r="A5" s="68" t="s">
        <v>389</v>
      </c>
      <c r="B5" s="240" t="s">
        <v>435</v>
      </c>
      <c r="C5" s="240"/>
      <c r="D5" s="240"/>
      <c r="E5" s="240"/>
      <c r="F5" s="240" t="s">
        <v>391</v>
      </c>
      <c r="G5" s="240"/>
      <c r="H5" s="240"/>
      <c r="K5" s="239"/>
      <c r="L5" s="239"/>
      <c r="M5" s="239"/>
      <c r="N5" s="239"/>
      <c r="O5" s="239"/>
      <c r="P5" s="239"/>
      <c r="Q5" s="239"/>
      <c r="S5" s="229"/>
      <c r="T5" s="229"/>
      <c r="U5" s="229"/>
    </row>
    <row r="6" spans="1:21" s="58" customFormat="1" ht="37.5" customHeight="1">
      <c r="A6" s="65">
        <f>+'Cover Page'!C39</f>
        <v>2022</v>
      </c>
      <c r="B6" s="55" t="s">
        <v>436</v>
      </c>
      <c r="C6" s="55" t="s">
        <v>437</v>
      </c>
      <c r="D6" s="55" t="s">
        <v>438</v>
      </c>
      <c r="E6" s="55" t="s">
        <v>439</v>
      </c>
      <c r="F6" s="55" t="s">
        <v>431</v>
      </c>
      <c r="G6" s="55" t="s">
        <v>396</v>
      </c>
      <c r="H6" s="55" t="s">
        <v>397</v>
      </c>
      <c r="I6" s="59"/>
      <c r="K6" s="61">
        <f>+A6</f>
        <v>2022</v>
      </c>
      <c r="L6" s="61" t="s">
        <v>398</v>
      </c>
      <c r="M6" s="55" t="s">
        <v>437</v>
      </c>
      <c r="N6" s="55" t="s">
        <v>438</v>
      </c>
      <c r="O6" s="55" t="s">
        <v>439</v>
      </c>
      <c r="P6" s="67" t="s">
        <v>396</v>
      </c>
      <c r="Q6" s="67" t="s">
        <v>400</v>
      </c>
      <c r="S6" s="229"/>
      <c r="T6" s="229"/>
      <c r="U6" s="229"/>
    </row>
    <row r="7" spans="1:21">
      <c r="A7" s="66" t="s">
        <v>401</v>
      </c>
      <c r="B7" s="69">
        <v>150</v>
      </c>
      <c r="C7" s="64">
        <v>7.69</v>
      </c>
      <c r="D7" s="64">
        <v>6</v>
      </c>
      <c r="E7" s="64">
        <v>184</v>
      </c>
      <c r="F7" s="69">
        <v>50</v>
      </c>
      <c r="G7" s="106">
        <v>6.0058064516129024</v>
      </c>
      <c r="H7" s="64">
        <v>9</v>
      </c>
      <c r="K7" s="238" t="s">
        <v>193</v>
      </c>
      <c r="L7" s="66" t="s">
        <v>401</v>
      </c>
      <c r="M7" s="64">
        <v>7.69</v>
      </c>
      <c r="N7" s="64">
        <v>6</v>
      </c>
      <c r="O7" s="64">
        <v>184</v>
      </c>
      <c r="P7" s="106">
        <v>6.0058064516129024</v>
      </c>
      <c r="Q7" s="64">
        <v>9</v>
      </c>
      <c r="S7" s="229"/>
      <c r="T7" s="229"/>
      <c r="U7" s="229"/>
    </row>
    <row r="8" spans="1:21">
      <c r="A8" s="66" t="s">
        <v>402</v>
      </c>
      <c r="B8" s="63">
        <f>+B7</f>
        <v>150</v>
      </c>
      <c r="C8" s="64">
        <v>8.77</v>
      </c>
      <c r="D8" s="64">
        <v>7</v>
      </c>
      <c r="E8" s="64">
        <v>112</v>
      </c>
      <c r="F8" s="63">
        <f>+F7</f>
        <v>50</v>
      </c>
      <c r="G8" s="106">
        <v>6.6746428571428567</v>
      </c>
      <c r="H8" s="64">
        <v>9</v>
      </c>
      <c r="K8" s="238"/>
      <c r="L8" s="66" t="s">
        <v>402</v>
      </c>
      <c r="M8" s="64">
        <v>8.77</v>
      </c>
      <c r="N8" s="64">
        <v>7</v>
      </c>
      <c r="O8" s="64">
        <v>112</v>
      </c>
      <c r="P8" s="106">
        <v>6.6746428571428567</v>
      </c>
      <c r="Q8" s="64">
        <v>9</v>
      </c>
      <c r="S8" s="229"/>
      <c r="T8" s="229"/>
      <c r="U8" s="229"/>
    </row>
    <row r="9" spans="1:21">
      <c r="A9" s="66" t="s">
        <v>403</v>
      </c>
      <c r="B9" s="63">
        <f t="shared" ref="B9:B18" si="0">+B8</f>
        <v>150</v>
      </c>
      <c r="C9" s="64">
        <v>7.45</v>
      </c>
      <c r="D9" s="64">
        <v>6</v>
      </c>
      <c r="E9" s="64">
        <v>160</v>
      </c>
      <c r="F9" s="63">
        <f t="shared" ref="F9:F18" si="1">+F8</f>
        <v>50</v>
      </c>
      <c r="G9" s="106">
        <v>5.8180645161290316</v>
      </c>
      <c r="H9" s="64">
        <v>8</v>
      </c>
      <c r="K9" s="238"/>
      <c r="L9" s="66" t="s">
        <v>403</v>
      </c>
      <c r="M9" s="64">
        <v>7.45</v>
      </c>
      <c r="N9" s="64">
        <v>6</v>
      </c>
      <c r="O9" s="64">
        <v>160</v>
      </c>
      <c r="P9" s="106">
        <v>5.8180645161290316</v>
      </c>
      <c r="Q9" s="64">
        <v>8</v>
      </c>
      <c r="S9" s="78" t="s">
        <v>440</v>
      </c>
    </row>
    <row r="10" spans="1:21">
      <c r="A10" s="66" t="s">
        <v>405</v>
      </c>
      <c r="B10" s="63">
        <f t="shared" si="0"/>
        <v>150</v>
      </c>
      <c r="C10" s="64">
        <v>7.66</v>
      </c>
      <c r="D10" s="64">
        <v>6</v>
      </c>
      <c r="E10" s="64">
        <v>189</v>
      </c>
      <c r="F10" s="63">
        <f t="shared" si="1"/>
        <v>50</v>
      </c>
      <c r="G10" s="106">
        <v>5.9783333333333344</v>
      </c>
      <c r="H10" s="64">
        <v>8</v>
      </c>
      <c r="K10" s="238"/>
      <c r="L10" s="66" t="s">
        <v>405</v>
      </c>
      <c r="M10" s="64">
        <v>7.66</v>
      </c>
      <c r="N10" s="64">
        <v>6</v>
      </c>
      <c r="O10" s="64">
        <v>189</v>
      </c>
      <c r="P10" s="106">
        <v>5.9783333333333344</v>
      </c>
      <c r="Q10" s="64">
        <v>8</v>
      </c>
      <c r="S10" s="237" t="s">
        <v>441</v>
      </c>
      <c r="T10" s="237"/>
      <c r="U10" s="237"/>
    </row>
    <row r="11" spans="1:21">
      <c r="A11" s="66" t="s">
        <v>407</v>
      </c>
      <c r="B11" s="63">
        <f t="shared" si="0"/>
        <v>150</v>
      </c>
      <c r="C11" s="64">
        <v>7.05</v>
      </c>
      <c r="D11" s="64">
        <v>5</v>
      </c>
      <c r="E11" s="64">
        <v>116</v>
      </c>
      <c r="F11" s="63">
        <f t="shared" si="1"/>
        <v>50</v>
      </c>
      <c r="G11" s="106">
        <v>5.253333333333333</v>
      </c>
      <c r="H11" s="64">
        <v>7</v>
      </c>
      <c r="K11" s="238"/>
      <c r="L11" s="66" t="s">
        <v>407</v>
      </c>
      <c r="M11" s="64">
        <v>7.05</v>
      </c>
      <c r="N11" s="64">
        <v>5</v>
      </c>
      <c r="O11" s="64">
        <v>116</v>
      </c>
      <c r="P11" s="106">
        <v>5.253333333333333</v>
      </c>
      <c r="Q11" s="64">
        <v>7</v>
      </c>
      <c r="S11" s="237"/>
      <c r="T11" s="237"/>
      <c r="U11" s="237"/>
    </row>
    <row r="12" spans="1:21">
      <c r="A12" s="66" t="s">
        <v>408</v>
      </c>
      <c r="B12" s="63">
        <f t="shared" si="0"/>
        <v>150</v>
      </c>
      <c r="C12" s="64">
        <v>8.0299999999999994</v>
      </c>
      <c r="D12" s="64">
        <v>7</v>
      </c>
      <c r="E12" s="64">
        <v>230</v>
      </c>
      <c r="F12" s="63">
        <f t="shared" si="1"/>
        <v>50</v>
      </c>
      <c r="G12" s="106">
        <v>7.2216666666666676</v>
      </c>
      <c r="H12" s="64">
        <v>12</v>
      </c>
      <c r="K12" s="238"/>
      <c r="L12" s="66" t="s">
        <v>408</v>
      </c>
      <c r="M12" s="64">
        <v>8.0299999999999994</v>
      </c>
      <c r="N12" s="64">
        <v>7</v>
      </c>
      <c r="O12" s="64">
        <v>230</v>
      </c>
      <c r="P12" s="106">
        <v>7.2216666666666676</v>
      </c>
      <c r="Q12" s="64">
        <v>12</v>
      </c>
      <c r="S12" s="237"/>
      <c r="T12" s="237"/>
      <c r="U12" s="237"/>
    </row>
    <row r="13" spans="1:21">
      <c r="A13" s="66" t="s">
        <v>409</v>
      </c>
      <c r="B13" s="63">
        <f t="shared" si="0"/>
        <v>150</v>
      </c>
      <c r="C13" s="64">
        <v>8.89</v>
      </c>
      <c r="D13" s="64">
        <v>7</v>
      </c>
      <c r="E13" s="64">
        <v>341</v>
      </c>
      <c r="F13" s="63">
        <f t="shared" si="1"/>
        <v>50</v>
      </c>
      <c r="G13" s="106">
        <v>7.151935483870969</v>
      </c>
      <c r="H13" s="64">
        <v>10</v>
      </c>
      <c r="K13" s="238"/>
      <c r="L13" s="66" t="s">
        <v>409</v>
      </c>
      <c r="M13" s="64">
        <v>8.89</v>
      </c>
      <c r="N13" s="64">
        <v>7</v>
      </c>
      <c r="O13" s="64">
        <v>341</v>
      </c>
      <c r="P13" s="106">
        <v>7.151935483870969</v>
      </c>
      <c r="Q13" s="64">
        <v>10</v>
      </c>
      <c r="S13" s="237" t="s">
        <v>442</v>
      </c>
      <c r="T13" s="237"/>
      <c r="U13" s="237"/>
    </row>
    <row r="14" spans="1:21">
      <c r="A14" s="66" t="s">
        <v>411</v>
      </c>
      <c r="B14" s="63">
        <f t="shared" si="0"/>
        <v>150</v>
      </c>
      <c r="C14" s="64">
        <v>7.93</v>
      </c>
      <c r="D14" s="64">
        <v>6</v>
      </c>
      <c r="E14" s="64">
        <v>984</v>
      </c>
      <c r="F14" s="63">
        <f t="shared" si="1"/>
        <v>50</v>
      </c>
      <c r="G14" s="106">
        <v>6.4780645161290318</v>
      </c>
      <c r="H14" s="64">
        <v>14</v>
      </c>
      <c r="K14" s="238"/>
      <c r="L14" s="66" t="s">
        <v>411</v>
      </c>
      <c r="M14" s="64">
        <v>7.93</v>
      </c>
      <c r="N14" s="64">
        <v>6</v>
      </c>
      <c r="O14" s="64">
        <v>984</v>
      </c>
      <c r="P14" s="106">
        <v>6.4780645161290318</v>
      </c>
      <c r="Q14" s="64">
        <v>14</v>
      </c>
      <c r="S14" s="237"/>
      <c r="T14" s="237"/>
      <c r="U14" s="237"/>
    </row>
    <row r="15" spans="1:21">
      <c r="A15" s="66" t="s">
        <v>412</v>
      </c>
      <c r="B15" s="63">
        <f t="shared" si="0"/>
        <v>150</v>
      </c>
      <c r="C15" s="64">
        <v>4.22</v>
      </c>
      <c r="D15" s="64">
        <v>3</v>
      </c>
      <c r="E15" s="64">
        <v>422</v>
      </c>
      <c r="F15" s="63">
        <f t="shared" si="1"/>
        <v>50</v>
      </c>
      <c r="G15" s="106">
        <v>2.7756666666666674</v>
      </c>
      <c r="H15" s="64">
        <v>5</v>
      </c>
      <c r="K15" s="238"/>
      <c r="L15" s="66" t="s">
        <v>412</v>
      </c>
      <c r="M15" s="64">
        <v>4.22</v>
      </c>
      <c r="N15" s="64">
        <v>3</v>
      </c>
      <c r="O15" s="64">
        <v>422</v>
      </c>
      <c r="P15" s="106">
        <v>2.7756666666666674</v>
      </c>
      <c r="Q15" s="64">
        <v>5</v>
      </c>
      <c r="S15" s="237"/>
      <c r="T15" s="237"/>
      <c r="U15" s="237"/>
    </row>
    <row r="16" spans="1:21">
      <c r="A16" s="66" t="s">
        <v>413</v>
      </c>
      <c r="B16" s="63">
        <f t="shared" si="0"/>
        <v>150</v>
      </c>
      <c r="C16" s="64">
        <v>8.51</v>
      </c>
      <c r="D16" s="64">
        <v>6</v>
      </c>
      <c r="E16" s="64">
        <v>520</v>
      </c>
      <c r="F16" s="63">
        <f t="shared" si="1"/>
        <v>50</v>
      </c>
      <c r="G16" s="106">
        <v>5.8112903225806454</v>
      </c>
      <c r="H16" s="64">
        <v>11</v>
      </c>
      <c r="K16" s="238"/>
      <c r="L16" s="66" t="s">
        <v>413</v>
      </c>
      <c r="M16" s="64">
        <v>8.51</v>
      </c>
      <c r="N16" s="64">
        <v>6</v>
      </c>
      <c r="O16" s="64">
        <v>520</v>
      </c>
      <c r="P16" s="106">
        <v>5.8112903225806454</v>
      </c>
      <c r="Q16" s="64">
        <v>11</v>
      </c>
      <c r="S16" s="237"/>
      <c r="T16" s="237"/>
      <c r="U16" s="237"/>
    </row>
    <row r="17" spans="1:17">
      <c r="A17" s="66" t="s">
        <v>414</v>
      </c>
      <c r="B17" s="63">
        <f t="shared" si="0"/>
        <v>150</v>
      </c>
      <c r="C17" s="64">
        <v>6.97</v>
      </c>
      <c r="D17" s="64">
        <v>5</v>
      </c>
      <c r="E17" s="64">
        <v>157</v>
      </c>
      <c r="F17" s="63">
        <f t="shared" si="1"/>
        <v>50</v>
      </c>
      <c r="G17" s="106">
        <v>5.5218181818181824</v>
      </c>
      <c r="H17" s="64">
        <v>7</v>
      </c>
      <c r="K17" s="238"/>
      <c r="L17" s="66" t="s">
        <v>414</v>
      </c>
      <c r="M17" s="64">
        <v>6.97</v>
      </c>
      <c r="N17" s="64">
        <v>5</v>
      </c>
      <c r="O17" s="64">
        <v>157</v>
      </c>
      <c r="P17" s="106">
        <v>5.5218181818181824</v>
      </c>
      <c r="Q17" s="64">
        <v>7</v>
      </c>
    </row>
    <row r="18" spans="1:17">
      <c r="A18" s="66" t="s">
        <v>415</v>
      </c>
      <c r="B18" s="63">
        <f t="shared" si="0"/>
        <v>150</v>
      </c>
      <c r="C18" s="64">
        <v>8.16</v>
      </c>
      <c r="D18" s="64">
        <v>7</v>
      </c>
      <c r="E18" s="64">
        <v>353</v>
      </c>
      <c r="F18" s="63">
        <f t="shared" si="1"/>
        <v>50</v>
      </c>
      <c r="G18" s="106">
        <v>6.7874193548387094</v>
      </c>
      <c r="H18" s="64">
        <v>12</v>
      </c>
      <c r="K18" s="238"/>
      <c r="L18" s="66" t="s">
        <v>415</v>
      </c>
      <c r="M18" s="64">
        <v>8.16</v>
      </c>
      <c r="N18" s="64">
        <v>7</v>
      </c>
      <c r="O18" s="64">
        <v>353</v>
      </c>
      <c r="P18" s="106">
        <v>6.7874193548387094</v>
      </c>
      <c r="Q18" s="64">
        <v>12</v>
      </c>
    </row>
    <row r="19" spans="1:17">
      <c r="K19" s="238"/>
      <c r="L19" s="62" t="s">
        <v>416</v>
      </c>
      <c r="M19" s="104">
        <f>AVERAGE(M7:M18)</f>
        <v>7.6108333333333329</v>
      </c>
      <c r="N19" s="62"/>
      <c r="O19" s="62">
        <f>MAX(O7:O18)</f>
        <v>984</v>
      </c>
      <c r="P19" s="104">
        <f>AVERAGE(P7:P18)</f>
        <v>5.9565034736768609</v>
      </c>
      <c r="Q19" s="62">
        <f>MAX(Q7:Q18)</f>
        <v>14</v>
      </c>
    </row>
    <row r="21" spans="1:17" ht="27.6">
      <c r="K21" s="61">
        <f>+A6</f>
        <v>2022</v>
      </c>
      <c r="L21" s="61" t="s">
        <v>398</v>
      </c>
      <c r="M21" s="55" t="s">
        <v>437</v>
      </c>
      <c r="N21" s="55" t="s">
        <v>438</v>
      </c>
      <c r="O21" s="55" t="s">
        <v>439</v>
      </c>
      <c r="P21" s="67" t="s">
        <v>396</v>
      </c>
      <c r="Q21" s="67" t="s">
        <v>400</v>
      </c>
    </row>
    <row r="22" spans="1:17">
      <c r="K22" s="238" t="s">
        <v>194</v>
      </c>
      <c r="L22" s="66" t="s">
        <v>401</v>
      </c>
      <c r="M22" s="64"/>
      <c r="N22" s="64"/>
      <c r="O22" s="64"/>
      <c r="P22" s="64"/>
      <c r="Q22" s="64"/>
    </row>
    <row r="23" spans="1:17">
      <c r="K23" s="238"/>
      <c r="L23" s="66" t="s">
        <v>402</v>
      </c>
      <c r="M23" s="64"/>
      <c r="N23" s="64"/>
      <c r="O23" s="64"/>
      <c r="P23" s="64"/>
      <c r="Q23" s="64"/>
    </row>
    <row r="24" spans="1:17">
      <c r="K24" s="238"/>
      <c r="L24" s="66" t="s">
        <v>403</v>
      </c>
      <c r="M24" s="64"/>
      <c r="N24" s="64"/>
      <c r="O24" s="64"/>
      <c r="P24" s="64"/>
      <c r="Q24" s="64"/>
    </row>
    <row r="25" spans="1:17">
      <c r="K25" s="238"/>
      <c r="L25" s="66" t="s">
        <v>405</v>
      </c>
      <c r="M25" s="64"/>
      <c r="N25" s="64"/>
      <c r="O25" s="64"/>
      <c r="P25" s="64"/>
      <c r="Q25" s="64"/>
    </row>
    <row r="26" spans="1:17">
      <c r="K26" s="238"/>
      <c r="L26" s="66" t="s">
        <v>407</v>
      </c>
      <c r="M26" s="64"/>
      <c r="N26" s="64"/>
      <c r="O26" s="64"/>
      <c r="P26" s="64"/>
      <c r="Q26" s="64"/>
    </row>
    <row r="27" spans="1:17">
      <c r="K27" s="238"/>
      <c r="L27" s="66" t="s">
        <v>408</v>
      </c>
      <c r="M27" s="64"/>
      <c r="N27" s="64"/>
      <c r="O27" s="64"/>
      <c r="P27" s="64"/>
      <c r="Q27" s="64"/>
    </row>
    <row r="28" spans="1:17">
      <c r="K28" s="238"/>
      <c r="L28" s="66" t="s">
        <v>409</v>
      </c>
      <c r="M28" s="64"/>
      <c r="N28" s="64"/>
      <c r="O28" s="64"/>
      <c r="P28" s="64"/>
      <c r="Q28" s="64"/>
    </row>
    <row r="29" spans="1:17">
      <c r="K29" s="238"/>
      <c r="L29" s="66" t="s">
        <v>411</v>
      </c>
      <c r="M29" s="64"/>
      <c r="N29" s="64"/>
      <c r="O29" s="64"/>
      <c r="P29" s="64"/>
      <c r="Q29" s="64"/>
    </row>
    <row r="30" spans="1:17">
      <c r="K30" s="238"/>
      <c r="L30" s="66" t="s">
        <v>412</v>
      </c>
      <c r="M30" s="64"/>
      <c r="N30" s="64"/>
      <c r="O30" s="64"/>
      <c r="P30" s="64"/>
      <c r="Q30" s="64"/>
    </row>
    <row r="31" spans="1:17">
      <c r="K31" s="238"/>
      <c r="L31" s="66" t="s">
        <v>413</v>
      </c>
      <c r="M31" s="64"/>
      <c r="N31" s="64"/>
      <c r="O31" s="64"/>
      <c r="P31" s="64"/>
      <c r="Q31" s="64"/>
    </row>
    <row r="32" spans="1:17">
      <c r="K32" s="238"/>
      <c r="L32" s="66" t="s">
        <v>414</v>
      </c>
      <c r="M32" s="64"/>
      <c r="N32" s="64"/>
      <c r="O32" s="64"/>
      <c r="P32" s="64"/>
      <c r="Q32" s="64"/>
    </row>
    <row r="33" spans="1:17">
      <c r="K33" s="238"/>
      <c r="L33" s="66" t="s">
        <v>415</v>
      </c>
      <c r="M33" s="64"/>
      <c r="N33" s="64"/>
      <c r="O33" s="64"/>
      <c r="P33" s="64"/>
      <c r="Q33" s="64"/>
    </row>
    <row r="34" spans="1:17">
      <c r="K34" s="238"/>
      <c r="L34" s="62" t="s">
        <v>416</v>
      </c>
      <c r="M34" s="62" t="e">
        <f>AVERAGE(M22:M33)</f>
        <v>#DIV/0!</v>
      </c>
      <c r="N34" s="62"/>
      <c r="O34" s="62">
        <f>MAX(O22:O33)</f>
        <v>0</v>
      </c>
      <c r="P34" s="62" t="e">
        <f>AVERAGE(P22:P33)</f>
        <v>#DIV/0!</v>
      </c>
      <c r="Q34" s="62">
        <f>MAX(Q22:Q33)</f>
        <v>0</v>
      </c>
    </row>
    <row r="36" spans="1:17" ht="27.6">
      <c r="K36" s="61">
        <f>+A6</f>
        <v>2022</v>
      </c>
      <c r="L36" s="61" t="s">
        <v>398</v>
      </c>
      <c r="M36" s="55" t="s">
        <v>437</v>
      </c>
      <c r="N36" s="55" t="s">
        <v>438</v>
      </c>
      <c r="O36" s="55" t="s">
        <v>439</v>
      </c>
      <c r="P36" s="67" t="s">
        <v>396</v>
      </c>
      <c r="Q36" s="67" t="s">
        <v>400</v>
      </c>
    </row>
    <row r="37" spans="1:17">
      <c r="K37" s="238" t="s">
        <v>195</v>
      </c>
      <c r="L37" s="66" t="s">
        <v>401</v>
      </c>
      <c r="M37" s="64"/>
      <c r="N37" s="64"/>
      <c r="O37" s="64"/>
      <c r="P37" s="64"/>
      <c r="Q37" s="64"/>
    </row>
    <row r="38" spans="1:17">
      <c r="K38" s="238"/>
      <c r="L38" s="66" t="s">
        <v>402</v>
      </c>
      <c r="M38" s="64"/>
      <c r="N38" s="64"/>
      <c r="O38" s="64"/>
      <c r="P38" s="64"/>
      <c r="Q38" s="64"/>
    </row>
    <row r="39" spans="1:17">
      <c r="K39" s="238"/>
      <c r="L39" s="66" t="s">
        <v>403</v>
      </c>
      <c r="M39" s="64"/>
      <c r="N39" s="64"/>
      <c r="O39" s="64"/>
      <c r="P39" s="64"/>
      <c r="Q39" s="64"/>
    </row>
    <row r="40" spans="1:17">
      <c r="K40" s="238"/>
      <c r="L40" s="66" t="s">
        <v>405</v>
      </c>
      <c r="M40" s="64"/>
      <c r="N40" s="64"/>
      <c r="O40" s="64"/>
      <c r="P40" s="64"/>
      <c r="Q40" s="64"/>
    </row>
    <row r="41" spans="1:17">
      <c r="K41" s="238"/>
      <c r="L41" s="66" t="s">
        <v>407</v>
      </c>
      <c r="M41" s="64"/>
      <c r="N41" s="64"/>
      <c r="O41" s="64"/>
      <c r="P41" s="64"/>
      <c r="Q41" s="64"/>
    </row>
    <row r="42" spans="1:17">
      <c r="K42" s="238"/>
      <c r="L42" s="66" t="s">
        <v>408</v>
      </c>
      <c r="M42" s="64"/>
      <c r="N42" s="64"/>
      <c r="O42" s="64"/>
      <c r="P42" s="64"/>
      <c r="Q42" s="64"/>
    </row>
    <row r="43" spans="1:17">
      <c r="K43" s="238"/>
      <c r="L43" s="66" t="s">
        <v>409</v>
      </c>
      <c r="M43" s="64"/>
      <c r="N43" s="64"/>
      <c r="O43" s="64"/>
      <c r="P43" s="64"/>
      <c r="Q43" s="64"/>
    </row>
    <row r="44" spans="1:17">
      <c r="K44" s="238"/>
      <c r="L44" s="66" t="s">
        <v>411</v>
      </c>
      <c r="M44" s="64"/>
      <c r="N44" s="64"/>
      <c r="O44" s="64"/>
      <c r="P44" s="64"/>
      <c r="Q44" s="64"/>
    </row>
    <row r="45" spans="1:17">
      <c r="K45" s="238"/>
      <c r="L45" s="66" t="s">
        <v>412</v>
      </c>
      <c r="M45" s="64"/>
      <c r="N45" s="64"/>
      <c r="O45" s="64"/>
      <c r="P45" s="64"/>
      <c r="Q45" s="64"/>
    </row>
    <row r="46" spans="1:17">
      <c r="K46" s="238"/>
      <c r="L46" s="66" t="s">
        <v>413</v>
      </c>
      <c r="M46" s="64"/>
      <c r="N46" s="64"/>
      <c r="O46" s="64"/>
      <c r="P46" s="64"/>
      <c r="Q46" s="64"/>
    </row>
    <row r="47" spans="1:17">
      <c r="K47" s="238"/>
      <c r="L47" s="66" t="s">
        <v>414</v>
      </c>
      <c r="M47" s="64"/>
      <c r="N47" s="64"/>
      <c r="O47" s="64"/>
      <c r="P47" s="64"/>
      <c r="Q47" s="64"/>
    </row>
    <row r="48" spans="1:17">
      <c r="A48" s="250" t="s">
        <v>311</v>
      </c>
      <c r="B48" s="251"/>
      <c r="C48" s="251"/>
      <c r="D48" s="251"/>
      <c r="E48" s="251"/>
      <c r="F48" s="251"/>
      <c r="G48" s="251"/>
      <c r="H48" s="252"/>
      <c r="K48" s="238"/>
      <c r="L48" s="66" t="s">
        <v>415</v>
      </c>
      <c r="M48" s="64"/>
      <c r="N48" s="64"/>
      <c r="O48" s="64"/>
      <c r="P48" s="64"/>
      <c r="Q48" s="64"/>
    </row>
    <row r="49" spans="1:17">
      <c r="A49" s="253" t="s">
        <v>443</v>
      </c>
      <c r="B49" s="254"/>
      <c r="C49" s="254"/>
      <c r="D49" s="254"/>
      <c r="E49" s="254"/>
      <c r="F49" s="254"/>
      <c r="G49" s="254"/>
      <c r="H49" s="255"/>
      <c r="K49" s="238"/>
      <c r="L49" s="62" t="s">
        <v>416</v>
      </c>
      <c r="M49" s="62" t="e">
        <f>AVERAGE(M37:M48)</f>
        <v>#DIV/0!</v>
      </c>
      <c r="N49" s="62"/>
      <c r="O49" s="62">
        <f>MAX(O37:O48)</f>
        <v>0</v>
      </c>
      <c r="P49" s="62" t="e">
        <f>AVERAGE(P37:P48)</f>
        <v>#DIV/0!</v>
      </c>
      <c r="Q49" s="62">
        <f>MAX(Q37:Q48)</f>
        <v>0</v>
      </c>
    </row>
    <row r="50" spans="1:17">
      <c r="A50" s="256"/>
      <c r="B50" s="257"/>
      <c r="C50" s="257"/>
      <c r="D50" s="257"/>
      <c r="E50" s="257"/>
      <c r="F50" s="257"/>
      <c r="G50" s="257"/>
      <c r="H50" s="258"/>
    </row>
    <row r="51" spans="1:17" ht="27.6">
      <c r="A51" s="256"/>
      <c r="B51" s="257"/>
      <c r="C51" s="257"/>
      <c r="D51" s="257"/>
      <c r="E51" s="257"/>
      <c r="F51" s="257"/>
      <c r="G51" s="257"/>
      <c r="H51" s="258"/>
      <c r="K51" s="61">
        <f>+A6</f>
        <v>2022</v>
      </c>
      <c r="L51" s="61" t="s">
        <v>398</v>
      </c>
      <c r="M51" s="55" t="s">
        <v>437</v>
      </c>
      <c r="N51" s="55" t="s">
        <v>438</v>
      </c>
      <c r="O51" s="55" t="s">
        <v>439</v>
      </c>
      <c r="P51" s="67" t="s">
        <v>396</v>
      </c>
      <c r="Q51" s="67" t="s">
        <v>400</v>
      </c>
    </row>
    <row r="52" spans="1:17">
      <c r="A52" s="259"/>
      <c r="B52" s="260"/>
      <c r="C52" s="260"/>
      <c r="D52" s="260"/>
      <c r="E52" s="260"/>
      <c r="F52" s="260"/>
      <c r="G52" s="260"/>
      <c r="H52" s="261"/>
      <c r="K52" s="238" t="s">
        <v>196</v>
      </c>
      <c r="L52" s="66" t="s">
        <v>401</v>
      </c>
      <c r="M52" s="64"/>
      <c r="N52" s="64"/>
      <c r="O52" s="64"/>
      <c r="P52" s="64"/>
      <c r="Q52" s="64"/>
    </row>
    <row r="53" spans="1:17">
      <c r="K53" s="238"/>
      <c r="L53" s="66" t="s">
        <v>402</v>
      </c>
      <c r="M53" s="64"/>
      <c r="N53" s="64"/>
      <c r="O53" s="64"/>
      <c r="P53" s="64"/>
      <c r="Q53" s="64"/>
    </row>
    <row r="54" spans="1:17">
      <c r="K54" s="238"/>
      <c r="L54" s="66" t="s">
        <v>403</v>
      </c>
      <c r="M54" s="64"/>
      <c r="N54" s="64"/>
      <c r="O54" s="64"/>
      <c r="P54" s="64"/>
      <c r="Q54" s="64"/>
    </row>
    <row r="55" spans="1:17">
      <c r="K55" s="238"/>
      <c r="L55" s="66" t="s">
        <v>405</v>
      </c>
      <c r="M55" s="64"/>
      <c r="N55" s="64"/>
      <c r="O55" s="64"/>
      <c r="P55" s="64"/>
      <c r="Q55" s="64"/>
    </row>
    <row r="56" spans="1:17">
      <c r="K56" s="238"/>
      <c r="L56" s="66" t="s">
        <v>407</v>
      </c>
      <c r="M56" s="64"/>
      <c r="N56" s="64"/>
      <c r="O56" s="64"/>
      <c r="P56" s="64"/>
      <c r="Q56" s="64"/>
    </row>
    <row r="57" spans="1:17">
      <c r="K57" s="238"/>
      <c r="L57" s="66" t="s">
        <v>408</v>
      </c>
      <c r="M57" s="64"/>
      <c r="N57" s="64"/>
      <c r="O57" s="64"/>
      <c r="P57" s="64"/>
      <c r="Q57" s="64"/>
    </row>
    <row r="58" spans="1:17">
      <c r="K58" s="238"/>
      <c r="L58" s="66" t="s">
        <v>409</v>
      </c>
      <c r="M58" s="64"/>
      <c r="N58" s="64"/>
      <c r="O58" s="64"/>
      <c r="P58" s="64"/>
      <c r="Q58" s="64"/>
    </row>
    <row r="59" spans="1:17">
      <c r="K59" s="238"/>
      <c r="L59" s="66" t="s">
        <v>411</v>
      </c>
      <c r="M59" s="64"/>
      <c r="N59" s="64"/>
      <c r="O59" s="64"/>
      <c r="P59" s="64"/>
      <c r="Q59" s="64"/>
    </row>
    <row r="60" spans="1:17">
      <c r="K60" s="238"/>
      <c r="L60" s="66" t="s">
        <v>412</v>
      </c>
      <c r="M60" s="64"/>
      <c r="N60" s="64"/>
      <c r="O60" s="64"/>
      <c r="P60" s="64"/>
      <c r="Q60" s="64"/>
    </row>
    <row r="61" spans="1:17">
      <c r="K61" s="238"/>
      <c r="L61" s="66" t="s">
        <v>413</v>
      </c>
      <c r="M61" s="64"/>
      <c r="N61" s="64"/>
      <c r="O61" s="64"/>
      <c r="P61" s="64"/>
      <c r="Q61" s="64"/>
    </row>
    <row r="62" spans="1:17">
      <c r="K62" s="238"/>
      <c r="L62" s="66" t="s">
        <v>414</v>
      </c>
      <c r="M62" s="64"/>
      <c r="N62" s="64"/>
      <c r="O62" s="64"/>
      <c r="P62" s="64"/>
      <c r="Q62" s="64"/>
    </row>
    <row r="63" spans="1:17">
      <c r="K63" s="238"/>
      <c r="L63" s="66" t="s">
        <v>415</v>
      </c>
      <c r="M63" s="64"/>
      <c r="N63" s="64"/>
      <c r="O63" s="64"/>
      <c r="P63" s="64"/>
      <c r="Q63" s="64"/>
    </row>
    <row r="64" spans="1:17">
      <c r="K64" s="238"/>
      <c r="L64" s="62" t="s">
        <v>416</v>
      </c>
      <c r="M64" s="62" t="e">
        <f>AVERAGE(M52:M63)</f>
        <v>#DIV/0!</v>
      </c>
      <c r="N64" s="62"/>
      <c r="O64" s="62">
        <f>MAX(O52:O63)</f>
        <v>0</v>
      </c>
      <c r="P64" s="62" t="e">
        <f>AVERAGE(P52:P63)</f>
        <v>#DIV/0!</v>
      </c>
      <c r="Q64" s="62">
        <f>MAX(Q52:Q63)</f>
        <v>0</v>
      </c>
    </row>
    <row r="66" spans="11:17" ht="27.6">
      <c r="K66" s="61">
        <f>+A6</f>
        <v>2022</v>
      </c>
      <c r="L66" s="61" t="s">
        <v>398</v>
      </c>
      <c r="M66" s="55" t="s">
        <v>437</v>
      </c>
      <c r="N66" s="55" t="s">
        <v>438</v>
      </c>
      <c r="O66" s="55" t="s">
        <v>439</v>
      </c>
      <c r="P66" s="67" t="s">
        <v>396</v>
      </c>
      <c r="Q66" s="67" t="s">
        <v>400</v>
      </c>
    </row>
    <row r="67" spans="11:17">
      <c r="K67" s="238" t="s">
        <v>197</v>
      </c>
      <c r="L67" s="66" t="s">
        <v>401</v>
      </c>
      <c r="M67" s="64"/>
      <c r="N67" s="64"/>
      <c r="O67" s="64"/>
      <c r="P67" s="64"/>
      <c r="Q67" s="64"/>
    </row>
    <row r="68" spans="11:17">
      <c r="K68" s="238"/>
      <c r="L68" s="66" t="s">
        <v>402</v>
      </c>
      <c r="M68" s="64"/>
      <c r="N68" s="64"/>
      <c r="O68" s="64"/>
      <c r="P68" s="64"/>
      <c r="Q68" s="64"/>
    </row>
    <row r="69" spans="11:17">
      <c r="K69" s="238"/>
      <c r="L69" s="66" t="s">
        <v>403</v>
      </c>
      <c r="M69" s="64"/>
      <c r="N69" s="64"/>
      <c r="O69" s="64"/>
      <c r="P69" s="64"/>
      <c r="Q69" s="64"/>
    </row>
    <row r="70" spans="11:17">
      <c r="K70" s="238"/>
      <c r="L70" s="66" t="s">
        <v>405</v>
      </c>
      <c r="M70" s="64"/>
      <c r="N70" s="64"/>
      <c r="O70" s="64"/>
      <c r="P70" s="64"/>
      <c r="Q70" s="64"/>
    </row>
    <row r="71" spans="11:17">
      <c r="K71" s="238"/>
      <c r="L71" s="66" t="s">
        <v>407</v>
      </c>
      <c r="M71" s="64"/>
      <c r="N71" s="64"/>
      <c r="O71" s="64"/>
      <c r="P71" s="64"/>
      <c r="Q71" s="64"/>
    </row>
    <row r="72" spans="11:17">
      <c r="K72" s="238"/>
      <c r="L72" s="66" t="s">
        <v>408</v>
      </c>
      <c r="M72" s="64"/>
      <c r="N72" s="64"/>
      <c r="O72" s="64"/>
      <c r="P72" s="64"/>
      <c r="Q72" s="64"/>
    </row>
    <row r="73" spans="11:17">
      <c r="K73" s="238"/>
      <c r="L73" s="66" t="s">
        <v>409</v>
      </c>
      <c r="M73" s="64"/>
      <c r="N73" s="64"/>
      <c r="O73" s="64"/>
      <c r="P73" s="64"/>
      <c r="Q73" s="64"/>
    </row>
    <row r="74" spans="11:17">
      <c r="K74" s="238"/>
      <c r="L74" s="66" t="s">
        <v>411</v>
      </c>
      <c r="M74" s="64"/>
      <c r="N74" s="64"/>
      <c r="O74" s="64"/>
      <c r="P74" s="64"/>
      <c r="Q74" s="64"/>
    </row>
    <row r="75" spans="11:17">
      <c r="K75" s="238"/>
      <c r="L75" s="66" t="s">
        <v>412</v>
      </c>
      <c r="M75" s="64"/>
      <c r="N75" s="64"/>
      <c r="O75" s="64"/>
      <c r="P75" s="64"/>
      <c r="Q75" s="64"/>
    </row>
    <row r="76" spans="11:17">
      <c r="K76" s="238"/>
      <c r="L76" s="66" t="s">
        <v>413</v>
      </c>
      <c r="M76" s="64"/>
      <c r="N76" s="64"/>
      <c r="O76" s="64"/>
      <c r="P76" s="64"/>
      <c r="Q76" s="64"/>
    </row>
    <row r="77" spans="11:17">
      <c r="K77" s="238"/>
      <c r="L77" s="66" t="s">
        <v>414</v>
      </c>
      <c r="M77" s="64"/>
      <c r="N77" s="64"/>
      <c r="O77" s="64"/>
      <c r="P77" s="64"/>
      <c r="Q77" s="64"/>
    </row>
    <row r="78" spans="11:17">
      <c r="K78" s="238"/>
      <c r="L78" s="66" t="s">
        <v>415</v>
      </c>
      <c r="M78" s="64"/>
      <c r="N78" s="64"/>
      <c r="O78" s="64"/>
      <c r="P78" s="64"/>
      <c r="Q78" s="64"/>
    </row>
    <row r="79" spans="11:17">
      <c r="K79" s="238"/>
      <c r="L79" s="62" t="s">
        <v>416</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I23" sqref="I23"/>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Greatmoor Energy from Waste Facility</v>
      </c>
    </row>
    <row r="3" spans="1:19" ht="14.45">
      <c r="A3" s="60" t="s">
        <v>444</v>
      </c>
      <c r="D3" s="76" t="s">
        <v>385</v>
      </c>
      <c r="G3" s="80" t="s">
        <v>386</v>
      </c>
      <c r="J3" s="9" t="str">
        <f>+A3</f>
        <v xml:space="preserve">Monitoring of Ammnonia emissions </v>
      </c>
      <c r="L3" s="9"/>
      <c r="N3" s="9" t="s">
        <v>387</v>
      </c>
      <c r="Q3" s="79" t="s">
        <v>3</v>
      </c>
      <c r="R3" s="74"/>
      <c r="S3" s="74"/>
    </row>
    <row r="4" spans="1:19" ht="13.9" customHeight="1">
      <c r="Q4" s="229" t="s">
        <v>388</v>
      </c>
      <c r="R4" s="229"/>
      <c r="S4" s="229"/>
    </row>
    <row r="5" spans="1:19" ht="16.149999999999999">
      <c r="A5" s="68" t="s">
        <v>389</v>
      </c>
      <c r="B5" s="240" t="s">
        <v>390</v>
      </c>
      <c r="C5" s="240"/>
      <c r="D5" s="240"/>
      <c r="E5" s="240" t="s">
        <v>391</v>
      </c>
      <c r="F5" s="240"/>
      <c r="G5" s="240"/>
      <c r="J5" s="239"/>
      <c r="K5" s="239"/>
      <c r="L5" s="239"/>
      <c r="M5" s="239"/>
      <c r="N5" s="239"/>
      <c r="O5" s="239"/>
      <c r="Q5" s="229"/>
      <c r="R5" s="229"/>
      <c r="S5" s="229"/>
    </row>
    <row r="6" spans="1:19" s="58" customFormat="1" ht="37.5" customHeight="1">
      <c r="A6" s="65">
        <f>+'Cover Page'!C39</f>
        <v>2022</v>
      </c>
      <c r="B6" s="55" t="s">
        <v>445</v>
      </c>
      <c r="C6" s="55" t="s">
        <v>393</v>
      </c>
      <c r="D6" s="55" t="s">
        <v>394</v>
      </c>
      <c r="E6" s="55" t="s">
        <v>446</v>
      </c>
      <c r="F6" s="55" t="s">
        <v>396</v>
      </c>
      <c r="G6" s="55" t="s">
        <v>397</v>
      </c>
      <c r="H6" s="59"/>
      <c r="J6" s="61">
        <f>+A6</f>
        <v>2022</v>
      </c>
      <c r="K6" s="61" t="s">
        <v>398</v>
      </c>
      <c r="L6" s="67" t="s">
        <v>393</v>
      </c>
      <c r="M6" s="67" t="s">
        <v>399</v>
      </c>
      <c r="N6" s="67" t="s">
        <v>396</v>
      </c>
      <c r="O6" s="67" t="s">
        <v>400</v>
      </c>
      <c r="Q6" s="229"/>
      <c r="R6" s="229"/>
      <c r="S6" s="229"/>
    </row>
    <row r="7" spans="1:19">
      <c r="A7" s="66" t="s">
        <v>401</v>
      </c>
      <c r="B7" s="69">
        <v>0</v>
      </c>
      <c r="C7" s="64">
        <v>0</v>
      </c>
      <c r="D7" s="64">
        <v>3</v>
      </c>
      <c r="E7" s="69">
        <v>10</v>
      </c>
      <c r="F7" s="105">
        <v>0.19161290322580646</v>
      </c>
      <c r="G7" s="64">
        <v>0</v>
      </c>
      <c r="J7" s="238" t="s">
        <v>193</v>
      </c>
      <c r="K7" s="66" t="s">
        <v>401</v>
      </c>
      <c r="L7" s="64">
        <v>0</v>
      </c>
      <c r="M7" s="64">
        <v>3</v>
      </c>
      <c r="N7" s="105">
        <v>0.19161290322580646</v>
      </c>
      <c r="O7" s="64">
        <v>0</v>
      </c>
      <c r="Q7" s="229"/>
      <c r="R7" s="229"/>
      <c r="S7" s="229"/>
    </row>
    <row r="8" spans="1:19">
      <c r="A8" s="66" t="s">
        <v>402</v>
      </c>
      <c r="B8" s="63">
        <f>+B7</f>
        <v>0</v>
      </c>
      <c r="C8" s="64">
        <v>0</v>
      </c>
      <c r="D8" s="64">
        <v>1</v>
      </c>
      <c r="E8" s="63">
        <f>+E7</f>
        <v>10</v>
      </c>
      <c r="F8" s="105">
        <v>0.19535714285714284</v>
      </c>
      <c r="G8" s="64">
        <v>0</v>
      </c>
      <c r="J8" s="238"/>
      <c r="K8" s="66" t="s">
        <v>402</v>
      </c>
      <c r="L8" s="64">
        <v>0</v>
      </c>
      <c r="M8" s="64">
        <v>1</v>
      </c>
      <c r="N8" s="105">
        <v>0.19535714285714284</v>
      </c>
      <c r="O8" s="64">
        <v>0</v>
      </c>
      <c r="Q8" s="229"/>
      <c r="R8" s="229"/>
      <c r="S8" s="229"/>
    </row>
    <row r="9" spans="1:19">
      <c r="A9" s="66" t="s">
        <v>403</v>
      </c>
      <c r="B9" s="63">
        <f t="shared" ref="B9:B18" si="0">+B8</f>
        <v>0</v>
      </c>
      <c r="C9" s="64">
        <v>0</v>
      </c>
      <c r="D9" s="64">
        <v>1</v>
      </c>
      <c r="E9" s="63">
        <f t="shared" ref="E9:E18" si="1">+E8</f>
        <v>10</v>
      </c>
      <c r="F9" s="105">
        <v>0.17516129032258068</v>
      </c>
      <c r="G9" s="64">
        <v>0</v>
      </c>
      <c r="J9" s="238"/>
      <c r="K9" s="66" t="s">
        <v>403</v>
      </c>
      <c r="L9" s="64">
        <v>0</v>
      </c>
      <c r="M9" s="64">
        <v>1</v>
      </c>
      <c r="N9" s="105">
        <v>0.17516129032258068</v>
      </c>
      <c r="O9" s="64">
        <v>0</v>
      </c>
      <c r="Q9" s="78" t="s">
        <v>404</v>
      </c>
    </row>
    <row r="10" spans="1:19" ht="14.25" customHeight="1">
      <c r="A10" s="66" t="s">
        <v>405</v>
      </c>
      <c r="B10" s="63">
        <f t="shared" si="0"/>
        <v>0</v>
      </c>
      <c r="C10" s="64">
        <v>0</v>
      </c>
      <c r="D10" s="64">
        <v>1</v>
      </c>
      <c r="E10" s="63">
        <f t="shared" si="1"/>
        <v>10</v>
      </c>
      <c r="F10" s="105">
        <v>0.18766666666666668</v>
      </c>
      <c r="G10" s="64">
        <v>0</v>
      </c>
      <c r="J10" s="238"/>
      <c r="K10" s="66" t="s">
        <v>405</v>
      </c>
      <c r="L10" s="64">
        <v>0</v>
      </c>
      <c r="M10" s="64">
        <v>1</v>
      </c>
      <c r="N10" s="105">
        <v>0.18766666666666668</v>
      </c>
      <c r="O10" s="64">
        <v>0</v>
      </c>
      <c r="Q10" s="237" t="s">
        <v>406</v>
      </c>
      <c r="R10" s="237"/>
      <c r="S10" s="237"/>
    </row>
    <row r="11" spans="1:19">
      <c r="A11" s="66" t="s">
        <v>407</v>
      </c>
      <c r="B11" s="63">
        <f t="shared" si="0"/>
        <v>0</v>
      </c>
      <c r="C11" s="64">
        <v>0</v>
      </c>
      <c r="D11" s="64">
        <v>1</v>
      </c>
      <c r="E11" s="63">
        <f t="shared" si="1"/>
        <v>10</v>
      </c>
      <c r="F11" s="105">
        <v>0.23416666666666666</v>
      </c>
      <c r="G11" s="64">
        <v>0</v>
      </c>
      <c r="J11" s="238"/>
      <c r="K11" s="66" t="s">
        <v>407</v>
      </c>
      <c r="L11" s="64">
        <v>0</v>
      </c>
      <c r="M11" s="64">
        <v>1</v>
      </c>
      <c r="N11" s="105">
        <v>0.23416666666666666</v>
      </c>
      <c r="O11" s="64">
        <v>0</v>
      </c>
      <c r="Q11" s="237"/>
      <c r="R11" s="237"/>
      <c r="S11" s="237"/>
    </row>
    <row r="12" spans="1:19">
      <c r="A12" s="66" t="s">
        <v>408</v>
      </c>
      <c r="B12" s="63">
        <f t="shared" si="0"/>
        <v>0</v>
      </c>
      <c r="C12" s="64">
        <v>0</v>
      </c>
      <c r="D12" s="64">
        <v>2</v>
      </c>
      <c r="E12" s="63">
        <f t="shared" si="1"/>
        <v>10</v>
      </c>
      <c r="F12" s="105">
        <v>0.35624999999999996</v>
      </c>
      <c r="G12" s="64">
        <v>1</v>
      </c>
      <c r="J12" s="238"/>
      <c r="K12" s="66" t="s">
        <v>408</v>
      </c>
      <c r="L12" s="64">
        <v>0</v>
      </c>
      <c r="M12" s="64">
        <v>2</v>
      </c>
      <c r="N12" s="105">
        <v>0.35624999999999996</v>
      </c>
      <c r="O12" s="64">
        <v>1</v>
      </c>
      <c r="Q12" s="237"/>
      <c r="R12" s="237"/>
      <c r="S12" s="237"/>
    </row>
    <row r="13" spans="1:19" ht="14.25" customHeight="1">
      <c r="A13" s="66" t="s">
        <v>409</v>
      </c>
      <c r="B13" s="63">
        <f t="shared" si="0"/>
        <v>0</v>
      </c>
      <c r="C13" s="64">
        <v>0</v>
      </c>
      <c r="D13" s="64">
        <v>1</v>
      </c>
      <c r="E13" s="63">
        <f t="shared" si="1"/>
        <v>10</v>
      </c>
      <c r="F13" s="105">
        <v>0.17290322580645162</v>
      </c>
      <c r="G13" s="64">
        <v>0</v>
      </c>
      <c r="J13" s="238"/>
      <c r="K13" s="66" t="s">
        <v>409</v>
      </c>
      <c r="L13" s="64">
        <v>0</v>
      </c>
      <c r="M13" s="64">
        <v>1</v>
      </c>
      <c r="N13" s="105">
        <v>0.17290322580645162</v>
      </c>
      <c r="O13" s="64">
        <v>0</v>
      </c>
      <c r="Q13" s="237" t="s">
        <v>410</v>
      </c>
      <c r="R13" s="237"/>
      <c r="S13" s="237"/>
    </row>
    <row r="14" spans="1:19">
      <c r="A14" s="66" t="s">
        <v>411</v>
      </c>
      <c r="B14" s="63">
        <f t="shared" si="0"/>
        <v>0</v>
      </c>
      <c r="C14" s="64">
        <v>0</v>
      </c>
      <c r="D14" s="64">
        <v>3</v>
      </c>
      <c r="E14" s="63">
        <f t="shared" si="1"/>
        <v>10</v>
      </c>
      <c r="F14" s="105">
        <v>0.26193548387096777</v>
      </c>
      <c r="G14" s="64">
        <v>1</v>
      </c>
      <c r="J14" s="238"/>
      <c r="K14" s="66" t="s">
        <v>411</v>
      </c>
      <c r="L14" s="64">
        <v>0</v>
      </c>
      <c r="M14" s="64">
        <v>3</v>
      </c>
      <c r="N14" s="105">
        <v>0.26193548387096777</v>
      </c>
      <c r="O14" s="64">
        <v>1</v>
      </c>
      <c r="Q14" s="237"/>
      <c r="R14" s="237"/>
      <c r="S14" s="237"/>
    </row>
    <row r="15" spans="1:19">
      <c r="A15" s="66" t="s">
        <v>412</v>
      </c>
      <c r="B15" s="63">
        <f t="shared" si="0"/>
        <v>0</v>
      </c>
      <c r="C15" s="64">
        <v>0</v>
      </c>
      <c r="D15" s="64">
        <v>6</v>
      </c>
      <c r="E15" s="63">
        <f t="shared" si="1"/>
        <v>10</v>
      </c>
      <c r="F15" s="105">
        <v>0.2143333333333334</v>
      </c>
      <c r="G15" s="64">
        <v>0</v>
      </c>
      <c r="J15" s="238"/>
      <c r="K15" s="66" t="s">
        <v>412</v>
      </c>
      <c r="L15" s="64">
        <v>0</v>
      </c>
      <c r="M15" s="64">
        <v>6</v>
      </c>
      <c r="N15" s="105">
        <v>0.2143333333333334</v>
      </c>
      <c r="O15" s="64">
        <v>0</v>
      </c>
      <c r="Q15" s="237"/>
      <c r="R15" s="237"/>
      <c r="S15" s="237"/>
    </row>
    <row r="16" spans="1:19">
      <c r="A16" s="66" t="s">
        <v>413</v>
      </c>
      <c r="B16" s="63">
        <f t="shared" si="0"/>
        <v>0</v>
      </c>
      <c r="C16" s="64">
        <v>0</v>
      </c>
      <c r="D16" s="64">
        <v>8</v>
      </c>
      <c r="E16" s="63">
        <f t="shared" si="1"/>
        <v>10</v>
      </c>
      <c r="F16" s="105">
        <v>0.25387096774193552</v>
      </c>
      <c r="G16" s="64">
        <v>1</v>
      </c>
      <c r="J16" s="238"/>
      <c r="K16" s="66" t="s">
        <v>413</v>
      </c>
      <c r="L16" s="64">
        <v>0</v>
      </c>
      <c r="M16" s="64">
        <v>8</v>
      </c>
      <c r="N16" s="105">
        <v>0.25387096774193552</v>
      </c>
      <c r="O16" s="64">
        <v>1</v>
      </c>
      <c r="Q16" s="237"/>
      <c r="R16" s="237"/>
      <c r="S16" s="237"/>
    </row>
    <row r="17" spans="1:15">
      <c r="A17" s="66" t="s">
        <v>414</v>
      </c>
      <c r="B17" s="63">
        <f t="shared" si="0"/>
        <v>0</v>
      </c>
      <c r="C17" s="64">
        <v>1</v>
      </c>
      <c r="D17" s="64">
        <v>5</v>
      </c>
      <c r="E17" s="63">
        <f t="shared" si="1"/>
        <v>10</v>
      </c>
      <c r="F17" s="105">
        <v>0.64363636363636367</v>
      </c>
      <c r="G17" s="64">
        <v>1</v>
      </c>
      <c r="J17" s="238"/>
      <c r="K17" s="66" t="s">
        <v>414</v>
      </c>
      <c r="L17" s="64">
        <v>1</v>
      </c>
      <c r="M17" s="64">
        <v>5</v>
      </c>
      <c r="N17" s="105">
        <v>0.64363636363636367</v>
      </c>
      <c r="O17" s="64">
        <v>1</v>
      </c>
    </row>
    <row r="18" spans="1:15">
      <c r="A18" s="66" t="s">
        <v>415</v>
      </c>
      <c r="B18" s="63">
        <f t="shared" si="0"/>
        <v>0</v>
      </c>
      <c r="C18" s="64">
        <v>0</v>
      </c>
      <c r="D18" s="64">
        <v>1</v>
      </c>
      <c r="E18" s="63">
        <f t="shared" si="1"/>
        <v>10</v>
      </c>
      <c r="F18" s="105">
        <v>0.30903225806451606</v>
      </c>
      <c r="G18" s="64">
        <v>0</v>
      </c>
      <c r="J18" s="238"/>
      <c r="K18" s="66" t="s">
        <v>415</v>
      </c>
      <c r="L18" s="64">
        <v>0</v>
      </c>
      <c r="M18" s="64">
        <v>1</v>
      </c>
      <c r="N18" s="105">
        <v>0.30903225806451606</v>
      </c>
      <c r="O18" s="64">
        <v>0</v>
      </c>
    </row>
    <row r="19" spans="1:15">
      <c r="J19" s="238"/>
      <c r="K19" s="62" t="s">
        <v>416</v>
      </c>
      <c r="L19" s="108">
        <f>AVERAGE(L7:L18)</f>
        <v>8.3333333333333329E-2</v>
      </c>
      <c r="M19" s="62">
        <f>MAX(M7:M18)</f>
        <v>8</v>
      </c>
      <c r="N19" s="109">
        <f>AVERAGE(N7:N18)</f>
        <v>0.26632719184936926</v>
      </c>
      <c r="O19" s="62">
        <f>MAX(O7:O18)</f>
        <v>1</v>
      </c>
    </row>
    <row r="21" spans="1:15" ht="41.45">
      <c r="J21" s="61">
        <f>+A6</f>
        <v>2022</v>
      </c>
      <c r="K21" s="61" t="s">
        <v>398</v>
      </c>
      <c r="L21" s="67" t="s">
        <v>393</v>
      </c>
      <c r="M21" s="67" t="s">
        <v>399</v>
      </c>
      <c r="N21" s="67" t="s">
        <v>396</v>
      </c>
      <c r="O21" s="67" t="s">
        <v>400</v>
      </c>
    </row>
    <row r="22" spans="1:15">
      <c r="J22" s="238" t="s">
        <v>194</v>
      </c>
      <c r="K22" s="66" t="s">
        <v>401</v>
      </c>
      <c r="L22" s="64"/>
      <c r="M22" s="64"/>
      <c r="N22" s="64"/>
      <c r="O22" s="64"/>
    </row>
    <row r="23" spans="1:15">
      <c r="J23" s="238"/>
      <c r="K23" s="66" t="s">
        <v>402</v>
      </c>
      <c r="L23" s="64"/>
      <c r="M23" s="64"/>
      <c r="N23" s="64"/>
      <c r="O23" s="64"/>
    </row>
    <row r="24" spans="1:15">
      <c r="J24" s="238"/>
      <c r="K24" s="66" t="s">
        <v>403</v>
      </c>
      <c r="L24" s="64"/>
      <c r="M24" s="64"/>
      <c r="N24" s="64"/>
      <c r="O24" s="64"/>
    </row>
    <row r="25" spans="1:15">
      <c r="J25" s="238"/>
      <c r="K25" s="66" t="s">
        <v>405</v>
      </c>
      <c r="L25" s="64"/>
      <c r="M25" s="64"/>
      <c r="N25" s="64"/>
      <c r="O25" s="64"/>
    </row>
    <row r="26" spans="1:15">
      <c r="J26" s="238"/>
      <c r="K26" s="66" t="s">
        <v>407</v>
      </c>
      <c r="L26" s="64"/>
      <c r="M26" s="64"/>
      <c r="N26" s="64"/>
      <c r="O26" s="64"/>
    </row>
    <row r="27" spans="1:15">
      <c r="J27" s="238"/>
      <c r="K27" s="66" t="s">
        <v>408</v>
      </c>
      <c r="L27" s="64"/>
      <c r="M27" s="64"/>
      <c r="N27" s="64"/>
      <c r="O27" s="64"/>
    </row>
    <row r="28" spans="1:15">
      <c r="J28" s="238"/>
      <c r="K28" s="66" t="s">
        <v>409</v>
      </c>
      <c r="L28" s="64"/>
      <c r="M28" s="64"/>
      <c r="N28" s="64"/>
      <c r="O28" s="64"/>
    </row>
    <row r="29" spans="1:15">
      <c r="J29" s="238"/>
      <c r="K29" s="66" t="s">
        <v>411</v>
      </c>
      <c r="L29" s="64"/>
      <c r="M29" s="64"/>
      <c r="N29" s="64"/>
      <c r="O29" s="64"/>
    </row>
    <row r="30" spans="1:15">
      <c r="J30" s="238"/>
      <c r="K30" s="66" t="s">
        <v>412</v>
      </c>
      <c r="L30" s="64"/>
      <c r="M30" s="64"/>
      <c r="N30" s="64"/>
      <c r="O30" s="64"/>
    </row>
    <row r="31" spans="1:15">
      <c r="J31" s="238"/>
      <c r="K31" s="66" t="s">
        <v>413</v>
      </c>
      <c r="L31" s="64"/>
      <c r="M31" s="64"/>
      <c r="N31" s="64"/>
      <c r="O31" s="64"/>
    </row>
    <row r="32" spans="1:15">
      <c r="J32" s="238"/>
      <c r="K32" s="66" t="s">
        <v>414</v>
      </c>
      <c r="L32" s="64"/>
      <c r="M32" s="64"/>
      <c r="N32" s="64"/>
      <c r="O32" s="64"/>
    </row>
    <row r="33" spans="1:15">
      <c r="J33" s="238"/>
      <c r="K33" s="66" t="s">
        <v>415</v>
      </c>
      <c r="L33" s="64"/>
      <c r="M33" s="64"/>
      <c r="N33" s="64"/>
      <c r="O33" s="64"/>
    </row>
    <row r="34" spans="1:15">
      <c r="J34" s="238"/>
      <c r="K34" s="62" t="s">
        <v>416</v>
      </c>
      <c r="L34" s="62" t="e">
        <f>AVERAGE(L22:L33)</f>
        <v>#DIV/0!</v>
      </c>
      <c r="M34" s="62">
        <f>MAX(M22:M33)</f>
        <v>0</v>
      </c>
      <c r="N34" s="62" t="e">
        <f>AVERAGE(N22:N33)</f>
        <v>#DIV/0!</v>
      </c>
      <c r="O34" s="62">
        <f>MAX(O22:O33)</f>
        <v>0</v>
      </c>
    </row>
    <row r="36" spans="1:15" ht="41.45">
      <c r="J36" s="61">
        <f>+A6</f>
        <v>2022</v>
      </c>
      <c r="K36" s="61" t="s">
        <v>398</v>
      </c>
      <c r="L36" s="67" t="s">
        <v>393</v>
      </c>
      <c r="M36" s="67" t="s">
        <v>399</v>
      </c>
      <c r="N36" s="67" t="s">
        <v>396</v>
      </c>
      <c r="O36" s="67" t="s">
        <v>400</v>
      </c>
    </row>
    <row r="37" spans="1:15">
      <c r="J37" s="238" t="s">
        <v>195</v>
      </c>
      <c r="K37" s="66" t="s">
        <v>401</v>
      </c>
      <c r="L37" s="64"/>
      <c r="M37" s="64"/>
      <c r="N37" s="64"/>
      <c r="O37" s="64"/>
    </row>
    <row r="38" spans="1:15">
      <c r="J38" s="238"/>
      <c r="K38" s="66" t="s">
        <v>402</v>
      </c>
      <c r="L38" s="64"/>
      <c r="M38" s="64"/>
      <c r="N38" s="64"/>
      <c r="O38" s="64"/>
    </row>
    <row r="39" spans="1:15">
      <c r="J39" s="238"/>
      <c r="K39" s="66" t="s">
        <v>403</v>
      </c>
      <c r="L39" s="64"/>
      <c r="M39" s="64"/>
      <c r="N39" s="64"/>
      <c r="O39" s="64"/>
    </row>
    <row r="40" spans="1:15">
      <c r="J40" s="238"/>
      <c r="K40" s="66" t="s">
        <v>405</v>
      </c>
      <c r="L40" s="64"/>
      <c r="M40" s="64"/>
      <c r="N40" s="64"/>
      <c r="O40" s="64"/>
    </row>
    <row r="41" spans="1:15">
      <c r="J41" s="238"/>
      <c r="K41" s="66" t="s">
        <v>407</v>
      </c>
      <c r="L41" s="64"/>
      <c r="M41" s="64"/>
      <c r="N41" s="64"/>
      <c r="O41" s="64"/>
    </row>
    <row r="42" spans="1:15">
      <c r="J42" s="238"/>
      <c r="K42" s="66" t="s">
        <v>408</v>
      </c>
      <c r="L42" s="64"/>
      <c r="M42" s="64"/>
      <c r="N42" s="64"/>
      <c r="O42" s="64"/>
    </row>
    <row r="43" spans="1:15">
      <c r="J43" s="238"/>
      <c r="K43" s="66" t="s">
        <v>409</v>
      </c>
      <c r="L43" s="64"/>
      <c r="M43" s="64"/>
      <c r="N43" s="64"/>
      <c r="O43" s="64"/>
    </row>
    <row r="44" spans="1:15">
      <c r="J44" s="238"/>
      <c r="K44" s="66" t="s">
        <v>411</v>
      </c>
      <c r="L44" s="64"/>
      <c r="M44" s="64"/>
      <c r="N44" s="64"/>
      <c r="O44" s="64"/>
    </row>
    <row r="45" spans="1:15">
      <c r="J45" s="238"/>
      <c r="K45" s="66" t="s">
        <v>412</v>
      </c>
      <c r="L45" s="64"/>
      <c r="M45" s="64"/>
      <c r="N45" s="64"/>
      <c r="O45" s="64"/>
    </row>
    <row r="46" spans="1:15">
      <c r="J46" s="238"/>
      <c r="K46" s="66" t="s">
        <v>413</v>
      </c>
      <c r="L46" s="64"/>
      <c r="M46" s="64"/>
      <c r="N46" s="64"/>
      <c r="O46" s="64"/>
    </row>
    <row r="47" spans="1:15">
      <c r="J47" s="238"/>
      <c r="K47" s="66" t="s">
        <v>414</v>
      </c>
      <c r="L47" s="64"/>
      <c r="M47" s="64"/>
      <c r="N47" s="64"/>
      <c r="O47" s="64"/>
    </row>
    <row r="48" spans="1:15">
      <c r="A48" s="250" t="s">
        <v>311</v>
      </c>
      <c r="B48" s="251"/>
      <c r="C48" s="251"/>
      <c r="D48" s="251"/>
      <c r="E48" s="251"/>
      <c r="F48" s="251"/>
      <c r="G48" s="252"/>
      <c r="J48" s="238"/>
      <c r="K48" s="66" t="s">
        <v>415</v>
      </c>
      <c r="L48" s="64"/>
      <c r="M48" s="64"/>
      <c r="N48" s="64"/>
      <c r="O48" s="64"/>
    </row>
    <row r="49" spans="1:15">
      <c r="A49" s="241" t="s">
        <v>447</v>
      </c>
      <c r="B49" s="242"/>
      <c r="C49" s="242"/>
      <c r="D49" s="242"/>
      <c r="E49" s="242"/>
      <c r="F49" s="242"/>
      <c r="G49" s="243"/>
      <c r="J49" s="238"/>
      <c r="K49" s="62" t="s">
        <v>416</v>
      </c>
      <c r="L49" s="62" t="e">
        <f>AVERAGE(L37:L48)</f>
        <v>#DIV/0!</v>
      </c>
      <c r="M49" s="62">
        <f>MAX(M37:M48)</f>
        <v>0</v>
      </c>
      <c r="N49" s="62" t="e">
        <f>AVERAGE(N37:N48)</f>
        <v>#DIV/0!</v>
      </c>
      <c r="O49" s="62">
        <f>MAX(O37:O48)</f>
        <v>0</v>
      </c>
    </row>
    <row r="50" spans="1:15">
      <c r="A50" s="244"/>
      <c r="B50" s="245"/>
      <c r="C50" s="245"/>
      <c r="D50" s="245"/>
      <c r="E50" s="245"/>
      <c r="F50" s="245"/>
      <c r="G50" s="246"/>
    </row>
    <row r="51" spans="1:15" ht="41.45">
      <c r="A51" s="244"/>
      <c r="B51" s="245"/>
      <c r="C51" s="245"/>
      <c r="D51" s="245"/>
      <c r="E51" s="245"/>
      <c r="F51" s="245"/>
      <c r="G51" s="246"/>
      <c r="J51" s="61">
        <f>+A6</f>
        <v>2022</v>
      </c>
      <c r="K51" s="61" t="s">
        <v>398</v>
      </c>
      <c r="L51" s="67" t="s">
        <v>393</v>
      </c>
      <c r="M51" s="67" t="s">
        <v>399</v>
      </c>
      <c r="N51" s="67" t="s">
        <v>396</v>
      </c>
      <c r="O51" s="67" t="s">
        <v>400</v>
      </c>
    </row>
    <row r="52" spans="1:15">
      <c r="A52" s="247"/>
      <c r="B52" s="248"/>
      <c r="C52" s="248"/>
      <c r="D52" s="248"/>
      <c r="E52" s="248"/>
      <c r="F52" s="248"/>
      <c r="G52" s="249"/>
      <c r="J52" s="238" t="s">
        <v>196</v>
      </c>
      <c r="K52" s="66" t="s">
        <v>401</v>
      </c>
      <c r="L52" s="64"/>
      <c r="M52" s="64"/>
      <c r="N52" s="64"/>
      <c r="O52" s="64"/>
    </row>
    <row r="53" spans="1:15">
      <c r="J53" s="238"/>
      <c r="K53" s="66" t="s">
        <v>402</v>
      </c>
      <c r="L53" s="64"/>
      <c r="M53" s="64"/>
      <c r="N53" s="64"/>
      <c r="O53" s="64"/>
    </row>
    <row r="54" spans="1:15">
      <c r="J54" s="238"/>
      <c r="K54" s="66" t="s">
        <v>403</v>
      </c>
      <c r="L54" s="64"/>
      <c r="M54" s="64"/>
      <c r="N54" s="64"/>
      <c r="O54" s="64"/>
    </row>
    <row r="55" spans="1:15">
      <c r="J55" s="238"/>
      <c r="K55" s="66" t="s">
        <v>405</v>
      </c>
      <c r="L55" s="64"/>
      <c r="M55" s="64"/>
      <c r="N55" s="64"/>
      <c r="O55" s="64"/>
    </row>
    <row r="56" spans="1:15">
      <c r="J56" s="238"/>
      <c r="K56" s="66" t="s">
        <v>407</v>
      </c>
      <c r="L56" s="64"/>
      <c r="M56" s="64"/>
      <c r="N56" s="64"/>
      <c r="O56" s="64"/>
    </row>
    <row r="57" spans="1:15">
      <c r="J57" s="238"/>
      <c r="K57" s="66" t="s">
        <v>408</v>
      </c>
      <c r="L57" s="64"/>
      <c r="M57" s="64"/>
      <c r="N57" s="64"/>
      <c r="O57" s="64"/>
    </row>
    <row r="58" spans="1:15">
      <c r="J58" s="238"/>
      <c r="K58" s="66" t="s">
        <v>409</v>
      </c>
      <c r="L58" s="64"/>
      <c r="M58" s="64"/>
      <c r="N58" s="64"/>
      <c r="O58" s="64"/>
    </row>
    <row r="59" spans="1:15">
      <c r="J59" s="238"/>
      <c r="K59" s="66" t="s">
        <v>411</v>
      </c>
      <c r="L59" s="64"/>
      <c r="M59" s="64"/>
      <c r="N59" s="64"/>
      <c r="O59" s="64"/>
    </row>
    <row r="60" spans="1:15">
      <c r="J60" s="238"/>
      <c r="K60" s="66" t="s">
        <v>412</v>
      </c>
      <c r="L60" s="64"/>
      <c r="M60" s="64"/>
      <c r="N60" s="64"/>
      <c r="O60" s="64"/>
    </row>
    <row r="61" spans="1:15">
      <c r="J61" s="238"/>
      <c r="K61" s="66" t="s">
        <v>413</v>
      </c>
      <c r="L61" s="64"/>
      <c r="M61" s="64"/>
      <c r="N61" s="64"/>
      <c r="O61" s="64"/>
    </row>
    <row r="62" spans="1:15">
      <c r="J62" s="238"/>
      <c r="K62" s="66" t="s">
        <v>414</v>
      </c>
      <c r="L62" s="64"/>
      <c r="M62" s="64"/>
      <c r="N62" s="64"/>
      <c r="O62" s="64"/>
    </row>
    <row r="63" spans="1:15">
      <c r="J63" s="238"/>
      <c r="K63" s="66" t="s">
        <v>415</v>
      </c>
      <c r="L63" s="64"/>
      <c r="M63" s="64"/>
      <c r="N63" s="64"/>
      <c r="O63" s="64"/>
    </row>
    <row r="64" spans="1:15">
      <c r="J64" s="238"/>
      <c r="K64" s="62" t="s">
        <v>416</v>
      </c>
      <c r="L64" s="62" t="e">
        <f>AVERAGE(L52:L63)</f>
        <v>#DIV/0!</v>
      </c>
      <c r="M64" s="62">
        <f>MAX(M52:M63)</f>
        <v>0</v>
      </c>
      <c r="N64" s="62" t="e">
        <f>AVERAGE(N52:N63)</f>
        <v>#DIV/0!</v>
      </c>
      <c r="O64" s="62">
        <f>MAX(O52:O63)</f>
        <v>0</v>
      </c>
    </row>
    <row r="66" spans="10:15" ht="41.45">
      <c r="J66" s="61">
        <f>+A6</f>
        <v>2022</v>
      </c>
      <c r="K66" s="61" t="s">
        <v>398</v>
      </c>
      <c r="L66" s="67" t="s">
        <v>393</v>
      </c>
      <c r="M66" s="67" t="s">
        <v>399</v>
      </c>
      <c r="N66" s="67" t="s">
        <v>396</v>
      </c>
      <c r="O66" s="67" t="s">
        <v>400</v>
      </c>
    </row>
    <row r="67" spans="10:15">
      <c r="J67" s="238" t="s">
        <v>197</v>
      </c>
      <c r="K67" s="66" t="s">
        <v>401</v>
      </c>
      <c r="L67" s="64"/>
      <c r="M67" s="64"/>
      <c r="N67" s="64"/>
      <c r="O67" s="64"/>
    </row>
    <row r="68" spans="10:15">
      <c r="J68" s="238"/>
      <c r="K68" s="66" t="s">
        <v>402</v>
      </c>
      <c r="L68" s="64"/>
      <c r="M68" s="64"/>
      <c r="N68" s="64"/>
      <c r="O68" s="64"/>
    </row>
    <row r="69" spans="10:15">
      <c r="J69" s="238"/>
      <c r="K69" s="66" t="s">
        <v>403</v>
      </c>
      <c r="L69" s="64"/>
      <c r="M69" s="64"/>
      <c r="N69" s="64"/>
      <c r="O69" s="64"/>
    </row>
    <row r="70" spans="10:15">
      <c r="J70" s="238"/>
      <c r="K70" s="66" t="s">
        <v>405</v>
      </c>
      <c r="L70" s="64"/>
      <c r="M70" s="64"/>
      <c r="N70" s="64"/>
      <c r="O70" s="64"/>
    </row>
    <row r="71" spans="10:15">
      <c r="J71" s="238"/>
      <c r="K71" s="66" t="s">
        <v>407</v>
      </c>
      <c r="L71" s="64"/>
      <c r="M71" s="64"/>
      <c r="N71" s="64"/>
      <c r="O71" s="64"/>
    </row>
    <row r="72" spans="10:15">
      <c r="J72" s="238"/>
      <c r="K72" s="66" t="s">
        <v>408</v>
      </c>
      <c r="L72" s="64"/>
      <c r="M72" s="64"/>
      <c r="N72" s="64"/>
      <c r="O72" s="64"/>
    </row>
    <row r="73" spans="10:15">
      <c r="J73" s="238"/>
      <c r="K73" s="66" t="s">
        <v>409</v>
      </c>
      <c r="L73" s="64"/>
      <c r="M73" s="64"/>
      <c r="N73" s="64"/>
      <c r="O73" s="64"/>
    </row>
    <row r="74" spans="10:15">
      <c r="J74" s="238"/>
      <c r="K74" s="66" t="s">
        <v>411</v>
      </c>
      <c r="L74" s="64"/>
      <c r="M74" s="64"/>
      <c r="N74" s="64"/>
      <c r="O74" s="64"/>
    </row>
    <row r="75" spans="10:15">
      <c r="J75" s="238"/>
      <c r="K75" s="66" t="s">
        <v>412</v>
      </c>
      <c r="L75" s="64"/>
      <c r="M75" s="64"/>
      <c r="N75" s="64"/>
      <c r="O75" s="64"/>
    </row>
    <row r="76" spans="10:15">
      <c r="J76" s="238"/>
      <c r="K76" s="66" t="s">
        <v>413</v>
      </c>
      <c r="L76" s="64"/>
      <c r="M76" s="64"/>
      <c r="N76" s="64"/>
      <c r="O76" s="64"/>
    </row>
    <row r="77" spans="10:15">
      <c r="J77" s="238"/>
      <c r="K77" s="66" t="s">
        <v>414</v>
      </c>
      <c r="L77" s="64"/>
      <c r="M77" s="64"/>
      <c r="N77" s="64"/>
      <c r="O77" s="64"/>
    </row>
    <row r="78" spans="10:15">
      <c r="J78" s="238"/>
      <c r="K78" s="66" t="s">
        <v>415</v>
      </c>
      <c r="L78" s="64"/>
      <c r="M78" s="64"/>
      <c r="N78" s="64"/>
      <c r="O78" s="64"/>
    </row>
    <row r="79" spans="10:15">
      <c r="J79" s="238"/>
      <c r="K79" s="62" t="s">
        <v>416</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Props1.xml><?xml version="1.0" encoding="utf-8"?>
<ds:datastoreItem xmlns:ds="http://schemas.openxmlformats.org/officeDocument/2006/customXml" ds:itemID="{D818151F-E004-42A8-9E93-F9E17498AE62}"/>
</file>

<file path=customXml/itemProps2.xml><?xml version="1.0" encoding="utf-8"?>
<ds:datastoreItem xmlns:ds="http://schemas.openxmlformats.org/officeDocument/2006/customXml" ds:itemID="{130E79B3-286C-4594-AC93-4243D3FE78E7}"/>
</file>

<file path=customXml/itemProps3.xml><?xml version="1.0" encoding="utf-8"?>
<ds:datastoreItem xmlns:ds="http://schemas.openxmlformats.org/officeDocument/2006/customXml" ds:itemID="{DB2B5503-B5EF-4419-9F11-FA5F3BF4CDC8}"/>
</file>

<file path=customXml/itemProps4.xml><?xml version="1.0" encoding="utf-8"?>
<ds:datastoreItem xmlns:ds="http://schemas.openxmlformats.org/officeDocument/2006/customXml" ds:itemID="{03A65312-EDD8-4ED5-85CD-21EC9D2BFEF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2023-05-12T10:29:03Z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